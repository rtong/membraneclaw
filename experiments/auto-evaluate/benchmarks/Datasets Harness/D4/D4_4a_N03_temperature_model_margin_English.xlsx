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655d2ca5c4d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5ebcc5e031f8434a"/>
    <x:sheet xmlns:r="http://schemas.openxmlformats.org/officeDocument/2006/relationships" name="Gold_Answer_A" sheetId="2" r:id="Rb20b48423eb94f89"/>
    <x:sheet xmlns:r="http://schemas.openxmlformats.org/officeDocument/2006/relationships" name="Trajectory_Rubric" sheetId="3" r:id="R6db6d7572e3c4b77"/>
    <x:sheet xmlns:r="http://schemas.openxmlformats.org/officeDocument/2006/relationships" name="Tool_Efficiency" sheetId="4" r:id="R7c06c05a923f42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0"/>
    <x:numFmt numFmtId="201" formatCode="0.00E+00"/>
    <x:numFmt numFmtId="202" formatCode="0.000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A63"/>
      <x:name val="Carlito"/>
    </x:font>
    <x:font>
      <x:b/>
      <x:sz val="11"/>
      <x:color rgb="FFFFFFFF"/>
      <x:name val="Carlito"/>
    </x:font>
    <x:font>
      <x:sz val="11"/>
      <x:color rgb="FF172B4D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A63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C9D8E8"/>
      </x:left>
      <x:right style="thin">
        <x:color rgb="FFC9D8E8"/>
      </x:right>
      <x:top style="thin">
        <x:color rgb="FFC9D8E8"/>
      </x:top>
      <x:bottom style="thin">
        <x:color rgb="FFC9D8E8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6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812fd2d324637" /><Relationship Type="http://schemas.openxmlformats.org/officeDocument/2006/relationships/theme" Target="/xl/theme/theme1.xml" Id="Rd8e008d9c59e4e2a" /><Relationship Type="http://schemas.openxmlformats.org/officeDocument/2006/relationships/sharedStrings" Target="/xl/sharedStrings.xml" Id="R1ed6d8b679194cdd" /><Relationship Type="http://schemas.openxmlformats.org/officeDocument/2006/relationships/worksheet" Target="/xl/worksheets/sheet1.xml" Id="R5ebcc5e031f8434a" /><Relationship Type="http://schemas.openxmlformats.org/officeDocument/2006/relationships/worksheet" Target="/xl/worksheets/sheet2.xml" Id="Rb20b48423eb94f89" /><Relationship Type="http://schemas.openxmlformats.org/officeDocument/2006/relationships/worksheet" Target="/xl/worksheets/sheet3.xml" Id="R6db6d7572e3c4b77" /><Relationship Type="http://schemas.openxmlformats.org/officeDocument/2006/relationships/worksheet" Target="/xl/worksheets/sheet4.xml" Id="R7c06c05a923f42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490c01163043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Option CAPEX (blue) vs reference (orange)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Total CAPEX $m</c:v>
          </c:tx>
          <c:cat>
            <c:strRef>
              <c:f>'Gold_Answer_A'!$T$19:$T$27</c:f>
              <c:strCache>
                <c:ptCount val="0"/>
              </c:strCache>
            </c:strRef>
          </c:cat>
          <c:val>
            <c:numRef>
              <c:f>'Gold_Answer_A'!$U$19:$U$27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Reference</c:v>
          </c:tx>
          <c:cat>
            <c:strRef>
              <c:f>'Gold_Answer_A'!$T$19:$T$27</c:f>
              <c:strCache>
                <c:ptCount val="0"/>
              </c:strCache>
            </c:strRef>
          </c:cat>
          <c:val>
            <c:numRef>
              <c:f>'Gold_Answer_A'!$V$19:$V$27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490c01163043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88eb26012b046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5" hidden="0" customWidth="1"/>
    <x:col min="4" max="4" width="32" hidden="0" customWidth="1"/>
    <x:col min="5" max="5" width="4" hidden="0" customWidth="1"/>
    <x:col min="6" max="6" width="25" hidden="0" customWidth="1"/>
    <x:col min="7" max="7" width="34" hidden="0" customWidth="1"/>
    <x:col min="8" max="8" width="39" hidden="0" customWidth="1"/>
  </x:cols>
  <x:sheetData>
    <x:row r="1" ht="26" customHeight="1">
      <x:c r="A1" s="4" t="str">
        <x:v>D4_4a N03: Seasonal-Temperature CAPEX Trap Under Fixed Membrane Permeability</x:v>
      </x:c>
      <x:c r="B1" s="4" t="str">
        <x:v>D4_4a N03: Seasonal-Temperature CAPEX Trap Under Fixed Membrane Permeability</x:v>
      </x:c>
      <x:c r="C1" s="4" t="str">
        <x:v>D4_4a N03: Seasonal-Temperature CAPEX Trap Under Fixed Membrane Permeability</x:v>
      </x:c>
      <x:c r="D1" s="4" t="str">
        <x:v>D4_4a N03: Seasonal-Temperature CAPEX Trap Under Fixed Membrane Permeability</x:v>
      </x:c>
      <x:c r="E1" s="4" t="str">
        <x:v>D4_4a N03: Seasonal-Temperature CAPEX Trap Under Fixed Membrane Permeability</x:v>
      </x:c>
      <x:c r="F1" s="4" t="str">
        <x:v>D4_4a N03: Seasonal-Temperature CAPEX Trap Under Fixed Membrane Permeability</x:v>
      </x:c>
      <x:c r="G1" s="4" t="str">
        <x:v>D4_4a N03: Seasonal-Temperature CAPEX Trap Under Fixed Membrane Permeability</x:v>
      </x:c>
      <x:c r="H1" s="4" t="str">
        <x:v>D4_4a N03: Seasonal-Temperature CAPEX Trap Under Fixed Membrane Permeability</x:v>
      </x:c>
    </x:row>
    <x:row r="2" ht="26" customHeight="1">
      <x:c r="A2" s="4" t="str">
        <x:v>D4_4a N03: Seasonal-Temperature CAPEX Trap Under Fixed Membrane Permeability</x:v>
      </x:c>
      <x:c r="B2" s="4" t="str">
        <x:v>D4_4a N03: Seasonal-Temperature CAPEX Trap Under Fixed Membrane Permeability</x:v>
      </x:c>
      <x:c r="C2" s="4" t="str">
        <x:v>D4_4a N03: Seasonal-Temperature CAPEX Trap Under Fixed Membrane Permeability</x:v>
      </x:c>
      <x:c r="D2" s="4" t="str">
        <x:v>D4_4a N03: Seasonal-Temperature CAPEX Trap Under Fixed Membrane Permeability</x:v>
      </x:c>
      <x:c r="E2" s="4" t="str">
        <x:v>D4_4a N03: Seasonal-Temperature CAPEX Trap Under Fixed Membrane Permeability</x:v>
      </x:c>
      <x:c r="F2" s="4" t="str">
        <x:v>D4_4a N03: Seasonal-Temperature CAPEX Trap Under Fixed Membrane Permeability</x:v>
      </x:c>
      <x:c r="G2" s="4" t="str">
        <x:v>D4_4a N03: Seasonal-Temperature CAPEX Trap Under Fixed Membrane Permeability</x:v>
      </x:c>
      <x:c r="H2" s="4" t="str">
        <x:v>D4_4a N03: Seasonal-Temperature CAPEX Trap Under Fixed Membrane Permeability</x:v>
      </x:c>
    </x:row>
    <x:row r="4" ht="25" customHeight="1">
      <x:c r="A4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B4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C4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D4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E4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F4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G4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H4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</x:row>
    <x:row r="5" ht="25" customHeight="1">
      <x:c r="A5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B5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C5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D5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E5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F5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G5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H5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</x:row>
    <x:row r="6" ht="25" customHeight="1">
      <x:c r="A6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B6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C6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D6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E6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F6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G6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H6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</x:row>
    <x:row r="7" ht="25" customHeight="1">
      <x:c r="A7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B7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C7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D7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E7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F7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G7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H7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</x:row>
    <x:row r="8" ht="25" customHeight="1">
      <x:c r="A8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B8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C8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D8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E8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F8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G8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  <x:c r="H8" s="8" t="str">
        <x:v>An SWRO train has feed 0.360 m³/s, TDS 36.5 g/L, TSS 0.03 g/L, P1=69 bar(a), ηP1=ηP2=0.82 and PX efficiency 0.95, with year-round product ≥12,900 m³/d. An engineer proposes sizing 16,000 m² using only the 15°C case. Use simulate_swro_system to check 15/25/32°C and test 17,000 and 18,000 m² at 32°C. The model holds A_comp=4.2×10⁻¹² constant with temperature. Determine the year-round area on the specified discrete grid, the CAPEX increment, and explain why the temperature trend must not be generalized as a universal membrane rule.</x:v>
      </x:c>
    </x:row>
    <x:row r="10">
      <x:c r="A10" s="11" t="str">
        <x:v>Design inputs and constraints</x:v>
      </x:c>
      <x:c r="B10" s="11" t="str">
        <x:v>Design inputs and constraints</x:v>
      </x:c>
      <x:c r="C10" s="11" t="str">
        <x:v>Design inputs and constraints</x:v>
      </x:c>
      <x:c r="D10" s="11" t="str">
        <x:v>Design inputs and constraints</x:v>
      </x:c>
      <x:c r="F10" s="11" t="str">
        <x:v>Specified cases/trajectory</x:v>
      </x:c>
      <x:c r="G10" s="11" t="str">
        <x:v>Specified cases/trajectory</x:v>
      </x:c>
      <x:c r="H10" s="11" t="str">
        <x:v>Specified cases/trajectory</x:v>
      </x:c>
    </x:row>
    <x:row r="11">
      <x:c r="A11" s="17" t="str">
        <x:v>Parameter</x:v>
      </x:c>
      <x:c r="B11" s="17" t="str">
        <x:v>Value</x:v>
      </x:c>
      <x:c r="C11" s="17" t="str">
        <x:v>Unit</x:v>
      </x:c>
      <x:c r="D11" s="17" t="str">
        <x:v>Note</x:v>
      </x:c>
      <x:c r="F11" s="17" t="str">
        <x:v>Option</x:v>
      </x:c>
      <x:c r="G11" s="17" t="str">
        <x:v>Case change</x:v>
      </x:c>
      <x:c r="H11" s="17" t="str">
        <x:v>Purpose</x:v>
      </x:c>
    </x:row>
    <x:row r="12" ht="38" customHeight="1">
      <x:c r="A12" s="21" t="str">
        <x:v>Feed</x:v>
      </x:c>
      <x:c r="B12" s="22" t="n">
        <x:v>0.36</x:v>
      </x:c>
      <x:c r="C12" s="21" t="str">
        <x:v>m³/s</x:v>
      </x:c>
      <x:c r="D12" s="21" t="str">
        <x:v>Fixed</x:v>
      </x:c>
      <x:c r="F12" s="21" t="str">
        <x:v>Temperature scan</x:v>
      </x:c>
      <x:c r="G12" s="21" t="str">
        <x:v>16,000 m² at 15/25/32°C</x:v>
      </x:c>
      <x:c r="H12" s="21" t="str">
        <x:v>Find controlling temperature</x:v>
      </x:c>
    </x:row>
    <x:row r="13" ht="38" customHeight="1">
      <x:c r="A13" s="21" t="str">
        <x:v>TDS</x:v>
      </x:c>
      <x:c r="B13" s="22" t="n">
        <x:v>36.5</x:v>
      </x:c>
      <x:c r="C13" s="21" t="str">
        <x:v>g/L</x:v>
      </x:c>
      <x:c r="D13" s="21" t="str">
        <x:v>Fixed</x:v>
      </x:c>
      <x:c r="F13" s="21" t="str">
        <x:v>Warm-case area</x:v>
      </x:c>
      <x:c r="G13" s="21" t="str">
        <x:v>32°C at 17,000/18,000 m²</x:v>
      </x:c>
      <x:c r="H13" s="21" t="str">
        <x:v>Lock area</x:v>
      </x:c>
    </x:row>
    <x:row r="14" ht="38" customHeight="1">
      <x:c r="A14" s="21" t="str">
        <x:v>TSS</x:v>
      </x:c>
      <x:c r="B14" s="22" t="n">
        <x:v>0.03</x:v>
      </x:c>
      <x:c r="C14" s="21" t="str">
        <x:v>g/L</x:v>
      </x:c>
      <x:c r="D14" s="21" t="str">
        <x:v>Fixed</x:v>
      </x:c>
      <x:c r="F14" s="21" t="str">
        <x:v>Counterexample</x:v>
      </x:c>
      <x:c r="G14" s="21" t="str">
        <x:v>15°C appears to pass</x:v>
      </x:c>
      <x:c r="H14" s="21" t="str">
        <x:v>Identify model basis</x:v>
      </x:c>
    </x:row>
    <x:row r="15">
      <x:c r="A15" s="21" t="str">
        <x:v>P1 pressure</x:v>
      </x:c>
      <x:c r="B15" s="22" t="n">
        <x:v>69</x:v>
      </x:c>
      <x:c r="C15" s="21" t="str">
        <x:v>bar(a)</x:v>
      </x:c>
      <x:c r="D15" s="21" t="str">
        <x:v>Fixed</x:v>
      </x:c>
    </x:row>
    <x:row r="16">
      <x:c r="A16" s="21" t="str">
        <x:v>P1/P2 efficiency</x:v>
      </x:c>
      <x:c r="B16" s="22" t="n">
        <x:v>0.82</x:v>
      </x:c>
      <x:c r="C16" s="21" t="str">
        <x:v>-</x:v>
      </x:c>
      <x:c r="D16" s="21" t="str">
        <x:v>Fixed</x:v>
      </x:c>
    </x:row>
    <x:row r="17">
      <x:c r="A17" s="21" t="str">
        <x:v>PX efficiency</x:v>
      </x:c>
      <x:c r="B17" s="22" t="n">
        <x:v>0.95</x:v>
      </x:c>
      <x:c r="C17" s="21" t="str">
        <x:v>-</x:v>
      </x:c>
      <x:c r="D17" s="21" t="str">
        <x:v>Fixed</x:v>
      </x:c>
    </x:row>
    <x:row r="18">
      <x:c r="A18" s="21" t="str">
        <x:v>Base area</x:v>
      </x:c>
      <x:c r="B18" s="22" t="n">
        <x:v>16000</x:v>
      </x:c>
      <x:c r="C18" s="21" t="str">
        <x:v>m²</x:v>
      </x:c>
      <x:c r="D18" s="21" t="str">
        <x:v>Candidate</x:v>
      </x:c>
      <x:c r="F18" s="11" t="str">
        <x:v>Required deliverables</x:v>
      </x:c>
      <x:c r="G18" s="11" t="str">
        <x:v>Required deliverables</x:v>
      </x:c>
      <x:c r="H18" s="11" t="str">
        <x:v>Required deliverables</x:v>
      </x:c>
    </x:row>
    <x:row r="19" ht="37" customHeight="1">
      <x:c r="A19" s="21" t="str">
        <x:v>Temperature range</x:v>
      </x:c>
      <x:c r="B19" s="22" t="str">
        <x:v>15/25/32</x:v>
      </x:c>
      <x:c r="C19" s="21" t="str">
        <x:v>°C</x:v>
      </x:c>
      <x:c r="D19" s="21" t="str">
        <x:v>Seasonal</x:v>
      </x:c>
      <x:c r="F19" s="25" t="str">
        <x:v>1. Record every valid simulate_swro_system call.</x:v>
      </x:c>
      <x:c r="G19" s="25" t="str">
        <x:v>1. Record every valid simulate_swro_system call.</x:v>
      </x:c>
      <x:c r="H19" s="25" t="str">
        <x:v>1. Record every valid simulate_swro_system call.</x:v>
      </x:c>
    </x:row>
    <x:row r="20" ht="37" customHeight="1">
      <x:c r="A20" s="21" t="str">
        <x:v>A_comp</x:v>
      </x:c>
      <x:c r="B20" s="30" t="n">
        <x:v>4.2e-12</x:v>
      </x:c>
      <x:c r="C20" s="21" t="str">
        <x:v>m/s/Pa</x:v>
      </x:c>
      <x:c r="D20" s="21" t="str">
        <x:v>Held constant</x:v>
      </x:c>
      <x:c r="F20" s="25" t="str">
        <x:v>2. Calculate product scale, total CAPEX and capital intensity consistently.</x:v>
      </x:c>
      <x:c r="G20" s="25" t="str">
        <x:v>2. Calculate product scale, total CAPEX and capital intensity consistently.</x:v>
      </x:c>
      <x:c r="H20" s="25" t="str">
        <x:v>2. Calculate product scale, total CAPEX and capital intensity consistently.</x:v>
      </x:c>
    </x:row>
    <x:row r="21" ht="37" customHeight="1">
      <x:c r="A21" s="21" t="str">
        <x:v>Minimum product</x:v>
      </x:c>
      <x:c r="B21" s="22" t="n">
        <x:v>12900</x:v>
      </x:c>
      <x:c r="C21" s="21" t="str">
        <x:v>m³/d</x:v>
      </x:c>
      <x:c r="D21" s="21" t="str">
        <x:v>Criterion</x:v>
      </x:c>
      <x:c r="F21" s="25" t="str">
        <x:v>3. Complete the specified increment, boundary or premium calculation.</x:v>
      </x:c>
      <x:c r="G21" s="25" t="str">
        <x:v>3. Complete the specified increment, boundary or premium calculation.</x:v>
      </x:c>
      <x:c r="H21" s="25" t="str">
        <x:v>3. Complete the specified increment, boundary or premium calculation.</x:v>
      </x:c>
    </x:row>
    <x:row r="22" ht="37" customHeight="1">
      <x:c r="A22" s="21" t="str">
        <x:v>Area step</x:v>
      </x:c>
      <x:c r="B22" s="22" t="n">
        <x:v>1000</x:v>
      </x:c>
      <x:c r="C22" s="21" t="str">
        <x:v>m²</x:v>
      </x:c>
      <x:c r="D22" s="21" t="str">
        <x:v>Discrete candidates</x:v>
      </x:c>
      <x:c r="F22" s="25" t="str">
        <x:v>4. Separate tool outputs, external procurement add-ons and approval adjustments.</x:v>
      </x:c>
      <x:c r="G22" s="25" t="str">
        <x:v>4. Separate tool outputs, external procurement add-ons and approval adjustments.</x:v>
      </x:c>
      <x:c r="H22" s="25" t="str">
        <x:v>4. Separate tool outputs, external procurement add-ons and approval adjustments.</x:v>
      </x:c>
    </x:row>
    <x:row r="23" ht="37" customHeight="1">
      <x:c r="A23" s="21" t="str">
        <x:v>Model check</x:v>
      </x:c>
      <x:c r="B23" s="22" t="str">
        <x:v>Vendor TCF separate</x:v>
      </x:c>
      <x:c r="C23" s="21" t="str">
        <x:v>-</x:v>
      </x:c>
      <x:c r="D23" s="21" t="str">
        <x:v>Must explain</x:v>
      </x:c>
      <x:c r="F23" s="25" t="str">
        <x:v>5. Give an actionable decision and model boundary.</x:v>
      </x:c>
      <x:c r="G23" s="25" t="str">
        <x:v>5. Give an actionable decision and model boundary.</x:v>
      </x:c>
      <x:c r="H23" s="25" t="str">
        <x:v>5. Give an actionable decision and model boundary.</x:v>
      </x:c>
    </x:row>
    <x:row r="26">
      <x:c r="A26" s="29" t="str">
        <x:v>This is a model-identification benchmark: the answer must state both the model result and why it cannot be generalized.</x:v>
      </x:c>
      <x:c r="B26" s="29" t="str">
        <x:v>This is a model-identification benchmark: the answer must state both the model result and why it cannot be generalized.</x:v>
      </x:c>
      <x:c r="C26" s="29" t="str">
        <x:v>This is a model-identification benchmark: the answer must state both the model result and why it cannot be generalized.</x:v>
      </x:c>
      <x:c r="D26" s="29" t="str">
        <x:v>This is a model-identification benchmark: the answer must state both the model result and why it cannot be generalized.</x:v>
      </x:c>
      <x:c r="E26" s="29" t="str">
        <x:v>This is a model-identification benchmark: the answer must state both the model result and why it cannot be generalized.</x:v>
      </x:c>
      <x:c r="F26" s="29" t="str">
        <x:v>This is a model-identification benchmark: the answer must state both the model result and why it cannot be generalized.</x:v>
      </x:c>
      <x:c r="G26" s="29" t="str">
        <x:v>This is a model-identification benchmark: the answer must state both the model result and why it cannot be generalized.</x:v>
      </x:c>
      <x:c r="H26" s="29" t="str">
        <x:v>This is a model-identification benchmark: the answer must state both the model result and why it cannot be generalized.</x:v>
      </x:c>
    </x:row>
    <x:row r="27">
      <x:c r="A27" s="29" t="str">
        <x:v>This is a model-identification benchmark: the answer must state both the model result and why it cannot be generalized.</x:v>
      </x:c>
      <x:c r="B27" s="29" t="str">
        <x:v>This is a model-identification benchmark: the answer must state both the model result and why it cannot be generalized.</x:v>
      </x:c>
      <x:c r="C27" s="29" t="str">
        <x:v>This is a model-identification benchmark: the answer must state both the model result and why it cannot be generalized.</x:v>
      </x:c>
      <x:c r="D27" s="29" t="str">
        <x:v>This is a model-identification benchmark: the answer must state both the model result and why it cannot be generalized.</x:v>
      </x:c>
      <x:c r="E27" s="29" t="str">
        <x:v>This is a model-identification benchmark: the answer must state both the model result and why it cannot be generalized.</x:v>
      </x:c>
      <x:c r="F27" s="29" t="str">
        <x:v>This is a model-identification benchmark: the answer must state both the model result and why it cannot be generalized.</x:v>
      </x:c>
      <x:c r="G27" s="29" t="str">
        <x:v>This is a model-identification benchmark: the answer must state both the model result and why it cannot be generalized.</x:v>
      </x:c>
      <x:c r="H27" s="29" t="str">
        <x:v>This is a model-identification benchmark: the answer must state both the model result and why it cannot be generalized.</x:v>
      </x:c>
    </x:row>
    <x:row r="28">
      <x:c r="A28" s="29" t="str">
        <x:v>This is a model-identification benchmark: the answer must state both the model result and why it cannot be generalized.</x:v>
      </x:c>
      <x:c r="B28" s="29" t="str">
        <x:v>This is a model-identification benchmark: the answer must state both the model result and why it cannot be generalized.</x:v>
      </x:c>
      <x:c r="C28" s="29" t="str">
        <x:v>This is a model-identification benchmark: the answer must state both the model result and why it cannot be generalized.</x:v>
      </x:c>
      <x:c r="D28" s="29" t="str">
        <x:v>This is a model-identification benchmark: the answer must state both the model result and why it cannot be generalized.</x:v>
      </x:c>
      <x:c r="E28" s="29" t="str">
        <x:v>This is a model-identification benchmark: the answer must state both the model result and why it cannot be generalized.</x:v>
      </x:c>
      <x:c r="F28" s="29" t="str">
        <x:v>This is a model-identification benchmark: the answer must state both the model result and why it cannot be generalized.</x:v>
      </x:c>
      <x:c r="G28" s="29" t="str">
        <x:v>This is a model-identification benchmark: the answer must state both the model result and why it cannot be generalized.</x:v>
      </x:c>
      <x:c r="H28" s="29" t="str">
        <x:v>This is a model-identification benchmark: the answer must state both the model result and why it cannot be generalized.</x:v>
      </x:c>
    </x:row>
    <x:row r="29">
      <x:c r="A29" s="29" t="str">
        <x:v>This is a model-identification benchmark: the answer must state both the model result and why it cannot be generalized.</x:v>
      </x:c>
      <x:c r="B29" s="29" t="str">
        <x:v>This is a model-identification benchmark: the answer must state both the model result and why it cannot be generalized.</x:v>
      </x:c>
      <x:c r="C29" s="29" t="str">
        <x:v>This is a model-identification benchmark: the answer must state both the model result and why it cannot be generalized.</x:v>
      </x:c>
      <x:c r="D29" s="29" t="str">
        <x:v>This is a model-identification benchmark: the answer must state both the model result and why it cannot be generalized.</x:v>
      </x:c>
      <x:c r="E29" s="29" t="str">
        <x:v>This is a model-identification benchmark: the answer must state both the model result and why it cannot be generalized.</x:v>
      </x:c>
      <x:c r="F29" s="29" t="str">
        <x:v>This is a model-identification benchmark: the answer must state both the model result and why it cannot be generalized.</x:v>
      </x:c>
      <x:c r="G29" s="29" t="str">
        <x:v>This is a model-identification benchmark: the answer must state both the model result and why it cannot be generalized.</x:v>
      </x:c>
      <x:c r="H29" s="29" t="str">
        <x:v>This is a model-identification benchmark: the answer must state both the model result and why it cannot be generalized.</x:v>
      </x:c>
    </x:row>
    <x:row r="30">
      <x:c r="A30" s="29" t="str">
        <x:v>This is a model-identification benchmark: the answer must state both the model result and why it cannot be generalized.</x:v>
      </x:c>
      <x:c r="B30" s="29" t="str">
        <x:v>This is a model-identification benchmark: the answer must state both the model result and why it cannot be generalized.</x:v>
      </x:c>
      <x:c r="C30" s="29" t="str">
        <x:v>This is a model-identification benchmark: the answer must state both the model result and why it cannot be generalized.</x:v>
      </x:c>
      <x:c r="D30" s="29" t="str">
        <x:v>This is a model-identification benchmark: the answer must state both the model result and why it cannot be generalized.</x:v>
      </x:c>
      <x:c r="E30" s="29" t="str">
        <x:v>This is a model-identification benchmark: the answer must state both the model result and why it cannot be generalized.</x:v>
      </x:c>
      <x:c r="F30" s="29" t="str">
        <x:v>This is a model-identification benchmark: the answer must state both the model result and why it cannot be generalized.</x:v>
      </x:c>
      <x:c r="G30" s="29" t="str">
        <x:v>This is a model-identification benchmark: the answer must state both the model result and why it cannot be generalized.</x:v>
      </x:c>
      <x:c r="H30" s="29" t="str">
        <x:v>This is a model-identification benchmark: the answer must state both the model result and why it cannot be generalized.</x:v>
      </x:c>
    </x:row>
  </x:sheetData>
  <x:mergeCells>
    <x:mergeCell ref="A1:H2"/>
    <x:mergeCell ref="A4:H8"/>
    <x:mergeCell ref="A10:D10"/>
    <x:mergeCell ref="F10:H10"/>
    <x:mergeCell ref="F18:H18"/>
    <x:mergeCell ref="F19:H19"/>
    <x:mergeCell ref="F20:H20"/>
    <x:mergeCell ref="F21:H21"/>
    <x:mergeCell ref="F22:H22"/>
    <x:mergeCell ref="F23:H23"/>
    <x:mergeCell ref="A26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3" hidden="0" customWidth="1"/>
    <x:col min="3" max="3" width="19" hidden="0" customWidth="1"/>
    <x:col min="4" max="4" width="18" hidden="0" customWidth="1"/>
    <x:col min="5" max="5" width="14" hidden="0" customWidth="1"/>
    <x:col min="6" max="6" width="16" hidden="0" customWidth="1"/>
    <x:col min="7" max="7" width="13" hidden="0" customWidth="1"/>
    <x:col min="8" max="8" width="17" hidden="0" customWidth="1"/>
    <x:col min="9" max="9" width="11" hidden="0" customWidth="1"/>
    <x:col min="10" max="10" width="17" hidden="0" customWidth="1"/>
    <x:col min="11" max="11" width="16" hidden="0" customWidth="1"/>
    <x:col min="12" max="12" width="17" hidden="0" customWidth="1"/>
    <x:col min="13" max="13" width="13" hidden="0" customWidth="1"/>
    <x:col min="14" max="14" width="13" hidden="0" customWidth="1"/>
    <x:col min="15" max="15" width="14" hidden="0" customWidth="1"/>
    <x:col min="16" max="16" width="14" hidden="0" customWidth="1"/>
    <x:col min="17" max="17" width="18" hidden="0" customWidth="1"/>
    <x:col min="18" max="18" width="30" hidden="0" customWidth="1"/>
    <x:col min="19" max="19" width="3" hidden="0" customWidth="1"/>
    <x:col min="20" max="20" width="23" hidden="0" customWidth="1"/>
    <x:col min="21" max="21" width="16" hidden="0" customWidth="1"/>
    <x:col min="22" max="22" width="16" hidden="0" customWidth="1"/>
  </x:cols>
  <x:sheetData>
    <x:row r="1" ht="26" customHeight="1">
      <x:c r="A1" s="4" t="str">
        <x:v>D4_4a N03: Stepwise Gold Answer — Seasonal-Temperature CAPEX Trap Under Fixed Membrane Permeability</x:v>
      </x:c>
      <x:c r="B1" s="4" t="str">
        <x:v>D4_4a N03: Stepwise Gold Answer — Seasonal-Temperature CAPEX Trap Under Fixed Membrane Permeability</x:v>
      </x:c>
      <x:c r="C1" s="4" t="str">
        <x:v>D4_4a N03: Stepwise Gold Answer — Seasonal-Temperature CAPEX Trap Under Fixed Membrane Permeability</x:v>
      </x:c>
      <x:c r="D1" s="4" t="str">
        <x:v>D4_4a N03: Stepwise Gold Answer — Seasonal-Temperature CAPEX Trap Under Fixed Membrane Permeability</x:v>
      </x:c>
      <x:c r="E1" s="4" t="str">
        <x:v>D4_4a N03: Stepwise Gold Answer — Seasonal-Temperature CAPEX Trap Under Fixed Membrane Permeability</x:v>
      </x:c>
      <x:c r="F1" s="4" t="str">
        <x:v>D4_4a N03: Stepwise Gold Answer — Seasonal-Temperature CAPEX Trap Under Fixed Membrane Permeability</x:v>
      </x:c>
      <x:c r="G1" s="4" t="str">
        <x:v>D4_4a N03: Stepwise Gold Answer — Seasonal-Temperature CAPEX Trap Under Fixed Membrane Permeability</x:v>
      </x:c>
      <x:c r="H1" s="4" t="str">
        <x:v>D4_4a N03: Stepwise Gold Answer — Seasonal-Temperature CAPEX Trap Under Fixed Membrane Permeability</x:v>
      </x:c>
      <x:c r="I1" s="4" t="str">
        <x:v>D4_4a N03: Stepwise Gold Answer — Seasonal-Temperature CAPEX Trap Under Fixed Membrane Permeability</x:v>
      </x:c>
      <x:c r="J1" s="4" t="str">
        <x:v>D4_4a N03: Stepwise Gold Answer — Seasonal-Temperature CAPEX Trap Under Fixed Membrane Permeability</x:v>
      </x:c>
      <x:c r="K1" s="4" t="str">
        <x:v>D4_4a N03: Stepwise Gold Answer — Seasonal-Temperature CAPEX Trap Under Fixed Membrane Permeability</x:v>
      </x:c>
      <x:c r="L1" s="4" t="str">
        <x:v>D4_4a N03: Stepwise Gold Answer — Seasonal-Temperature CAPEX Trap Under Fixed Membrane Permeability</x:v>
      </x:c>
      <x:c r="M1" s="4" t="str">
        <x:v>D4_4a N03: Stepwise Gold Answer — Seasonal-Temperature CAPEX Trap Under Fixed Membrane Permeability</x:v>
      </x:c>
      <x:c r="N1" s="4" t="str">
        <x:v>D4_4a N03: Stepwise Gold Answer — Seasonal-Temperature CAPEX Trap Under Fixed Membrane Permeability</x:v>
      </x:c>
      <x:c r="O1" s="4" t="str">
        <x:v>D4_4a N03: Stepwise Gold Answer — Seasonal-Temperature CAPEX Trap Under Fixed Membrane Permeability</x:v>
      </x:c>
      <x:c r="P1" s="4" t="str">
        <x:v>D4_4a N03: Stepwise Gold Answer — Seasonal-Temperature CAPEX Trap Under Fixed Membrane Permeability</x:v>
      </x:c>
      <x:c r="Q1" s="4" t="str">
        <x:v>D4_4a N03: Stepwise Gold Answer — Seasonal-Temperature CAPEX Trap Under Fixed Membrane Permeability</x:v>
      </x:c>
      <x:c r="R1" s="4" t="str">
        <x:v>D4_4a N03: Stepwise Gold Answer — Seasonal-Temperature CAPEX Trap Under Fixed Membrane Permeability</x:v>
      </x:c>
      <x:c r="S1" s="4" t="str">
        <x:v>D4_4a N03: Stepwise Gold Answer — Seasonal-Temperature CAPEX Trap Under Fixed Membrane Permeability</x:v>
      </x:c>
      <x:c r="T1" s="4" t="str">
        <x:v>D4_4a N03: Stepwise Gold Answer — Seasonal-Temperature CAPEX Trap Under Fixed Membrane Permeability</x:v>
      </x:c>
      <x:c r="U1" s="4" t="str">
        <x:v>D4_4a N03: Stepwise Gold Answer — Seasonal-Temperature CAPEX Trap Under Fixed Membrane Permeability</x:v>
      </x:c>
      <x:c r="V1" s="4" t="str">
        <x:v>D4_4a N03: Stepwise Gold Answer — Seasonal-Temperature CAPEX Trap Under Fixed Membrane Permeability</x:v>
      </x:c>
    </x:row>
    <x:row r="2" ht="26" customHeight="1">
      <x:c r="A2" s="4" t="str">
        <x:v>D4_4a N03: Stepwise Gold Answer — Seasonal-Temperature CAPEX Trap Under Fixed Membrane Permeability</x:v>
      </x:c>
      <x:c r="B2" s="4" t="str">
        <x:v>D4_4a N03: Stepwise Gold Answer — Seasonal-Temperature CAPEX Trap Under Fixed Membrane Permeability</x:v>
      </x:c>
      <x:c r="C2" s="4" t="str">
        <x:v>D4_4a N03: Stepwise Gold Answer — Seasonal-Temperature CAPEX Trap Under Fixed Membrane Permeability</x:v>
      </x:c>
      <x:c r="D2" s="4" t="str">
        <x:v>D4_4a N03: Stepwise Gold Answer — Seasonal-Temperature CAPEX Trap Under Fixed Membrane Permeability</x:v>
      </x:c>
      <x:c r="E2" s="4" t="str">
        <x:v>D4_4a N03: Stepwise Gold Answer — Seasonal-Temperature CAPEX Trap Under Fixed Membrane Permeability</x:v>
      </x:c>
      <x:c r="F2" s="4" t="str">
        <x:v>D4_4a N03: Stepwise Gold Answer — Seasonal-Temperature CAPEX Trap Under Fixed Membrane Permeability</x:v>
      </x:c>
      <x:c r="G2" s="4" t="str">
        <x:v>D4_4a N03: Stepwise Gold Answer — Seasonal-Temperature CAPEX Trap Under Fixed Membrane Permeability</x:v>
      </x:c>
      <x:c r="H2" s="4" t="str">
        <x:v>D4_4a N03: Stepwise Gold Answer — Seasonal-Temperature CAPEX Trap Under Fixed Membrane Permeability</x:v>
      </x:c>
      <x:c r="I2" s="4" t="str">
        <x:v>D4_4a N03: Stepwise Gold Answer — Seasonal-Temperature CAPEX Trap Under Fixed Membrane Permeability</x:v>
      </x:c>
      <x:c r="J2" s="4" t="str">
        <x:v>D4_4a N03: Stepwise Gold Answer — Seasonal-Temperature CAPEX Trap Under Fixed Membrane Permeability</x:v>
      </x:c>
      <x:c r="K2" s="4" t="str">
        <x:v>D4_4a N03: Stepwise Gold Answer — Seasonal-Temperature CAPEX Trap Under Fixed Membrane Permeability</x:v>
      </x:c>
      <x:c r="L2" s="4" t="str">
        <x:v>D4_4a N03: Stepwise Gold Answer — Seasonal-Temperature CAPEX Trap Under Fixed Membrane Permeability</x:v>
      </x:c>
      <x:c r="M2" s="4" t="str">
        <x:v>D4_4a N03: Stepwise Gold Answer — Seasonal-Temperature CAPEX Trap Under Fixed Membrane Permeability</x:v>
      </x:c>
      <x:c r="N2" s="4" t="str">
        <x:v>D4_4a N03: Stepwise Gold Answer — Seasonal-Temperature CAPEX Trap Under Fixed Membrane Permeability</x:v>
      </x:c>
      <x:c r="O2" s="4" t="str">
        <x:v>D4_4a N03: Stepwise Gold Answer — Seasonal-Temperature CAPEX Trap Under Fixed Membrane Permeability</x:v>
      </x:c>
      <x:c r="P2" s="4" t="str">
        <x:v>D4_4a N03: Stepwise Gold Answer — Seasonal-Temperature CAPEX Trap Under Fixed Membrane Permeability</x:v>
      </x:c>
      <x:c r="Q2" s="4" t="str">
        <x:v>D4_4a N03: Stepwise Gold Answer — Seasonal-Temperature CAPEX Trap Under Fixed Membrane Permeability</x:v>
      </x:c>
      <x:c r="R2" s="4" t="str">
        <x:v>D4_4a N03: Stepwise Gold Answer — Seasonal-Temperature CAPEX Trap Under Fixed Membrane Permeability</x:v>
      </x:c>
      <x:c r="S2" s="4" t="str">
        <x:v>D4_4a N03: Stepwise Gold Answer — Seasonal-Temperature CAPEX Trap Under Fixed Membrane Permeability</x:v>
      </x:c>
      <x:c r="T2" s="4" t="str">
        <x:v>D4_4a N03: Stepwise Gold Answer — Seasonal-Temperature CAPEX Trap Under Fixed Membrane Permeability</x:v>
      </x:c>
      <x:c r="U2" s="4" t="str">
        <x:v>D4_4a N03: Stepwise Gold Answer — Seasonal-Temperature CAPEX Trap Under Fixed Membrane Permeability</x:v>
      </x:c>
      <x:c r="V2" s="4" t="str">
        <x:v>D4_4a N03: Stepwise Gold Answer — Seasonal-Temperature CAPEX Trap Under Fixed Membrane Permeability</x:v>
      </x:c>
    </x:row>
    <x:row r="4">
      <x:c r="A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B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C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D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E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F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G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H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I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J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K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L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M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N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O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P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Q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R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S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T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U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V4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</x:row>
    <x:row r="5">
      <x:c r="A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B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C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D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E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F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G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H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I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J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K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L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M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N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O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P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Q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R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S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T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U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V5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</x:row>
    <x:row r="6">
      <x:c r="A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B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C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D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E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F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G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H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I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J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K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L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M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N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O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P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Q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R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S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T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U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  <x:c r="V6" s="34" t="str">
        <x:v>The actual trajectory contains 9 valid simulate_swro_system calls. Gold Answer retains tool-reported CAPEX, product, SEC and LCOW, while train multipliers, procurement premiums or approval adjustments are calculated transparently in separate formulas.</x:v>
      </x:c>
    </x:row>
    <x:row r="8">
      <x:c r="A8" s="11" t="str">
        <x:v>Reference agent trajectory</x:v>
      </x:c>
      <x:c r="B8" s="11" t="str">
        <x:v>Reference agent trajectory</x:v>
      </x:c>
      <x:c r="C8" s="11" t="str">
        <x:v>Reference agent trajectory</x:v>
      </x:c>
      <x:c r="D8" s="11" t="str">
        <x:v>Reference agent trajectory</x:v>
      </x:c>
      <x:c r="E8" s="11" t="str">
        <x:v>Reference agent trajectory</x:v>
      </x:c>
      <x:c r="F8" s="11" t="str">
        <x:v>Reference agent trajectory</x:v>
      </x:c>
      <x:c r="G8" s="11" t="str">
        <x:v>Reference agent trajectory</x:v>
      </x:c>
      <x:c r="H8" s="11" t="str">
        <x:v>Reference agent trajectory</x:v>
      </x:c>
    </x:row>
    <x:row r="9">
      <x:c r="A9" s="17" t="str">
        <x:v>Stage</x:v>
      </x:c>
      <x:c r="B9" s="17" t="str">
        <x:v>Known state</x:v>
      </x:c>
      <x:c r="C9" s="17" t="str">
        <x:v>Action</x:v>
      </x:c>
      <x:c r="D9" s="17" t="str">
        <x:v>Key observation</x:v>
      </x:c>
      <x:c r="E9" s="17" t="str">
        <x:v>Calculation</x:v>
      </x:c>
      <x:c r="F9" s="17" t="str">
        <x:v>State update</x:v>
      </x:c>
      <x:c r="G9" s="17" t="str">
        <x:v>Next step</x:v>
      </x:c>
      <x:c r="H9" s="17" t="str">
        <x:v>Capability</x:v>
      </x:c>
    </x:row>
    <x:row r="10" ht="52" customHeight="1">
      <x:c r="A10" s="21" t="str">
        <x:v>1 Base</x:v>
      </x:c>
      <x:c r="B10" s="21" t="str">
        <x:v>Capital basis unlocked</x:v>
      </x:c>
      <x:c r="C10" s="21" t="str">
        <x:v>Run first design point</x:v>
      </x:c>
      <x:c r="D10" s="21" t="str">
        <x:v>Obtain product, CAPEX, SEC and LCOW</x:v>
      </x:c>
      <x:c r="E10" s="21" t="str">
        <x:v>Create common base</x:v>
      </x:c>
      <x:c r="F10" s="21" t="str">
        <x:v>Identify constraint direction</x:v>
      </x:c>
      <x:c r="G10" s="21" t="str">
        <x:v>Run alternatives</x:v>
      </x:c>
      <x:c r="H10" s="21" t="str">
        <x:v>State representation</x:v>
      </x:c>
    </x:row>
    <x:row r="11" ht="52" customHeight="1">
      <x:c r="A11" s="21" t="str">
        <x:v>2 Candidates</x:v>
      </x:c>
      <x:c r="B11" s="21" t="str">
        <x:v>Discrete set known</x:v>
      </x:c>
      <x:c r="C11" s="21" t="str">
        <x:v>Vary each specified input</x:v>
      </x:c>
      <x:c r="D11" s="21" t="str">
        <x:v>Hold non-target inputs fixed</x:v>
      </x:c>
      <x:c r="E11" s="21" t="str">
        <x:v>Product and total CAPEX</x:v>
      </x:c>
      <x:c r="F11" s="21" t="str">
        <x:v>Eliminate obvious failures</x:v>
      </x:c>
      <x:c r="G11" s="21" t="str">
        <x:v>Complete key boundary</x:v>
      </x:c>
      <x:c r="H11" s="21" t="str">
        <x:v>One-at-a-time control</x:v>
      </x:c>
    </x:row>
    <x:row r="12" ht="52" customHeight="1">
      <x:c r="A12" s="21" t="str">
        <x:v>3 Boundary</x:v>
      </x:c>
      <x:c r="B12" s="21" t="str">
        <x:v>Passing region formed</x:v>
      </x:c>
      <x:c r="C12" s="21" t="str">
        <x:v>Compare adjacent/alternative cases</x:v>
      </x:c>
      <x:c r="D12" s="21" t="str">
        <x:v>Identify controlling criterion</x:v>
      </x:c>
      <x:c r="E12" s="21" t="str">
        <x:v>Increment or capital intensity</x:v>
      </x:c>
      <x:c r="F12" s="21" t="str">
        <x:v>Lock candidate</x:v>
      </x:c>
      <x:c r="G12" s="21" t="str">
        <x:v>Handle external add-ons</x:v>
      </x:c>
      <x:c r="H12" s="21" t="str">
        <x:v>Boundary proof</x:v>
      </x:c>
    </x:row>
    <x:row r="13" ht="52" customHeight="1">
      <x:c r="A13" s="21" t="str">
        <x:v>4 External basis</x:v>
      </x:c>
      <x:c r="B13" s="21" t="str">
        <x:v>Tool outputs locked</x:v>
      </x:c>
      <x:c r="C13" s="21" t="str">
        <x:v>Add multiplier/premium/index/contingency</x:v>
      </x:c>
      <x:c r="D13" s="21" t="str">
        <x:v>Do not rewrite tool facts</x:v>
      </x:c>
      <x:c r="E13" s="21" t="str">
        <x:v>Transparent formulas</x:v>
      </x:c>
      <x:c r="F13" s="21" t="str">
        <x:v>Create approval basis</x:v>
      </x:c>
      <x:c r="G13" s="21" t="str">
        <x:v>Test budget</x:v>
      </x:c>
      <x:c r="H13" s="21" t="str">
        <x:v>Basis distinction</x:v>
      </x:c>
    </x:row>
    <x:row r="14" ht="52" customHeight="1">
      <x:c r="A14" s="21" t="str">
        <x:v>5 Decision</x:v>
      </x:c>
      <x:c r="B14" s="21" t="str">
        <x:v>Evidence complete</x:v>
      </x:c>
      <x:c r="C14" s="21" t="str">
        <x:v>Rank and screen</x:v>
      </x:c>
      <x:c r="D14" s="21" t="str">
        <x:v>This is a model-identification benchmark: the answer must state both the model result and why it cannot be generalized.</x:v>
      </x:c>
      <x:c r="E14" s="21" t="str">
        <x:v>Hard constraints before objective</x:v>
      </x:c>
      <x:c r="F14" s="21" t="str">
        <x:v>Recommend</x:v>
      </x:c>
      <x:c r="G14" s="21" t="str">
        <x:v>Check model boundary</x:v>
      </x:c>
      <x:c r="H14" s="21" t="str">
        <x:v>Engineering judgment</x:v>
      </x:c>
    </x:row>
    <x:row r="15" ht="52" customHeight="1">
      <x:c r="A15" s="21" t="str">
        <x:v>6 Stop</x:v>
      </x:c>
      <x:c r="B15" s="21" t="str">
        <x:v>Unique result or explicit tradeoff</x:v>
      </x:c>
      <x:c r="C15" s="21" t="str">
        <x:v>Summarize</x:v>
      </x:c>
      <x:c r="D15" s="21" t="str">
        <x:v>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E15" s="21" t="str">
        <x:v>Recheck units and currency</x:v>
      </x:c>
      <x:c r="F15" s="21" t="str">
        <x:v>Complete Gold Answer</x:v>
      </x:c>
      <x:c r="G15" s="21" t="str">
        <x:v>Stop</x:v>
      </x:c>
      <x:c r="H15" s="21" t="str">
        <x:v>Convergence</x:v>
      </x:c>
    </x:row>
    <x:row r="18">
      <x:c r="A18" s="11" t="str">
        <x:v>9 actual simulate_swro_system calls</x:v>
      </x:c>
      <x:c r="B18" s="11" t="str">
        <x:v>9 actual simulate_swro_system calls</x:v>
      </x:c>
      <x:c r="C18" s="11" t="str">
        <x:v>9 actual simulate_swro_system calls</x:v>
      </x:c>
      <x:c r="D18" s="11" t="str">
        <x:v>9 actual simulate_swro_system calls</x:v>
      </x:c>
      <x:c r="E18" s="11" t="str">
        <x:v>9 actual simulate_swro_system calls</x:v>
      </x:c>
      <x:c r="F18" s="11" t="str">
        <x:v>9 actual simulate_swro_system calls</x:v>
      </x:c>
      <x:c r="G18" s="11" t="str">
        <x:v>9 actual simulate_swro_system calls</x:v>
      </x:c>
      <x:c r="H18" s="11" t="str">
        <x:v>9 actual simulate_swro_system calls</x:v>
      </x:c>
      <x:c r="I18" s="11" t="str">
        <x:v>9 actual simulate_swro_system calls</x:v>
      </x:c>
      <x:c r="J18" s="11" t="str">
        <x:v>9 actual simulate_swro_system calls</x:v>
      </x:c>
      <x:c r="K18" s="11" t="str">
        <x:v>9 actual simulate_swro_system calls</x:v>
      </x:c>
      <x:c r="L18" s="11" t="str">
        <x:v>9 actual simulate_swro_system calls</x:v>
      </x:c>
      <x:c r="M18" s="11" t="str">
        <x:v>9 actual simulate_swro_system calls</x:v>
      </x:c>
      <x:c r="N18" s="11" t="str">
        <x:v>9 actual simulate_swro_system calls</x:v>
      </x:c>
      <x:c r="O18" s="11" t="str">
        <x:v>9 actual simulate_swro_system calls</x:v>
      </x:c>
      <x:c r="P18" s="11" t="str">
        <x:v>9 actual simulate_swro_system calls</x:v>
      </x:c>
      <x:c r="Q18" s="11" t="str">
        <x:v>9 actual simulate_swro_system calls</x:v>
      </x:c>
      <x:c r="R18" s="11" t="str">
        <x:v>9 actual simulate_swro_system calls</x:v>
      </x:c>
      <x:c r="T18" t="str">
        <x:v>Scenario</x:v>
      </x:c>
      <x:c r="U18" t="str">
        <x:v>Total CAPEX $m</x:v>
      </x:c>
      <x:c r="V18" t="str">
        <x:v>Reference</x:v>
      </x:c>
    </x:row>
    <x:row r="19">
      <x:c r="A19" s="17" t="str">
        <x:v>Call</x:v>
      </x:c>
      <x:c r="B19" s="17" t="str">
        <x:v>Scenario</x:v>
      </x:c>
      <x:c r="C19" s="17" t="str">
        <x:v>Decision variable</x:v>
      </x:c>
      <x:c r="D19" s="17" t="str">
        <x:v>Input/configuration</x:v>
      </x:c>
      <x:c r="E19" s="17" t="str">
        <x:v>Product m³/s</x:v>
      </x:c>
      <x:c r="F19" s="17" t="str">
        <x:v>Total product m³/d</x:v>
      </x:c>
      <x:c r="G19" s="17" t="str">
        <x:v>Recovery %</x:v>
      </x:c>
      <x:c r="H19" s="17" t="str">
        <x:v>Modeled CAPEX per call</x:v>
      </x:c>
      <x:c r="I19" s="17" t="str">
        <x:v>Train/multiplier</x:v>
      </x:c>
      <x:c r="J19" s="17" t="str">
        <x:v>Total CAPEX</x:v>
      </x:c>
      <x:c r="K19" s="17" t="str">
        <x:v>ΔCAPEX</x:v>
      </x:c>
      <x:c r="L19" s="17" t="str">
        <x:v>Capital intensity</x:v>
      </x:c>
      <x:c r="M19" s="17" t="str">
        <x:v>SEC</x:v>
      </x:c>
      <x:c r="N19" s="17" t="str">
        <x:v>LCOW</x:v>
      </x:c>
      <x:c r="O19" s="17" t="str">
        <x:v>P1 kW</x:v>
      </x:c>
      <x:c r="P19" s="17" t="str">
        <x:v>P2/ERD kW</x:v>
      </x:c>
      <x:c r="Q19" s="17" t="str">
        <x:v>Decision</x:v>
      </x:c>
      <x:c r="R19" s="17" t="str">
        <x:v>Observation</x:v>
      </x:c>
      <x:c r="T19" t="str">
        <x:f>B20</x:f>
        <x:v>15°C/16,000 m²</x:v>
      </x:c>
      <x:c r="U19" t="n">
        <x:f>J20/1000000</x:f>
        <x:v>25.977118833942033</x:v>
      </x:c>
      <x:c r="V19" t="n">
        <x:f>26500000/1000000</x:f>
        <x:v>26.5</x:v>
      </x:c>
    </x:row>
    <x:row r="20" ht="32" customHeight="1">
      <x:c r="A20" s="21" t="n">
        <x:v>1</x:v>
      </x:c>
      <x:c r="B20" s="21" t="str">
        <x:v>15°C/16,000 m²</x:v>
      </x:c>
      <x:c r="C20" s="21" t="str">
        <x:v>Temperature / area</x:v>
      </x:c>
      <x:c r="D20" s="21" t="str">
        <x:v>15/16000</x:v>
      </x:c>
      <x:c r="E20" s="35" t="n">
        <x:v>0.14994072590256619</x:v>
      </x:c>
      <x:c r="F20" s="22" t="n">
        <x:f>E20*86400*I20</x:f>
        <x:v>12954.87871798172</x:v>
      </x:c>
      <x:c r="G20" s="22" t="n">
        <x:v>41.82289376577991</x:v>
      </x:c>
      <x:c r="H20" s="22" t="n">
        <x:v>25977118.833942033</x:v>
      </x:c>
      <x:c r="I20" s="22" t="n">
        <x:v>1</x:v>
      </x:c>
      <x:c r="J20" s="22" t="n">
        <x:f>H20*I20</x:f>
        <x:v>25977118.833942033</x:v>
      </x:c>
      <x:c r="K20" s="22" t="n">
        <x:f>J20-$J$20</x:f>
        <x:v>0</x:v>
      </x:c>
      <x:c r="L20" s="22" t="n">
        <x:f>J20/F20</x:f>
        <x:v>2005.1996934471563</x:v>
      </x:c>
      <x:c r="M20" s="22" t="n">
        <x:v>3.0363138797203573</x:v>
      </x:c>
      <x:c r="N20" s="22" t="n">
        <x:v>0.8158561237814039</x:v>
      </x:c>
      <x:c r="O20" s="22" t="n">
        <x:v>1243.0900158129994</x:v>
      </x:c>
      <x:c r="P20" s="22" t="n">
        <x:v>175.60116992235922</x:v>
      </x:c>
      <x:c r="Q20" s="21" t="str">
        <x:v>PASS</x:v>
      </x:c>
      <x:c r="R20" s="21" t="str">
        <x:v>This point alone under-sizes area</x:v>
      </x:c>
      <x:c r="T20" t="str">
        <x:f>B21</x:f>
        <x:v>25°C/16,000 m²</x:v>
      </x:c>
      <x:c r="U20" t="n">
        <x:f>J21/1000000</x:f>
        <x:v>25.78723487989441</x:v>
      </x:c>
      <x:c r="V20" t="n">
        <x:f>26500000/1000000</x:f>
        <x:v>26.5</x:v>
      </x:c>
    </x:row>
    <x:row r="21" ht="32" customHeight="1">
      <x:c r="A21" s="21" t="n">
        <x:v>2</x:v>
      </x:c>
      <x:c r="B21" s="21" t="str">
        <x:v>25°C/16,000 m²</x:v>
      </x:c>
      <x:c r="C21" s="21" t="str">
        <x:v>Temperature / area</x:v>
      </x:c>
      <x:c r="D21" s="21" t="str">
        <x:v>25/16000</x:v>
      </x:c>
      <x:c r="E21" s="35" t="n">
        <x:v>0.14606523411807398</x:v>
      </x:c>
      <x:c r="F21" s="22" t="n">
        <x:f>E21*86400*I21</x:f>
        <x:v>12620.036227801593</x:v>
      </x:c>
      <x:c r="G21" s="22" t="n">
        <x:v>40.72477388586892</x:v>
      </x:c>
      <x:c r="H21" s="22" t="n">
        <x:v>25787234.87989441</x:v>
      </x:c>
      <x:c r="I21" s="22" t="n">
        <x:v>1</x:v>
      </x:c>
      <x:c r="J21" s="22" t="n">
        <x:f>H21*I21</x:f>
        <x:v>25787234.87989441</x:v>
      </x:c>
      <x:c r="K21" s="22" t="n">
        <x:f>J21-$J$20</x:f>
        <x:v>-189883.95404762402</x:v>
      </x:c>
      <x:c r="L21" s="22" t="n">
        <x:f>J21/F21</x:f>
        <x:v>2043.356644498836</x:v>
      </x:c>
      <x:c r="M21" s="22" t="n">
        <x:v>3.0399687317705637</x:v>
      </x:c>
      <x:c r="N21" s="22" t="n">
        <x:v>0.8290912097098814</x:v>
      </x:c>
      <x:c r="O21" s="22" t="n">
        <x:v>1213.4585782974434</x:v>
      </x:c>
      <x:c r="P21" s="22" t="n">
        <x:v>170.47188465769835</x:v>
      </x:c>
      <x:c r="Q21" s="21" t="str">
        <x:v>FAIL</x:v>
      </x:c>
      <x:c r="R21" s="21" t="str">
        <x:v>Mid-temperature shortfall</x:v>
      </x:c>
      <x:c r="T21" t="str">
        <x:f>B22</x:f>
        <x:v>32°C/16,000 m²</x:v>
      </x:c>
      <x:c r="U21" t="n">
        <x:f>J22/1000000</x:f>
        <x:v>25.668415100041468</x:v>
      </x:c>
      <x:c r="V21" t="n">
        <x:f>26500000/1000000</x:f>
        <x:v>26.5</x:v>
      </x:c>
    </x:row>
    <x:row r="22" ht="32" customHeight="1">
      <x:c r="A22" s="21" t="n">
        <x:v>3</x:v>
      </x:c>
      <x:c r="B22" s="21" t="str">
        <x:v>32°C/16,000 m²</x:v>
      </x:c>
      <x:c r="C22" s="21" t="str">
        <x:v>Temperature / area</x:v>
      </x:c>
      <x:c r="D22" s="21" t="str">
        <x:v>32/16000</x:v>
      </x:c>
      <x:c r="E22" s="35" t="n">
        <x:v>0.14347266315930315</x:v>
      </x:c>
      <x:c r="F22" s="22" t="n">
        <x:f>E22*86400*I22</x:f>
        <x:v>12396.038096963792</x:v>
      </x:c>
      <x:c r="G22" s="22" t="n">
        <x:v>39.99310695226947</x:v>
      </x:c>
      <x:c r="H22" s="22" t="n">
        <x:v>25668415.100041468</x:v>
      </x:c>
      <x:c r="I22" s="22" t="n">
        <x:v>1</x:v>
      </x:c>
      <x:c r="J22" s="22" t="n">
        <x:f>H22*I22</x:f>
        <x:v>25668415.100041468</x:v>
      </x:c>
      <x:c r="K22" s="22" t="n">
        <x:f>J22-$J$20</x:f>
        <x:v>-308703.73390056565</x:v>
      </x:c>
      <x:c r="L22" s="22" t="n">
        <x:f>J22/F22</x:f>
        <x:v>2070.695080094061</x:v>
      </x:c>
      <x:c r="M22" s="22" t="n">
        <x:v>3.0466014680348823</x:v>
      </x:c>
      <x:c r="N22" s="22" t="n">
        <x:v>0.8387589073363746</x:v>
      </x:c>
      <x:c r="O22" s="22" t="n">
        <x:v>1194.3049791415742</x:v>
      </x:c>
      <x:c r="P22" s="22" t="n">
        <x:v>168.47781003992435</x:v>
      </x:c>
      <x:c r="Q22" s="21" t="str">
        <x:v>FAIL</x:v>
      </x:c>
      <x:c r="R22" s="21" t="str">
        <x:v>Controlling point in specified model</x:v>
      </x:c>
      <x:c r="T22" t="str">
        <x:f>B23</x:f>
        <x:v>15°C/17,000 m²</x:v>
      </x:c>
      <x:c r="U22" t="n">
        <x:f>J23/1000000</x:f>
        <x:v>26.299539949736104</x:v>
      </x:c>
      <x:c r="V22" t="n">
        <x:f>26500000/1000000</x:f>
        <x:v>26.5</x:v>
      </x:c>
    </x:row>
    <x:row r="23" ht="32" customHeight="1">
      <x:c r="A23" s="21" t="n">
        <x:v>4</x:v>
      </x:c>
      <x:c r="B23" s="21" t="str">
        <x:v>15°C/17,000 m²</x:v>
      </x:c>
      <x:c r="C23" s="21" t="str">
        <x:v>Temperature / area</x:v>
      </x:c>
      <x:c r="D23" s="21" t="str">
        <x:v>15/17000</x:v>
      </x:c>
      <x:c r="E23" s="35" t="n">
        <x:v>0.155568024952702</x:v>
      </x:c>
      <x:c r="F23" s="22" t="n">
        <x:f>E23*86400*I23</x:f>
        <x:v>13441.077355913452</x:v>
      </x:c>
      <x:c r="G23" s="22" t="n">
        <x:v>43.39225761966587</x:v>
      </x:c>
      <x:c r="H23" s="22" t="n">
        <x:v>26299539.949736103</x:v>
      </x:c>
      <x:c r="I23" s="22" t="n">
        <x:v>1</x:v>
      </x:c>
      <x:c r="J23" s="22" t="n">
        <x:f>H23*I23</x:f>
        <x:v>26299539.949736103</x:v>
      </x:c>
      <x:c r="K23" s="22" t="n">
        <x:f>J23-$J$20</x:f>
        <x:v>322421.11579407007</x:v>
      </x:c>
      <x:c r="L23" s="22" t="n">
        <x:f>J23/F23</x:f>
        <x:v>1956.654161964593</x:v>
      </x:c>
      <x:c r="M23" s="22" t="n">
        <x:v>3.0238330339137196</x:v>
      </x:c>
      <x:c r="N23" s="22" t="n">
        <x:v>0.7995004211855484</x:v>
      </x:c>
      <x:c r="O23" s="22" t="n">
        <x:v>1289.6977367961874</x:v>
      </x:c>
      <x:c r="P23" s="22" t="n">
        <x:v>175.26751295035544</x:v>
      </x:c>
      <x:c r="Q23" s="21" t="str">
        <x:v>PASS</x:v>
      </x:c>
      <x:c r="R23" s="21" t="str">
        <x:v>Supporting trend point</x:v>
      </x:c>
      <x:c r="T23" t="str">
        <x:f>B24</x:f>
        <x:v>15°C/18,000 m²</x:v>
      </x:c>
      <x:c r="U23" t="n">
        <x:f>J24/1000000</x:f>
        <x:v>26.60561990597622</x:v>
      </x:c>
      <x:c r="V23" t="n">
        <x:f>26500000/1000000</x:f>
        <x:v>26.5</x:v>
      </x:c>
    </x:row>
    <x:row r="24" ht="32" customHeight="1">
      <x:c r="A24" s="21" t="n">
        <x:v>5</x:v>
      </x:c>
      <x:c r="B24" s="21" t="str">
        <x:v>15°C/18,000 m²</x:v>
      </x:c>
      <x:c r="C24" s="21" t="str">
        <x:v>Temperature / area</x:v>
      </x:c>
      <x:c r="D24" s="21" t="str">
        <x:v>15/18000</x:v>
      </x:c>
      <x:c r="E24" s="35" t="n">
        <x:v>0.16087804558486327</x:v>
      </x:c>
      <x:c r="F24" s="22" t="n">
        <x:f>E24*86400*I24</x:f>
        <x:v>13899.863138532186</x:v>
      </x:c>
      <x:c r="G24" s="22" t="n">
        <x:v>44.87310218515591</x:v>
      </x:c>
      <x:c r="H24" s="22" t="n">
        <x:v>26605619.90597622</x:v>
      </x:c>
      <x:c r="I24" s="22" t="n">
        <x:v>1</x:v>
      </x:c>
      <x:c r="J24" s="22" t="n">
        <x:f>H24*I24</x:f>
        <x:v>26605619.90597622</x:v>
      </x:c>
      <x:c r="K24" s="22" t="n">
        <x:f>J24-$J$20</x:f>
        <x:v>628501.0720341876</x:v>
      </x:c>
      <x:c r="L24" s="22" t="n">
        <x:f>J24/F24</x:f>
        <x:v>1914.0922209674184</x:v>
      </x:c>
      <x:c r="M24" s="22" t="n">
        <x:v>3.0128080770385086</x:v>
      </x:c>
      <x:c r="N24" s="22" t="n">
        <x:v>0.78521880290762</x:v>
      </x:c>
      <x:c r="O24" s="22" t="n">
        <x:v>1333.67222867112</x:v>
      </x:c>
      <x:c r="P24" s="22" t="n">
        <x:v>174.92998407363194</x:v>
      </x:c>
      <x:c r="Q24" s="21" t="str">
        <x:v>PASS</x:v>
      </x:c>
      <x:c r="R24" s="21" t="str">
        <x:v>Supporting trend point</x:v>
      </x:c>
      <x:c r="T24" t="str">
        <x:f>B25</x:f>
        <x:v>15°C/19,000 m²</x:v>
      </x:c>
      <x:c r="U24" t="n">
        <x:f>J25/1000000</x:f>
        <x:v>26.896720683217083</x:v>
      </x:c>
      <x:c r="V24" t="n">
        <x:f>26500000/1000000</x:f>
        <x:v>26.5</x:v>
      </x:c>
    </x:row>
    <x:row r="25" ht="32" customHeight="1">
      <x:c r="A25" s="21" t="n">
        <x:v>6</x:v>
      </x:c>
      <x:c r="B25" s="21" t="str">
        <x:v>15°C/19,000 m²</x:v>
      </x:c>
      <x:c r="C25" s="21" t="str">
        <x:v>Temperature / area</x:v>
      </x:c>
      <x:c r="D25" s="21" t="str">
        <x:v>15/19000</x:v>
      </x:c>
      <x:c r="E25" s="35" t="n">
        <x:v>0.16589256914864312</x:v>
      </x:c>
      <x:c r="F25" s="22" t="n">
        <x:f>E25*86400*I25</x:f>
        <x:v>14333.117974442765</x:v>
      </x:c>
      <x:c r="G25" s="22" t="n">
        <x:v>46.271504556739245</x:v>
      </x:c>
      <x:c r="H25" s="22" t="n">
        <x:v>26896720.683217082</x:v>
      </x:c>
      <x:c r="I25" s="22" t="n">
        <x:v>1</x:v>
      </x:c>
      <x:c r="J25" s="22" t="n">
        <x:f>H25*I25</x:f>
        <x:v>26896720.683217082</x:v>
      </x:c>
      <x:c r="K25" s="22" t="n">
        <x:f>J25-$J$20</x:f>
        <x:v>919601.8492750488</x:v>
      </x:c>
      <x:c r="L25" s="22" t="n">
        <x:f>J25/F25</x:f>
        <x:v>1876.543591643936</x:v>
      </x:c>
      <x:c r="M25" s="22" t="n">
        <x:v>3.003013676850107</x:v>
      </x:c>
      <x:c r="N25" s="22" t="n">
        <x:v>0.7726742359237682</x:v>
      </x:c>
      <x:c r="O25" s="22" t="n">
        <x:v>1375.1944029111291</x:v>
      </x:c>
      <x:c r="P25" s="22" t="n">
        <x:v>174.59794408606015</x:v>
      </x:c>
      <x:c r="Q25" s="21" t="str">
        <x:v>PASS</x:v>
      </x:c>
      <x:c r="R25" s="21" t="str">
        <x:v>Supporting trend point</x:v>
      </x:c>
      <x:c r="T25" t="str">
        <x:f>B26</x:f>
        <x:v>32°C/17,000 m²</x:v>
      </x:c>
      <x:c r="U25" t="n">
        <x:f>J26/1000000</x:f>
        <x:v>25.984934159390473</x:v>
      </x:c>
      <x:c r="V25" t="n">
        <x:f>26500000/1000000</x:f>
        <x:v>26.5</x:v>
      </x:c>
    </x:row>
    <x:row r="26" ht="32" customHeight="1">
      <x:c r="A26" s="21" t="n">
        <x:v>7</x:v>
      </x:c>
      <x:c r="B26" s="21" t="str">
        <x:v>32°C/17,000 m²</x:v>
      </x:c>
      <x:c r="C26" s="21" t="str">
        <x:v>Temperature / area</x:v>
      </x:c>
      <x:c r="D26" s="21" t="str">
        <x:v>32/17000</x:v>
      </x:c>
      <x:c r="E26" s="35" t="n">
        <x:v>0.14892356838438786</x:v>
      </x:c>
      <x:c r="F26" s="22" t="n">
        <x:f>E26*86400*I26</x:f>
        <x:v>12866.996308411111</x:v>
      </x:c>
      <x:c r="G26" s="22" t="n">
        <x:v>41.51231693625101</x:v>
      </x:c>
      <x:c r="H26" s="22" t="n">
        <x:v>25984934.159390472</x:v>
      </x:c>
      <x:c r="I26" s="22" t="n">
        <x:v>1</x:v>
      </x:c>
      <x:c r="J26" s="22" t="n">
        <x:f>H26*I26</x:f>
        <x:v>25984934.159390472</x:v>
      </x:c>
      <x:c r="K26" s="22" t="n">
        <x:f>J26-$J$20</x:f>
        <x:v>7815.325448438525</x:v>
      </x:c>
      <x:c r="L26" s="22" t="n">
        <x:f>J26/F26</x:f>
        <x:v>2019.502729040515</x:v>
      </x:c>
      <x:c r="M26" s="22" t="n">
        <x:v>3.0338518428424273</x:v>
      </x:c>
      <x:c r="N26" s="22" t="n">
        <x:v>0.8215045587985974</x:v>
      </x:c>
      <x:c r="O26" s="22" t="n">
        <x:v>1239.6408742504668</x:v>
      </x:c>
      <x:c r="P26" s="22" t="n">
        <x:v>168.10268305734994</x:v>
      </x:c>
      <x:c r="Q26" s="21" t="str">
        <x:v>FAIL</x:v>
      </x:c>
      <x:c r="R26" s="21" t="str">
        <x:v>Adjacent area fails</x:v>
      </x:c>
      <x:c r="T26" t="str">
        <x:f>B27</x:f>
        <x:v>32°C/18,000 m²</x:v>
      </x:c>
      <x:c r="U26" t="n">
        <x:f>J27/1000000</x:f>
        <x:v>26.285919395484417</x:v>
      </x:c>
      <x:c r="V26" t="n">
        <x:f>26500000/1000000</x:f>
        <x:v>26.5</x:v>
      </x:c>
    </x:row>
    <x:row r="27" ht="32" customHeight="1">
      <x:c r="A27" s="21" t="n">
        <x:v>8</x:v>
      </x:c>
      <x:c r="B27" s="21" t="str">
        <x:v>32°C/18,000 m²</x:v>
      </x:c>
      <x:c r="C27" s="21" t="str">
        <x:v>Temperature / area</x:v>
      </x:c>
      <x:c r="D27" s="21" t="str">
        <x:v>32/18000</x:v>
      </x:c>
      <x:c r="E27" s="35" t="n">
        <x:v>0.15407688899313685</x:v>
      </x:c>
      <x:c r="F27" s="22" t="n">
        <x:f>E27*86400*I27</x:f>
        <x:v>13312.243209007023</x:v>
      </x:c>
      <x:c r="G27" s="22" t="n">
        <x:v>42.94855579861368</x:v>
      </x:c>
      <x:c r="H27" s="22" t="n">
        <x:v>26285919.395484418</x:v>
      </x:c>
      <x:c r="I27" s="22" t="n">
        <x:v>1</x:v>
      </x:c>
      <x:c r="J27" s="22" t="n">
        <x:f>H27*I27</x:f>
        <x:v>26285919.395484418</x:v>
      </x:c>
      <x:c r="K27" s="22" t="n">
        <x:f>J27-$J$20</x:f>
        <x:v>308800.5615423843</x:v>
      </x:c>
      <x:c r="L27" s="22" t="n">
        <x:f>J27/F27</x:f>
        <x:v>1974.5672448126131</x:v>
      </x:c>
      <x:c r="M27" s="22" t="n">
        <x:v>3.022591016675205</x:v>
      </x:c>
      <x:c r="N27" s="22" t="n">
        <x:v>0.8064189329713236</x:v>
      </x:c>
      <x:c r="O27" s="22" t="n">
        <x:v>1282.4971795474896</x:v>
      </x:c>
      <x:c r="P27" s="22" t="n">
        <x:v>167.73214772672418</x:v>
      </x:c>
      <x:c r="Q27" s="21" t="str">
        <x:v>PASS; recommended</x:v>
      </x:c>
      <x:c r="R27" s="21" t="str">
        <x:v>Adjacent area passes</x:v>
      </x:c>
      <x:c r="T27" t="str">
        <x:f>B28</x:f>
        <x:v>32°C/19,000 m²</x:v>
      </x:c>
      <x:c r="U27" t="n">
        <x:f>J28/1000000</x:f>
        <x:v>26.572652640357745</x:v>
      </x:c>
      <x:c r="V27" t="n">
        <x:f>26500000/1000000</x:f>
        <x:v>26.5</x:v>
      </x:c>
    </x:row>
    <x:row r="28" ht="32" customHeight="1">
      <x:c r="A28" s="21" t="n">
        <x:v>9</x:v>
      </x:c>
      <x:c r="B28" s="21" t="str">
        <x:v>32°C/19,000 m²</x:v>
      </x:c>
      <x:c r="C28" s="21" t="str">
        <x:v>Temperature / area</x:v>
      </x:c>
      <x:c r="D28" s="21" t="str">
        <x:v>32/19000</x:v>
      </x:c>
      <x:c r="E28" s="35" t="n">
        <x:v>0.15895276224634589</x:v>
      </x:c>
      <x:c r="F28" s="22" t="n">
        <x:f>E28*86400*I28</x:f>
        <x:v>13733.518658084284</x:v>
      </x:c>
      <x:c r="G28" s="22" t="n">
        <x:v>44.30743827005802</x:v>
      </x:c>
      <x:c r="H28" s="22" t="n">
        <x:v>26572652.640357744</x:v>
      </x:c>
      <x:c r="I28" s="22" t="n">
        <x:v>1</x:v>
      </x:c>
      <x:c r="J28" s="22" t="n">
        <x:f>H28*I28</x:f>
        <x:v>26572652.640357744</x:v>
      </x:c>
      <x:c r="K28" s="22" t="n">
        <x:f>J28-$J$20</x:f>
        <x:v>595533.8064157106</x:v>
      </x:c>
      <x:c r="L28" s="22" t="n">
        <x:f>J28/F28</x:f>
        <x:v>1934.8757810669051</x:v>
      </x:c>
      <x:c r="M28" s="22" t="n">
        <x:v>3.012586703904248</x:v>
      </x:c>
      <x:c r="N28" s="22" t="n">
        <x:v>0.7931500694000176</x:v>
      </x:c>
      <x:c r="O28" s="22" t="n">
        <x:v>1323.0417991080717</x:v>
      </x:c>
      <x:c r="P28" s="22" t="n">
        <x:v>167.37333224311976</x:v>
      </x:c>
      <x:c r="Q28" s="21" t="str">
        <x:v>PASS</x:v>
      </x:c>
      <x:c r="R28" s="21" t="str">
        <x:v>Larger than required</x:v>
      </x:c>
    </x:row>
    <x:row r="30">
      <x:c r="A30" s="11" t="str">
        <x:v>Decision calculations</x:v>
      </x:c>
      <x:c r="B30" s="11" t="str">
        <x:v>Decision calculations</x:v>
      </x:c>
      <x:c r="C30" s="11" t="str">
        <x:v>Decision calculations</x:v>
      </x:c>
      <x:c r="D30" s="11" t="str">
        <x:v>Decision calculations</x:v>
      </x:c>
      <x:c r="E30" s="11" t="str">
        <x:v>Decision calculations</x:v>
      </x:c>
      <x:c r="F30" s="11" t="str">
        <x:v>Decision calculations</x:v>
      </x:c>
      <x:c r="G30" s="11" t="str">
        <x:v>Decision calculations</x:v>
      </x:c>
      <x:c r="H30" s="11" t="str">
        <x:v>Decision calculations</x:v>
      </x:c>
    </x:row>
    <x:row r="31">
      <x:c r="A31" s="17" t="str">
        <x:v>Item</x:v>
      </x:c>
      <x:c r="B31" s="17" t="str">
        <x:v>Option A</x:v>
      </x:c>
      <x:c r="C31" s="17" t="str">
        <x:v>Option B</x:v>
      </x:c>
      <x:c r="D31" s="17" t="str">
        <x:v>Option C</x:v>
      </x:c>
      <x:c r="E31" s="17" t="str">
        <x:v>Formula/basis</x:v>
      </x:c>
      <x:c r="F31" s="17" t="str">
        <x:v>Constraint</x:v>
      </x:c>
      <x:c r="G31" s="17" t="str">
        <x:v>Result</x:v>
      </x:c>
      <x:c r="H31" s="17" t="str">
        <x:v>Engineering interpretation</x:v>
      </x:c>
    </x:row>
    <x:row r="32" ht="50" customHeight="1">
      <x:c r="A32" s="21" t="str">
        <x:v>Seasonal product at 16,000 m²</x:v>
      </x:c>
      <x:c r="B32" s="22" t="n">
        <x:f>F20</x:f>
        <x:v>12954.87871798172</x:v>
      </x:c>
      <x:c r="C32" s="22" t="n">
        <x:f>F21</x:f>
        <x:v>12620.036227801593</x:v>
      </x:c>
      <x:c r="D32" s="22" t="n">
        <x:f>F22</x:f>
        <x:v>12396.038096963792</x:v>
      </x:c>
      <x:c r="E32" s="21" t="str">
        <x:v>Qp × 86,400</x:v>
      </x:c>
      <x:c r="F32" s="21" t="str">
        <x:v>&gt;= 12,900</x:v>
      </x:c>
      <x:c r="G32" s="21" t="str">
        <x:v>Only 15°C passes</x:v>
      </x:c>
      <x:c r="H32" s="21" t="str">
        <x:v>32°C controls in specified model</x:v>
      </x:c>
    </x:row>
    <x:row r="33" ht="50" customHeight="1">
      <x:c r="A33" s="21" t="str">
        <x:v>32°C area boundary</x:v>
      </x:c>
      <x:c r="B33" s="22" t="n">
        <x:f>F26</x:f>
        <x:v>12866.996308411111</x:v>
      </x:c>
      <x:c r="C33" s="22" t="n">
        <x:f>F27</x:f>
        <x:v>13312.243209007023</x:v>
      </x:c>
      <x:c r="D33" s="22"/>
      <x:c r="E33" s="21" t="str">
        <x:v>17,000 fails / 18,000 passes</x:v>
      </x:c>
      <x:c r="F33" s="21" t="str">
        <x:v>&gt;= 12,900</x:v>
      </x:c>
      <x:c r="G33" s="21" t="str">
        <x:v>18,000 m²</x:v>
      </x:c>
      <x:c r="H33" s="21" t="str">
        <x:v>1,000 m² grid</x:v>
      </x:c>
    </x:row>
    <x:row r="34" ht="50" customHeight="1">
      <x:c r="A34" s="21" t="str">
        <x:v>CAPEX increment</x:v>
      </x:c>
      <x:c r="B34" s="22" t="n">
        <x:f>J27-J20</x:f>
        <x:v>308800.5615423843</x:v>
      </x:c>
      <x:c r="C34" s="22"/>
      <x:c r="D34" s="22"/>
      <x:c r="E34" s="21" t="str">
        <x:v>Recommended − apparent design</x:v>
      </x:c>
      <x:c r="F34" s="21" t="str">
        <x:v>—</x:v>
      </x:c>
      <x:c r="G34" s="21" t="str">
        <x:v>About $0.309m</x:v>
      </x:c>
      <x:c r="H34" s="21" t="str">
        <x:v>Avoid seasonal undersizing</x:v>
      </x:c>
    </x:row>
    <x:row r="35" ht="50" customHeight="1">
      <x:c r="A35" s="21" t="str">
        <x:v>Model boundary</x:v>
      </x:c>
      <x:c r="B35" s="22" t="str">
        <x:v>Fixed A_comp</x:v>
      </x:c>
      <x:c r="C35" s="22" t="str">
        <x:v>Temperature changes net driving pressure</x:v>
      </x:c>
      <x:c r="D35" s="22" t="str">
        <x:v>Verify vendor TCF separately</x:v>
      </x:c>
      <x:c r="E35" s="21" t="str">
        <x:v>Do not generalize</x:v>
      </x:c>
      <x:c r="F35" s="21" t="str">
        <x:v>Explicit caveat</x:v>
      </x:c>
      <x:c r="G35" s="21" t="str">
        <x:v>Model result + external check</x:v>
      </x:c>
      <x:c r="H35" s="21" t="str">
        <x:v>Counterintuitive is not universal</x:v>
      </x:c>
    </x:row>
    <x:row r="36">
      <x:c r="B36" s="36"/>
      <x:c r="C36" s="36"/>
      <x:c r="D36" s="36"/>
    </x:row>
    <x:row r="37">
      <x:c r="B37" s="36"/>
      <x:c r="C37" s="36"/>
      <x:c r="D37" s="36"/>
    </x:row>
    <x:row r="39">
      <x:c r="A39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B39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C39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D39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E39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F39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G39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H39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I39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J39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K39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L39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M39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N39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O39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P39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Q39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R39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</x:row>
    <x:row r="40">
      <x:c r="A40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B40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C40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D40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E40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F40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G40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H40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I40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J40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K40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L40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M40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N40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O40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P40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Q40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R40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</x:row>
    <x:row r="41">
      <x:c r="A41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B41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C41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D41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E41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F41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G41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H41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I41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J41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K41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L41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M41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N41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O41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P41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Q41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R41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</x:row>
    <x:row r="42">
      <x:c r="A42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B42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C42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D42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E42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F42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G42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H42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I42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J42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K42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L42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M42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N42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O42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P42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Q42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R42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</x:row>
    <x:row r="43">
      <x:c r="A43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B43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C43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D43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E43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F43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G43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H43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I43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J43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K43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L43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M43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N43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O43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P43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Q43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R43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</x:row>
    <x:row r="44">
      <x:c r="A44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B44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C44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D44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E44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F44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G44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H44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I44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J44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K44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L44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M44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N44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O44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P44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Q44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R44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</x:row>
    <x:row r="45">
      <x:c r="A45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B45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C45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D45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E45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F45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G45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H45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I45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J45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K45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L45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M45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N45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O45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P45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Q45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R45" s="34" t="str">
        <x:v>Final conclusion
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</x:row>
  </x:sheetData>
  <x:mergeCells>
    <x:mergeCell ref="A1:V2"/>
    <x:mergeCell ref="A4:V6"/>
    <x:mergeCell ref="A8:H8"/>
    <x:mergeCell ref="A18:R18"/>
    <x:mergeCell ref="A30:H30"/>
    <x:mergeCell ref="A39:R45"/>
  </x:mergeCells>
  <x:pageMargins left="0.7" right="0.7" top="0.75" bottom="0.75" header="0.3" footer="0.3"/>
  <x:drawing xmlns:r="http://schemas.openxmlformats.org/officeDocument/2006/relationships" r:id="R188eb26012b046c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4" hidden="0" customWidth="1"/>
    <x:col min="3" max="3" width="54" hidden="0" customWidth="1"/>
    <x:col min="4" max="4" width="46" hidden="0" customWidth="1"/>
    <x:col min="5" max="5" width="46" hidden="0" customWidth="1"/>
    <x:col min="6" max="6" width="11" hidden="0" customWidth="1"/>
    <x:col min="7" max="7" width="11" hidden="0" customWidth="1"/>
  </x:cols>
  <x:sheetData>
    <x:row r="1" ht="26" customHeight="1">
      <x:c r="A1" s="4" t="str">
        <x:v>D4_4a N03: Trajectory Rubric (100 points)</x:v>
      </x:c>
      <x:c r="B1" s="4" t="str">
        <x:v>D4_4a N03: Trajectory Rubric (100 points)</x:v>
      </x:c>
      <x:c r="C1" s="4" t="str">
        <x:v>D4_4a N03: Trajectory Rubric (100 points)</x:v>
      </x:c>
      <x:c r="D1" s="4" t="str">
        <x:v>D4_4a N03: Trajectory Rubric (100 points)</x:v>
      </x:c>
      <x:c r="E1" s="4" t="str">
        <x:v>D4_4a N03: Trajectory Rubric (100 points)</x:v>
      </x:c>
      <x:c r="F1" s="4" t="str">
        <x:v>D4_4a N03: Trajectory Rubric (100 points)</x:v>
      </x:c>
      <x:c r="G1" s="4" t="str">
        <x:v>D4_4a N03: Trajectory Rubric (100 points)</x:v>
      </x:c>
    </x:row>
    <x:row r="2" ht="26" customHeight="1">
      <x:c r="A2" s="4" t="str">
        <x:v>D4_4a N03: Trajectory Rubric (100 points)</x:v>
      </x:c>
      <x:c r="B2" s="4" t="str">
        <x:v>D4_4a N03: Trajectory Rubric (100 points)</x:v>
      </x:c>
      <x:c r="C2" s="4" t="str">
        <x:v>D4_4a N03: Trajectory Rubric (100 points)</x:v>
      </x:c>
      <x:c r="D2" s="4" t="str">
        <x:v>D4_4a N03: Trajectory Rubric (100 points)</x:v>
      </x:c>
      <x:c r="E2" s="4" t="str">
        <x:v>D4_4a N03: Trajectory Rubric (100 points)</x:v>
      </x:c>
      <x:c r="F2" s="4" t="str">
        <x:v>D4_4a N03: Trajectory Rubric (100 points)</x:v>
      </x:c>
      <x:c r="G2" s="4" t="str">
        <x:v>D4_4a N03: Trajectory Rubric (100 points)</x:v>
      </x:c>
    </x:row>
    <x:row r="4">
      <x:c r="A4" s="29" t="str">
        <x:v>Evaluate whether the agent converts design scale, equipment configuration, cost basis and hard constraints into an auditable full-plant simulation decision.</x:v>
      </x:c>
      <x:c r="B4" s="29" t="str">
        <x:v>Evaluate whether the agent converts design scale, equipment configuration, cost basis and hard constraints into an auditable full-plant simulation decision.</x:v>
      </x:c>
      <x:c r="C4" s="29" t="str">
        <x:v>Evaluate whether the agent converts design scale, equipment configuration, cost basis and hard constraints into an auditable full-plant simulation decision.</x:v>
      </x:c>
      <x:c r="D4" s="29" t="str">
        <x:v>Evaluate whether the agent converts design scale, equipment configuration, cost basis and hard constraints into an auditable full-plant simulation decision.</x:v>
      </x:c>
      <x:c r="E4" s="29" t="str">
        <x:v>Evaluate whether the agent converts design scale, equipment configuration, cost basis and hard constraints into an auditable full-plant simulation decision.</x:v>
      </x:c>
      <x:c r="F4" s="29" t="str">
        <x:v>Evaluate whether the agent converts design scale, equipment configuration, cost basis and hard constraints into an auditable full-plant simulation decision.</x:v>
      </x:c>
      <x:c r="G4" s="29" t="str">
        <x:v>Evaluate whether the agent converts design scale, equipment configuration, cost basis and hard constraints into an auditable full-plant simulation decision.</x:v>
      </x:c>
    </x:row>
    <x:row r="5">
      <x:c r="A5" s="29" t="str">
        <x:v>Evaluate whether the agent converts design scale, equipment configuration, cost basis and hard constraints into an auditable full-plant simulation decision.</x:v>
      </x:c>
      <x:c r="B5" s="29" t="str">
        <x:v>Evaluate whether the agent converts design scale, equipment configuration, cost basis and hard constraints into an auditable full-plant simulation decision.</x:v>
      </x:c>
      <x:c r="C5" s="29" t="str">
        <x:v>Evaluate whether the agent converts design scale, equipment configuration, cost basis and hard constraints into an auditable full-plant simulation decision.</x:v>
      </x:c>
      <x:c r="D5" s="29" t="str">
        <x:v>Evaluate whether the agent converts design scale, equipment configuration, cost basis and hard constraints into an auditable full-plant simulation decision.</x:v>
      </x:c>
      <x:c r="E5" s="29" t="str">
        <x:v>Evaluate whether the agent converts design scale, equipment configuration, cost basis and hard constraints into an auditable full-plant simulation decision.</x:v>
      </x:c>
      <x:c r="F5" s="29" t="str">
        <x:v>Evaluate whether the agent converts design scale, equipment configuration, cost basis and hard constraints into an auditable full-plant simulation decision.</x:v>
      </x:c>
      <x:c r="G5" s="29" t="str">
        <x:v>Evaluate whether the agent converts design scale, equipment configuration, cost basis and hard constraints into an auditable full-plant simulation decision.</x:v>
      </x:c>
    </x:row>
    <x:row r="6">
      <x:c r="A6" s="29" t="str">
        <x:v>Evaluate whether the agent converts design scale, equipment configuration, cost basis and hard constraints into an auditable full-plant simulation decision.</x:v>
      </x:c>
      <x:c r="B6" s="29" t="str">
        <x:v>Evaluate whether the agent converts design scale, equipment configuration, cost basis and hard constraints into an auditable full-plant simulation decision.</x:v>
      </x:c>
      <x:c r="C6" s="29" t="str">
        <x:v>Evaluate whether the agent converts design scale, equipment configuration, cost basis and hard constraints into an auditable full-plant simulation decision.</x:v>
      </x:c>
      <x:c r="D6" s="29" t="str">
        <x:v>Evaluate whether the agent converts design scale, equipment configuration, cost basis and hard constraints into an auditable full-plant simulation decision.</x:v>
      </x:c>
      <x:c r="E6" s="29" t="str">
        <x:v>Evaluate whether the agent converts design scale, equipment configuration, cost basis and hard constraints into an auditable full-plant simulation decision.</x:v>
      </x:c>
      <x:c r="F6" s="29" t="str">
        <x:v>Evaluate whether the agent converts design scale, equipment configuration, cost basis and hard constraints into an auditable full-plant simulation decision.</x:v>
      </x:c>
      <x:c r="G6" s="29" t="str">
        <x:v>Evaluate whether the agent converts design scale, equipment configuration, cost basis and hard constraints into an auditable full-plant simulation decision.</x:v>
      </x:c>
    </x:row>
    <x:row r="8">
      <x:c r="A8" s="17" t="str">
        <x:v>Dimension</x:v>
      </x:c>
      <x:c r="B8" s="17" t="str">
        <x:v>Evaluation question</x:v>
      </x:c>
      <x:c r="C8" s="17" t="str">
        <x:v>Full-credit behavior</x:v>
      </x:c>
      <x:c r="D8" s="17" t="str">
        <x:v>Partial credit</x:v>
      </x:c>
      <x:c r="E8" s="17" t="str">
        <x:v>Zero/major error</x:v>
      </x:c>
      <x:c r="F8" s="17" t="str">
        <x:v>Points</x:v>
      </x:c>
      <x:c r="G8" s="17" t="str">
        <x:v>Score</x:v>
      </x:c>
    </x:row>
    <x:row r="9" ht="74" customHeight="1">
      <x:c r="A9" s="21" t="str">
        <x:v>TQ1 State</x:v>
      </x:c>
      <x:c r="B9" s="21" t="str">
        <x:v>Identify design boundary and hard constraints</x:v>
      </x:c>
      <x:c r="C9" s="21" t="str">
        <x:v>State currency, scale, candidate set and criteria</x:v>
      </x:c>
      <x:c r="D9" s="21" t="str">
        <x:v>One non-controlling constraint missing</x:v>
      </x:c>
      <x:c r="E9" s="21" t="str">
        <x:v>Mix scale or currency</x:v>
      </x:c>
      <x:c r="F9" s="21" t="n">
        <x:v>15</x:v>
      </x:c>
      <x:c r="G9" s="21"/>
    </x:row>
    <x:row r="10" ht="74" customHeight="1">
      <x:c r="A10" s="21" t="str">
        <x:v>TQ2 Tool calls</x:v>
      </x:c>
      <x:c r="B10" s="21" t="str">
        <x:v>Use whole-plant cost tool</x:v>
      </x:c>
      <x:c r="C10" s="21" t="str">
        <x:v>Complete valid simulate_swro_system calls for specified cases</x:v>
      </x:c>
      <x:c r="D10" s="21" t="str">
        <x:v>Minor noncritical deviations</x:v>
      </x:c>
      <x:c r="E10" s="21" t="str">
        <x:v>Use simulate_ro for whole-plant CAPEX</x:v>
      </x:c>
      <x:c r="F10" s="21" t="n">
        <x:v>20</x:v>
      </x:c>
      <x:c r="G10" s="21"/>
    </x:row>
    <x:row r="11" ht="74" customHeight="1">
      <x:c r="A11" s="21" t="str">
        <x:v>TQ3 Capital calculation</x:v>
      </x:c>
      <x:c r="B11" s="21" t="str">
        <x:v>Handle multipliers and units correctly</x:v>
      </x:c>
      <x:c r="C11" s="21" t="str">
        <x:v>Consistent product, total CAPEX and capital intensity</x:v>
      </x:c>
      <x:c r="D11" s="21" t="str">
        <x:v>Mostly right with one unclear basis</x:v>
      </x:c>
      <x:c r="E11" s="21" t="str">
        <x:v>Treat per-call/per-train cost as total</x:v>
      </x:c>
      <x:c r="F11" s="21" t="n">
        <x:v>20</x:v>
      </x:c>
      <x:c r="G11" s="21"/>
    </x:row>
    <x:row r="12" ht="74" customHeight="1">
      <x:c r="A12" s="21" t="str">
        <x:v>TQ4 Specialized calculation</x:v>
      </x:c>
      <x:c r="B12" s="21" t="str">
        <x:v>Complete case-specific increment/premium/escalation formula</x:v>
      </x:c>
      <x:c r="C12" s="21" t="str">
        <x:v>This is a model-identification benchmark: the answer must state both the model result and why it cannot be generalized.</x:v>
      </x:c>
      <x:c r="D12" s="21" t="str">
        <x:v>Close but one external add-on missing</x:v>
      </x:c>
      <x:c r="E12" s="21" t="str">
        <x:v>Present external add-on as tool output</x:v>
      </x:c>
      <x:c r="F12" s="21" t="n">
        <x:v>20</x:v>
      </x:c>
      <x:c r="G12" s="21"/>
    </x:row>
    <x:row r="13" ht="74" customHeight="1">
      <x:c r="A13" s="21" t="str">
        <x:v>TQ5 Interpretation</x:v>
      </x:c>
      <x:c r="B13" s="21" t="str">
        <x:v>Separate CAPEX, SEC, LCOW and model boundary</x:v>
      </x:c>
      <x:c r="C13" s="21" t="str">
        <x:v>Hard constraints first; explain tradeoff or counterintuitive result</x:v>
      </x:c>
      <x:c r="D13" s="21" t="str">
        <x:v>Conclusion right but explanation incomplete</x:v>
      </x:c>
      <x:c r="E13" s="21" t="str">
        <x:v>Substitute LCOW for CAPEX or omit model boundary</x:v>
      </x:c>
      <x:c r="F13" s="21" t="n">
        <x:v>15</x:v>
      </x:c>
      <x:c r="G13" s="21"/>
    </x:row>
    <x:row r="14" ht="74" customHeight="1">
      <x:c r="A14" s="21" t="str">
        <x:v>TQ6 Decision</x:v>
      </x:c>
      <x:c r="B14" s="21" t="str">
        <x:v>Give actionable conclusion</x:v>
      </x:c>
      <x:c r="C14" s="21" t="str">
        <x:v>Checking only 15°C would falsely accept 16,000 m² because product is 12,954.</x:v>
      </x:c>
      <x:c r="D14" s="21" t="str">
        <x:v>Key result right but one number missing</x:v>
      </x:c>
      <x:c r="E14" s="21" t="str">
        <x:v>Recommend failing or over-budget option</x:v>
      </x:c>
      <x:c r="F14" s="21" t="n">
        <x:v>10</x:v>
      </x:c>
      <x:c r="G14" s="21"/>
    </x:row>
    <x:row r="17">
      <x:c r="A17" s="11" t="str">
        <x:v>Gold-answer anchors</x:v>
      </x:c>
      <x:c r="B17" s="11" t="str">
        <x:v>Gold-answer anchors</x:v>
      </x:c>
      <x:c r="C17" s="11" t="str">
        <x:v>Gold-answer anchors</x:v>
      </x:c>
      <x:c r="D17" s="11" t="str">
        <x:v>Gold-answer anchors</x:v>
      </x:c>
      <x:c r="E17" s="11" t="str">
        <x:v>Gold-answer anchors</x:v>
      </x:c>
      <x:c r="F17" s="11" t="str">
        <x:v>Gold-answer anchors</x:v>
      </x:c>
      <x:c r="G17" s="11" t="str">
        <x:v>Gold-answer anchors</x:v>
      </x:c>
    </x:row>
    <x:row r="18" ht="55" customHeight="1">
      <x:c r="A18" s="21" t="str">
        <x:v>Tool evidence</x:v>
      </x:c>
      <x:c r="B18" s="21" t="str">
        <x:v>9 actual calls</x:v>
      </x:c>
      <x:c r="C18" s="21"/>
      <x:c r="D18" s="21"/>
      <x:c r="E18" s="21"/>
      <x:c r="F18" s="21"/>
      <x:c r="G18" s="21"/>
    </x:row>
    <x:row r="19" ht="78" customHeight="1">
      <x:c r="A19" s="21" t="str">
        <x:v>Final answer</x:v>
      </x:c>
      <x:c r="B19" s="21" t="str">
        <x:v>Checking only 15°C would falsely accept 16,000 m² because product is 12,954.88 m³/d; the fixed-A_comp model gives only 12,396.04 m³/d at 32°C. At 32°C, 17,000 m² still produces only 12,867.00 m³/d, while 18,000 m² reaches 13,312.24 m³/d. The specified discrete year-round design is therefore 18,000 m² at CAPEX USD 26.286 million (2018), about USD 0.309 million above the apparent 15°C/16,000 m² design. This counterintuitive trend reflects fixed membrane-permeability assumptions and must be rechecked with vendor temperature-correction factors for procurement.</x:v>
      </x:c>
      <x:c r="C19" s="21"/>
      <x:c r="D19" s="21"/>
      <x:c r="E19" s="21"/>
      <x:c r="F19" s="21"/>
      <x:c r="G19" s="21"/>
    </x:row>
    <x:row r="20" ht="78" customHeight="1">
      <x:c r="A20" s="21" t="str">
        <x:v>Model boundary</x:v>
      </x:c>
      <x:c r="B20" s="21" t="str">
        <x:v>This is a model-identification benchmark: the answer must state both the model result and why it cannot be generalized.</x:v>
      </x:c>
      <x:c r="C20" s="21"/>
      <x:c r="D20" s="21"/>
      <x:c r="E20" s="21"/>
      <x:c r="F20" s="21"/>
      <x:c r="G20" s="21"/>
    </x:row>
    <x:row r="21" ht="55" customHeight="1">
      <x:c r="A21" s="21" t="str">
        <x:v>Tolerance</x:v>
      </x:c>
      <x:c r="B21" s="21" t="str">
        <x:v>CAPEX ±$0.02m; product ±5 m³/d</x:v>
      </x:c>
      <x:c r="C21" s="21"/>
      <x:c r="D21" s="21"/>
      <x:c r="E21" s="21"/>
      <x:c r="F21" s="21"/>
      <x:c r="G21" s="21"/>
    </x:row>
  </x:sheetData>
  <x:mergeCells>
    <x:mergeCell ref="A1:G2"/>
    <x:mergeCell ref="A4:G6"/>
    <x:mergeCell ref="A17:G17"/>
    <x:mergeCell ref="B18:G18"/>
    <x:mergeCell ref="B19:G19"/>
    <x:mergeCell ref="B20:G20"/>
    <x:mergeCell ref="B21:G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5" hidden="0" customWidth="1"/>
    <x:col min="3" max="3" width="50" hidden="0" customWidth="1"/>
    <x:col min="4" max="4" width="43" hidden="0" customWidth="1"/>
    <x:col min="5" max="5" width="43" hidden="0" customWidth="1"/>
    <x:col min="6" max="6" width="48" hidden="0" customWidth="1"/>
    <x:col min="7" max="7" width="11" hidden="0" customWidth="1"/>
  </x:cols>
  <x:sheetData>
    <x:row r="1" ht="26" customHeight="1">
      <x:c r="A1" s="4" t="str">
        <x:v>D4_4a N03: Tool-Efficiency Rubric (100 points)</x:v>
      </x:c>
      <x:c r="B1" s="4" t="str">
        <x:v>D4_4a N03: Tool-Efficiency Rubric (100 points)</x:v>
      </x:c>
      <x:c r="C1" s="4" t="str">
        <x:v>D4_4a N03: Tool-Efficiency Rubric (100 points)</x:v>
      </x:c>
      <x:c r="D1" s="4" t="str">
        <x:v>D4_4a N03: Tool-Efficiency Rubric (100 points)</x:v>
      </x:c>
      <x:c r="E1" s="4" t="str">
        <x:v>D4_4a N03: Tool-Efficiency Rubric (100 points)</x:v>
      </x:c>
      <x:c r="F1" s="4" t="str">
        <x:v>D4_4a N03: Tool-Efficiency Rubric (100 points)</x:v>
      </x:c>
      <x:c r="G1" s="4" t="str">
        <x:v>D4_4a N03: Tool-Efficiency Rubric (100 points)</x:v>
      </x:c>
    </x:row>
    <x:row r="2" ht="26" customHeight="1">
      <x:c r="A2" s="4" t="str">
        <x:v>D4_4a N03: Tool-Efficiency Rubric (100 points)</x:v>
      </x:c>
      <x:c r="B2" s="4" t="str">
        <x:v>D4_4a N03: Tool-Efficiency Rubric (100 points)</x:v>
      </x:c>
      <x:c r="C2" s="4" t="str">
        <x:v>D4_4a N03: Tool-Efficiency Rubric (100 points)</x:v>
      </x:c>
      <x:c r="D2" s="4" t="str">
        <x:v>D4_4a N03: Tool-Efficiency Rubric (100 points)</x:v>
      </x:c>
      <x:c r="E2" s="4" t="str">
        <x:v>D4_4a N03: Tool-Efficiency Rubric (100 points)</x:v>
      </x:c>
      <x:c r="F2" s="4" t="str">
        <x:v>D4_4a N03: Tool-Efficiency Rubric (100 points)</x:v>
      </x:c>
      <x:c r="G2" s="4" t="str">
        <x:v>D4_4a N03: Tool-Efficiency Rubric (100 points)</x:v>
      </x:c>
    </x:row>
    <x:row r="4">
      <x:c r="A4" s="29" t="str">
        <x:v>The reference path uses 9 valid full-plant simulations. Score common baselining, variable control, information gain, transparent external calculations and timely stopping.</x:v>
      </x:c>
      <x:c r="B4" s="29" t="str">
        <x:v>The reference path uses 9 valid full-plant simulations. Score common baselining, variable control, information gain, transparent external calculations and timely stopping.</x:v>
      </x:c>
      <x:c r="C4" s="29" t="str">
        <x:v>The reference path uses 9 valid full-plant simulations. Score common baselining, variable control, information gain, transparent external calculations and timely stopping.</x:v>
      </x:c>
      <x:c r="D4" s="29" t="str">
        <x:v>The reference path uses 9 valid full-plant simulations. Score common baselining, variable control, information gain, transparent external calculations and timely stopping.</x:v>
      </x:c>
      <x:c r="E4" s="29" t="str">
        <x:v>The reference path uses 9 valid full-plant simulations. Score common baselining, variable control, information gain, transparent external calculations and timely stopping.</x:v>
      </x:c>
      <x:c r="F4" s="29" t="str">
        <x:v>The reference path uses 9 valid full-plant simulations. Score common baselining, variable control, information gain, transparent external calculations and timely stopping.</x:v>
      </x:c>
      <x:c r="G4" s="29" t="str">
        <x:v>The reference path uses 9 valid full-plant simulations. Score common baselining, variable control, information gain, transparent external calculations and timely stopping.</x:v>
      </x:c>
    </x:row>
    <x:row r="5">
      <x:c r="A5" s="29" t="str">
        <x:v>The reference path uses 9 valid full-plant simulations. Score common baselining, variable control, information gain, transparent external calculations and timely stopping.</x:v>
      </x:c>
      <x:c r="B5" s="29" t="str">
        <x:v>The reference path uses 9 valid full-plant simulations. Score common baselining, variable control, information gain, transparent external calculations and timely stopping.</x:v>
      </x:c>
      <x:c r="C5" s="29" t="str">
        <x:v>The reference path uses 9 valid full-plant simulations. Score common baselining, variable control, information gain, transparent external calculations and timely stopping.</x:v>
      </x:c>
      <x:c r="D5" s="29" t="str">
        <x:v>The reference path uses 9 valid full-plant simulations. Score common baselining, variable control, information gain, transparent external calculations and timely stopping.</x:v>
      </x:c>
      <x:c r="E5" s="29" t="str">
        <x:v>The reference path uses 9 valid full-plant simulations. Score common baselining, variable control, information gain, transparent external calculations and timely stopping.</x:v>
      </x:c>
      <x:c r="F5" s="29" t="str">
        <x:v>The reference path uses 9 valid full-plant simulations. Score common baselining, variable control, information gain, transparent external calculations and timely stopping.</x:v>
      </x:c>
      <x:c r="G5" s="29" t="str">
        <x:v>The reference path uses 9 valid full-plant simulations. Score common baselining, variable control, information gain, transparent external calculations and timely stopping.</x:v>
      </x:c>
    </x:row>
    <x:row r="6">
      <x:c r="A6" s="29" t="str">
        <x:v>The reference path uses 9 valid full-plant simulations. Score common baselining, variable control, information gain, transparent external calculations and timely stopping.</x:v>
      </x:c>
      <x:c r="B6" s="29" t="str">
        <x:v>The reference path uses 9 valid full-plant simulations. Score common baselining, variable control, information gain, transparent external calculations and timely stopping.</x:v>
      </x:c>
      <x:c r="C6" s="29" t="str">
        <x:v>The reference path uses 9 valid full-plant simulations. Score common baselining, variable control, information gain, transparent external calculations and timely stopping.</x:v>
      </x:c>
      <x:c r="D6" s="29" t="str">
        <x:v>The reference path uses 9 valid full-plant simulations. Score common baselining, variable control, information gain, transparent external calculations and timely stopping.</x:v>
      </x:c>
      <x:c r="E6" s="29" t="str">
        <x:v>The reference path uses 9 valid full-plant simulations. Score common baselining, variable control, information gain, transparent external calculations and timely stopping.</x:v>
      </x:c>
      <x:c r="F6" s="29" t="str">
        <x:v>The reference path uses 9 valid full-plant simulations. Score common baselining, variable control, information gain, transparent external calculations and timely stopping.</x:v>
      </x:c>
      <x:c r="G6" s="29" t="str">
        <x:v>The reference path uses 9 valid full-plant simulations. Score common baselining, variable control, information gain, transparent external calculations and timely stopping.</x:v>
      </x:c>
    </x:row>
    <x:row r="8">
      <x:c r="A8" s="17" t="str">
        <x:v>Dimension</x:v>
      </x:c>
      <x:c r="B8" s="17" t="str">
        <x:v>Evaluation question</x:v>
      </x:c>
      <x:c r="C8" s="17" t="str">
        <x:v>Full credit</x:v>
      </x:c>
      <x:c r="D8" s="17" t="str">
        <x:v>Partial credit</x:v>
      </x:c>
      <x:c r="E8" s="17" t="str">
        <x:v>Low/zero</x:v>
      </x:c>
      <x:c r="F8" s="17" t="str">
        <x:v>Reference evidence</x:v>
      </x:c>
      <x:c r="G8" s="17" t="str">
        <x:v>Points</x:v>
      </x:c>
    </x:row>
    <x:row r="9" ht="72" customHeight="1">
      <x:c r="A9" s="21" t="str">
        <x:v>E1 Tool choice</x:v>
      </x:c>
      <x:c r="B9" s="21" t="str">
        <x:v>Use whole-plant cost tool</x:v>
      </x:c>
      <x:c r="C9" s="21" t="str">
        <x:v>Primarily simulate_swro_system</x:v>
      </x:c>
      <x:c r="D9" s="21" t="str">
        <x:v>A few irrelevant metadata calls</x:v>
      </x:c>
      <x:c r="E9" s="21" t="str">
        <x:v>Use single-membrane tool for plant CAPEX</x:v>
      </x:c>
      <x:c r="F9" s="21" t="str">
        <x:v>total_capital_cost_usd</x:v>
      </x:c>
      <x:c r="G9" s="21" t="n">
        <x:v>20</x:v>
      </x:c>
    </x:row>
    <x:row r="10" ht="72" customHeight="1">
      <x:c r="A10" s="21" t="str">
        <x:v>E2 Base/invariants</x:v>
      </x:c>
      <x:c r="B10" s="21" t="str">
        <x:v>Maintain comparability</x:v>
      </x:c>
      <x:c r="C10" s="21" t="str">
        <x:v>Change only the specified input or configuration</x:v>
      </x:c>
      <x:c r="D10" s="21" t="str">
        <x:v>One noncritical co-change</x:v>
      </x:c>
      <x:c r="E10" s="21" t="str">
        <x:v>Multiple co-changes prevent attribution</x:v>
      </x:c>
      <x:c r="F10" s="21" t="str">
        <x:v>N03</x:v>
      </x:c>
      <x:c r="G10" s="21" t="n">
        <x:v>20</x:v>
      </x:c>
    </x:row>
    <x:row r="11" ht="72" customHeight="1">
      <x:c r="A11" s="21" t="str">
        <x:v>E3 Information gain</x:v>
      </x:c>
      <x:c r="B11" s="21" t="str">
        <x:v>Cover every required decision boundary</x:v>
      </x:c>
      <x:c r="C11" s="21" t="str">
        <x:v>Each call supports screening, adjacent proof or configuration comparison</x:v>
      </x:c>
      <x:c r="D11" s="21" t="str">
        <x:v>One or two extra confirmations</x:v>
      </x:c>
      <x:c r="E11" s="21" t="str">
        <x:v>Blind large-grid scan</x:v>
      </x:c>
      <x:c r="F11" s="21" t="str">
        <x:v>9 calls</x:v>
      </x:c>
      <x:c r="G11" s="21" t="n">
        <x:v>20</x:v>
      </x:c>
    </x:row>
    <x:row r="12" ht="72" customHeight="1">
      <x:c r="A12" s="21" t="str">
        <x:v>E4 External basis</x:v>
      </x:c>
      <x:c r="B12" s="21" t="str">
        <x:v>Calculate multiplier/premium/index transparently outside tool</x:v>
      </x:c>
      <x:c r="C12" s="21" t="str">
        <x:v>Preserve raw tool facts and show separate formulas</x:v>
      </x:c>
      <x:c r="D12" s="21" t="str">
        <x:v>Correct result but unclear source</x:v>
      </x:c>
      <x:c r="E12" s="21" t="str">
        <x:v>Rewrite tool output</x:v>
      </x:c>
      <x:c r="F12" s="21" t="str">
        <x:v>This is a model-identification benchmark: the answer must state both the model result and why it cannot be generalized.</x:v>
      </x:c>
      <x:c r="G12" s="21" t="n">
        <x:v>20</x:v>
      </x:c>
    </x:row>
    <x:row r="13" ht="72" customHeight="1">
      <x:c r="A13" s="21" t="str">
        <x:v>E5 Convergence</x:v>
      </x:c>
      <x:c r="B13" s="21" t="str">
        <x:v>Stop when evidence is sufficient</x:v>
      </x:c>
      <x:c r="C13" s="21" t="str">
        <x:v>About 8–10 calls</x:v>
      </x:c>
      <x:c r="D13" s="21" t="str">
        <x:v>Minor redundancy</x:v>
      </x:c>
      <x:c r="E13" s="21" t="str">
        <x:v>Too few calls or excessive enumeration</x:v>
      </x:c>
      <x:c r="F13" s="21" t="str">
        <x:v>Timely stop</x:v>
      </x:c>
      <x:c r="G13" s="21" t="n">
        <x:v>20</x:v>
      </x:c>
    </x:row>
    <x:row r="15">
      <x:c r="F15" s="37" t="str">
        <x:v>Tool-efficiency total</x:v>
      </x:c>
      <x:c r="G15" s="37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