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917af4167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a03306c6fb93484f"/>
    <x:sheet xmlns:r="http://schemas.openxmlformats.org/officeDocument/2006/relationships" name="Gold_Answer_A" sheetId="2" r:id="R65680e264c7e4822"/>
    <x:sheet xmlns:r="http://schemas.openxmlformats.org/officeDocument/2006/relationships" name="Trajectory_Rubric" sheetId="3" r:id="R12b1792d3ada43f9"/>
    <x:sheet xmlns:r="http://schemas.openxmlformats.org/officeDocument/2006/relationships" name="Tool_Efficiency" sheetId="4" r:id="R8083eb1688c5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0.000000"/>
    <x:numFmt numFmtId="202" formatCode="0.000%"/>
    <x:numFmt numFmtId="203" formatCode="0.0"/>
    <x:numFmt numFmtId="204" formatCode="#,##0"/>
    <x:numFmt numFmtId="205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A63"/>
      <x:name val="Carlito"/>
    </x:font>
    <x:font>
      <x:b/>
      <x:sz val="11"/>
      <x:color rgb="FFFFFFFF"/>
      <x:name val="Carlito"/>
    </x:font>
    <x:font>
      <x:sz val="11"/>
      <x:color rgb="FF172B4D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63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C9D8E8"/>
      </x:left>
      <x:right style="thin">
        <x:color rgb="FFC9D8E8"/>
      </x:right>
      <x:top style="thin">
        <x:color rgb="FFC9D8E8"/>
      </x:top>
      <x:bottom style="thin">
        <x:color rgb="FFC9D8E8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4" fillId="0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right"/>
    </x:xf>
    <x:xf numFmtId="205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1d7c1f1e04368" /><Relationship Type="http://schemas.openxmlformats.org/officeDocument/2006/relationships/theme" Target="/xl/theme/theme1.xml" Id="Reb513a6fce9b4d6b" /><Relationship Type="http://schemas.openxmlformats.org/officeDocument/2006/relationships/sharedStrings" Target="/xl/sharedStrings.xml" Id="R6e52d0a380ab4b79" /><Relationship Type="http://schemas.openxmlformats.org/officeDocument/2006/relationships/worksheet" Target="/xl/worksheets/sheet1.xml" Id="Ra03306c6fb93484f" /><Relationship Type="http://schemas.openxmlformats.org/officeDocument/2006/relationships/worksheet" Target="/xl/worksheets/sheet2.xml" Id="R65680e264c7e4822" /><Relationship Type="http://schemas.openxmlformats.org/officeDocument/2006/relationships/worksheet" Target="/xl/worksheets/sheet3.xml" Id="R12b1792d3ada43f9" /><Relationship Type="http://schemas.openxmlformats.org/officeDocument/2006/relationships/worksheet" Target="/xl/worksheets/sheet4.xml" Id="R8083eb1688c544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d8eab7153c4a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CAPEX (blue) vs $30m ceiling (orange)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#VALUE!</c:v>
          </c:tx>
          <c:cat>
            <c:strRef>
              <c:f>'Gold_Answer_A'!$T$19:$T$25</c:f>
              <c:strCache>
                <c:ptCount val="0"/>
              </c:strCache>
            </c:strRef>
          </c:cat>
          <c:val>
            <c:numRef>
              <c:f>'Gold_Answer_A'!$U$19:$U$25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#VALUE!</c:v>
          </c:tx>
          <c:cat>
            <c:strRef>
              <c:f>'Gold_Answer_A'!$T$19:$T$25</c:f>
              <c:strCache>
                <c:ptCount val="0"/>
              </c:strCache>
            </c:strRef>
          </c:cat>
          <c:val>
            <c:numRef>
              <c:f>'Gold_Answer_A'!$V$19:$V$25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d8eab7153c4af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1cc7d4deb074e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32" hidden="0" customWidth="1"/>
    <x:col min="5" max="5" width="4" hidden="0" customWidth="1"/>
    <x:col min="6" max="6" width="25" hidden="0" customWidth="1"/>
    <x:col min="7" max="7" width="33" hidden="0" customWidth="1"/>
    <x:col min="8" max="8" width="37" hidden="0" customWidth="1"/>
  </x:cols>
  <x:sheetData>
    <x:row r="1" ht="26" customHeight="1">
      <x:c r="A1" s="4" t="str">
        <x:v>D4_4a: SWRO Concept-Design CAPEX and Key-Parameter Sensitivity</x:v>
      </x:c>
      <x:c r="B1" s="4" t="str">
        <x:v>D4_4a: SWRO Concept-Design CAPEX and Key-Parameter Sensitivity</x:v>
      </x:c>
      <x:c r="C1" s="4" t="str">
        <x:v>D4_4a: SWRO Concept-Design CAPEX and Key-Parameter Sensitivity</x:v>
      </x:c>
      <x:c r="D1" s="4" t="str">
        <x:v>D4_4a: SWRO Concept-Design CAPEX and Key-Parameter Sensitivity</x:v>
      </x:c>
      <x:c r="E1" s="4" t="str">
        <x:v>D4_4a: SWRO Concept-Design CAPEX and Key-Parameter Sensitivity</x:v>
      </x:c>
      <x:c r="F1" s="4" t="str">
        <x:v>D4_4a: SWRO Concept-Design CAPEX and Key-Parameter Sensitivity</x:v>
      </x:c>
      <x:c r="G1" s="4" t="str">
        <x:v>D4_4a: SWRO Concept-Design CAPEX and Key-Parameter Sensitivity</x:v>
      </x:c>
      <x:c r="H1" s="4" t="str">
        <x:v>D4_4a: SWRO Concept-Design CAPEX and Key-Parameter Sensitivity</x:v>
      </x:c>
    </x:row>
    <x:row r="2" ht="26" customHeight="1">
      <x:c r="A2" s="4" t="str">
        <x:v>D4_4a: SWRO Concept-Design CAPEX and Key-Parameter Sensitivity</x:v>
      </x:c>
      <x:c r="B2" s="4" t="str">
        <x:v>D4_4a: SWRO Concept-Design CAPEX and Key-Parameter Sensitivity</x:v>
      </x:c>
      <x:c r="C2" s="4" t="str">
        <x:v>D4_4a: SWRO Concept-Design CAPEX and Key-Parameter Sensitivity</x:v>
      </x:c>
      <x:c r="D2" s="4" t="str">
        <x:v>D4_4a: SWRO Concept-Design CAPEX and Key-Parameter Sensitivity</x:v>
      </x:c>
      <x:c r="E2" s="4" t="str">
        <x:v>D4_4a: SWRO Concept-Design CAPEX and Key-Parameter Sensitivity</x:v>
      </x:c>
      <x:c r="F2" s="4" t="str">
        <x:v>D4_4a: SWRO Concept-Design CAPEX and Key-Parameter Sensitivity</x:v>
      </x:c>
      <x:c r="G2" s="4" t="str">
        <x:v>D4_4a: SWRO Concept-Design CAPEX and Key-Parameter Sensitivity</x:v>
      </x:c>
      <x:c r="H2" s="4" t="str">
        <x:v>D4_4a: SWRO Concept-Design CAPEX and Key-Parameter Sensitivity</x:v>
      </x:c>
    </x:row>
    <x:row r="4" ht="25" customHeight="1">
      <x:c r="A4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B4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C4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D4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E4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F4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G4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H4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</x:row>
    <x:row r="5" ht="25" customHeight="1">
      <x:c r="A5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B5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C5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D5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E5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F5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G5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H5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</x:row>
    <x:row r="6" ht="25" customHeight="1">
      <x:c r="A6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B6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C6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D6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E6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F6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G6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H6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</x:row>
    <x:row r="7" ht="25" customHeight="1">
      <x:c r="A7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B7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C7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D7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E7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F7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G7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H7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</x:row>
    <x:row r="8" ht="25" customHeight="1">
      <x:c r="A8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B8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C8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D8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E8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F8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G8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  <x:c r="H8" s="8" t="str">
        <x:v>A coastal municipality is planning Phase 1 SWRO with a pressure exchanger (PX): feed 0.420 m³/s, TDS 38.0 g/L, TSS 0.030 g/L, 25°C, active RO area 18,000 m², P1 outlet 70 bar(a), P1 efficiency 0.83, PX efficiency 0.96 and P2 efficiency 0.82. Required product is at least 14,000 m³/d and concept-design CAPEX must not exceed USD 30.0 million in 2018 dollars. Use simulate_swro_system to determine base total capital cost and capital intensity per m³/d of design production. Then run the specified one-at-a-time sensitivities, calculate CAPEX change and elasticity, and rank the drivers. Treat PAT as a discrete equipment configuration and exclude it from continuous elasticity ranking. Conclude on budget risk and equipment configuration.</x:v>
      </x:c>
    </x:row>
    <x:row r="10">
      <x:c r="A10" s="11" t="str">
        <x:v>Base design inputs</x:v>
      </x:c>
      <x:c r="B10" s="11" t="str">
        <x:v>Base design inputs</x:v>
      </x:c>
      <x:c r="C10" s="11" t="str">
        <x:v>Base design inputs</x:v>
      </x:c>
      <x:c r="D10" s="11" t="str">
        <x:v>Base design inputs</x:v>
      </x:c>
      <x:c r="F10" s="11" t="str">
        <x:v>Specified one-at-a-time cases</x:v>
      </x:c>
      <x:c r="G10" s="11" t="str">
        <x:v>Specified one-at-a-time cases</x:v>
      </x:c>
      <x:c r="H10" s="11" t="str">
        <x:v>Specified one-at-a-time cases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Status</x:v>
      </x:c>
      <x:c r="F11" s="17" t="str">
        <x:v>Case</x:v>
      </x:c>
      <x:c r="G11" s="17" t="str">
        <x:v>Change</x:v>
      </x:c>
      <x:c r="H11" s="17" t="str">
        <x:v>Analysis basis</x:v>
      </x:c>
    </x:row>
    <x:row r="12" ht="38" customHeight="1">
      <x:c r="A12" s="21" t="str">
        <x:v>Design feed</x:v>
      </x:c>
      <x:c r="B12" s="22" t="n">
        <x:v>0.42</x:v>
      </x:c>
      <x:c r="C12" s="21" t="str">
        <x:v>m³/s</x:v>
      </x:c>
      <x:c r="D12" s="21" t="str">
        <x:v>Fixed</x:v>
      </x:c>
      <x:c r="F12" s="21" t="str">
        <x:v>S1 Scale</x:v>
      </x:c>
      <x:c r="G12" s="21" t="str">
        <x:v>Feed +10%: 0.420→0.462 m³/s</x:v>
      </x:c>
      <x:c r="H12" s="21" t="str">
        <x:v>Continuous elasticity</x:v>
      </x:c>
    </x:row>
    <x:row r="13" ht="38" customHeight="1">
      <x:c r="A13" s="21" t="str">
        <x:v>Feed TDS</x:v>
      </x:c>
      <x:c r="B13" s="22" t="n">
        <x:v>38</x:v>
      </x:c>
      <x:c r="C13" s="21" t="str">
        <x:v>g/L</x:v>
      </x:c>
      <x:c r="D13" s="21" t="str">
        <x:v>Fixed</x:v>
      </x:c>
      <x:c r="F13" s="21" t="str">
        <x:v>S2 Membranes</x:v>
      </x:c>
      <x:c r="G13" s="21" t="str">
        <x:v>Area +10%: 18,000→19,800 m²</x:v>
      </x:c>
      <x:c r="H13" s="21" t="str">
        <x:v>Continuous elasticity</x:v>
      </x:c>
    </x:row>
    <x:row r="14" ht="38" customHeight="1">
      <x:c r="A14" s="21" t="str">
        <x:v>Feed TSS</x:v>
      </x:c>
      <x:c r="B14" s="22" t="n">
        <x:v>0.03</x:v>
      </x:c>
      <x:c r="C14" s="21" t="str">
        <x:v>g/L</x:v>
      </x:c>
      <x:c r="D14" s="21" t="str">
        <x:v>Fixed</x:v>
      </x:c>
      <x:c r="F14" s="21" t="str">
        <x:v>S3 High pressure</x:v>
      </x:c>
      <x:c r="G14" s="21" t="str">
        <x:v>Pressure +10%: 70→77 bar(a)</x:v>
      </x:c>
      <x:c r="H14" s="21" t="str">
        <x:v>Continuous elasticity</x:v>
      </x:c>
    </x:row>
    <x:row r="15" ht="38" customHeight="1">
      <x:c r="A15" s="21" t="str">
        <x:v>Temperature</x:v>
      </x:c>
      <x:c r="B15" s="22" t="n">
        <x:v>25</x:v>
      </x:c>
      <x:c r="C15" s="21" t="str">
        <x:v>°C</x:v>
      </x:c>
      <x:c r="D15" s="21" t="str">
        <x:v>Fixed</x:v>
      </x:c>
      <x:c r="F15" s="21" t="str">
        <x:v>S4 Pretreatment load</x:v>
      </x:c>
      <x:c r="G15" s="21" t="str">
        <x:v>TSS +50%: 0.030→0.045 g/L</x:v>
      </x:c>
      <x:c r="H15" s="21" t="str">
        <x:v>Continuous elasticity</x:v>
      </x:c>
    </x:row>
    <x:row r="16" ht="38" customHeight="1">
      <x:c r="A16" s="21" t="str">
        <x:v>Active RO area</x:v>
      </x:c>
      <x:c r="B16" s="22" t="n">
        <x:v>18000</x:v>
      </x:c>
      <x:c r="C16" s="21" t="str">
        <x:v>m²</x:v>
      </x:c>
      <x:c r="D16" s="21" t="str">
        <x:v>Fixed</x:v>
      </x:c>
      <x:c r="F16" s="21" t="str">
        <x:v>S5 PX performance</x:v>
      </x:c>
      <x:c r="G16" s="21" t="str">
        <x:v>Efficiency 0.96→0.91</x:v>
      </x:c>
      <x:c r="H16" s="21" t="str">
        <x:v>Signed continuous elasticity</x:v>
      </x:c>
    </x:row>
    <x:row r="17" ht="38" customHeight="1">
      <x:c r="A17" s="21" t="str">
        <x:v>P1 outlet pressure</x:v>
      </x:c>
      <x:c r="B17" s="22" t="n">
        <x:v>70</x:v>
      </x:c>
      <x:c r="C17" s="21" t="str">
        <x:v>bar(a)</x:v>
      </x:c>
      <x:c r="D17" s="21" t="str">
        <x:v>Fixed</x:v>
      </x:c>
      <x:c r="F17" s="21" t="str">
        <x:v>S6 ERD configuration</x:v>
      </x:c>
      <x:c r="G17" s="21" t="str">
        <x:v>PX→PAT; PAT efficiency 0.85</x:v>
      </x:c>
      <x:c r="H17" s="21" t="str">
        <x:v>Discrete scenario</x:v>
      </x:c>
    </x:row>
    <x:row r="18">
      <x:c r="A18" s="21" t="str">
        <x:v>P1 efficiency</x:v>
      </x:c>
      <x:c r="B18" s="22" t="n">
        <x:v>0.83</x:v>
      </x:c>
      <x:c r="C18" s="21" t="str">
        <x:v>-</x:v>
      </x:c>
      <x:c r="D18" s="21" t="str">
        <x:v>Fixed</x:v>
      </x:c>
    </x:row>
    <x:row r="19">
      <x:c r="A19" s="21" t="str">
        <x:v>ERD type</x:v>
      </x:c>
      <x:c r="B19" s="22" t="str">
        <x:v>pressure_exchanger</x:v>
      </x:c>
      <x:c r="C19" s="21" t="str">
        <x:v>-</x:v>
      </x:c>
      <x:c r="D19" s="21" t="str">
        <x:v>Fixed</x:v>
      </x:c>
      <x:c r="F19" s="11" t="str">
        <x:v>Required deliverables</x:v>
      </x:c>
      <x:c r="G19" s="11" t="str">
        <x:v>Required deliverables</x:v>
      </x:c>
      <x:c r="H19" s="11" t="str">
        <x:v>Required deliverables</x:v>
      </x:c>
    </x:row>
    <x:row r="20" ht="36" customHeight="1">
      <x:c r="A20" s="21" t="str">
        <x:v>PX efficiency</x:v>
      </x:c>
      <x:c r="B20" s="22" t="n">
        <x:v>0.96</x:v>
      </x:c>
      <x:c r="C20" s="21" t="str">
        <x:v>-</x:v>
      </x:c>
      <x:c r="D20" s="21" t="str">
        <x:v>Fixed</x:v>
      </x:c>
      <x:c r="F20" s="25" t="str">
        <x:v>1. Report key results from seven valid full-plant simulations.</x:v>
      </x:c>
      <x:c r="G20" s="25" t="str">
        <x:v>1. Report key results from seven valid full-plant simulations.</x:v>
      </x:c>
      <x:c r="H20" s="25" t="str">
        <x:v>1. Report key results from seven valid full-plant simulations.</x:v>
      </x:c>
    </x:row>
    <x:row r="21" ht="36" customHeight="1">
      <x:c r="A21" s="21" t="str">
        <x:v>P2 efficiency</x:v>
      </x:c>
      <x:c r="B21" s="22" t="n">
        <x:v>0.82</x:v>
      </x:c>
      <x:c r="C21" s="21" t="str">
        <x:v>-</x:v>
      </x:c>
      <x:c r="D21" s="21" t="str">
        <x:v>Fixed</x:v>
      </x:c>
      <x:c r="F21" s="25" t="str">
        <x:v>2. Base CAPEX, product capacity and capital intensity.</x:v>
      </x:c>
      <x:c r="G21" s="25" t="str">
        <x:v>2. Base CAPEX, product capacity and capital intensity.</x:v>
      </x:c>
      <x:c r="H21" s="25" t="str">
        <x:v>2. Base CAPEX, product capacity and capital intensity.</x:v>
      </x:c>
    </x:row>
    <x:row r="22" ht="36" customHeight="1">
      <x:c r="A22" s="21" t="str">
        <x:v>CAPEX ceiling</x:v>
      </x:c>
      <x:c r="B22" s="22" t="n">
        <x:v>30000000</x:v>
      </x:c>
      <x:c r="C22" s="21" t="str">
        <x:v>USD_2018</x:v>
      </x:c>
      <x:c r="D22" s="21" t="str">
        <x:v>Criterion</x:v>
      </x:c>
      <x:c r="F22" s="25" t="str">
        <x:v>3. CAPEX elasticities and absolute-value ranking for continuous inputs.</x:v>
      </x:c>
      <x:c r="G22" s="25" t="str">
        <x:v>3. CAPEX elasticities and absolute-value ranking for continuous inputs.</x:v>
      </x:c>
      <x:c r="H22" s="25" t="str">
        <x:v>3. CAPEX elasticities and absolute-value ranking for continuous inputs.</x:v>
      </x:c>
    </x:row>
    <x:row r="23" ht="36" customHeight="1">
      <x:c r="A23" s="21" t="str">
        <x:v>Minimum product</x:v>
      </x:c>
      <x:c r="B23" s="22" t="n">
        <x:v>14000</x:v>
      </x:c>
      <x:c r="C23" s="21" t="str">
        <x:v>m³/d</x:v>
      </x:c>
      <x:c r="D23" s="21" t="str">
        <x:v>Criterion</x:v>
      </x:c>
      <x:c r="F23" s="25" t="str">
        <x:v>4. Discrete PAT-versus-PX CAPEX increment.</x:v>
      </x:c>
      <x:c r="G23" s="25" t="str">
        <x:v>4. Discrete PAT-versus-PX CAPEX increment.</x:v>
      </x:c>
      <x:c r="H23" s="25" t="str">
        <x:v>4. Discrete PAT-versus-PX CAPEX increment.</x:v>
      </x:c>
    </x:row>
    <x:row r="24" ht="36" customHeight="1">
      <x:c r="F24" s="25" t="str">
        <x:v>5. Test the USD 30.0 million ceiling and explain model scope.</x:v>
      </x:c>
      <x:c r="G24" s="25" t="str">
        <x:v>5. Test the USD 30.0 million ceiling and explain model scope.</x:v>
      </x:c>
      <x:c r="H24" s="25" t="str">
        <x:v>5. Test the USD 30.0 million ceiling and explain model scope.</x:v>
      </x:c>
    </x:row>
    <x:row r="26">
      <x:c r="A26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B26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C26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D26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E26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F26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G26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H26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</x:row>
    <x:row r="27">
      <x:c r="A27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B27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C27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D27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E27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F27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G27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H27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</x:row>
    <x:row r="28">
      <x:c r="A28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B28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C28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D28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E28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F28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G28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H28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</x:row>
    <x:row r="29">
      <x:c r="A29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B29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C29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D29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E29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F29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G29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H29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</x:row>
    <x:row r="30">
      <x:c r="A30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B30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C30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D30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E30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F30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G30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  <x:c r="H30" s="29" t="str">
        <x:v>Basis: use total_capital_cost_usd from simulate_swro_system in USD_2018. Capital intensity equals CAPEX divided by product capacity (m³/d). Elasticity=(ΔCAPEX/CAPEX₀)/(Δx/x₀); a PX-efficiency decrease creates a negative sign. PAT is a configuration switch, not a continuous parameter. A lower LCOW does not automatically mean lower CAPEX. Results exclude any off-model escalation, financing, owner contingency or offsite adjustment.</x:v>
      </x:c>
    </x:row>
  </x:sheetData>
  <x:mergeCells>
    <x:mergeCell ref="A1:H2"/>
    <x:mergeCell ref="A4:H8"/>
    <x:mergeCell ref="A10:D10"/>
    <x:mergeCell ref="F10:H10"/>
    <x:mergeCell ref="F19:H19"/>
    <x:mergeCell ref="F20:H20"/>
    <x:mergeCell ref="F21:H21"/>
    <x:mergeCell ref="F22:H22"/>
    <x:mergeCell ref="F23:H23"/>
    <x:mergeCell ref="F24:H24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7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  <x:col min="13" max="13" width="16" hidden="0" customWidth="1"/>
    <x:col min="14" max="14" width="13" hidden="0" customWidth="1"/>
    <x:col min="15" max="15" width="13" hidden="0" customWidth="1"/>
    <x:col min="16" max="16" width="14" hidden="0" customWidth="1"/>
    <x:col min="17" max="17" width="15" hidden="0" customWidth="1"/>
    <x:col min="18" max="18" width="28" hidden="0" customWidth="1"/>
    <x:col min="19" max="19" width="3" hidden="0" customWidth="1"/>
    <x:col min="20" max="20" width="24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D4_4a: Stepwise Gold Answer — CAPEX Scale, Sensitivity and Configuration Decision</x:v>
      </x:c>
      <x:c r="B1" s="4" t="str">
        <x:v>D4_4a: Stepwise Gold Answer — CAPEX Scale, Sensitivity and Configuration Decision</x:v>
      </x:c>
      <x:c r="C1" s="4" t="str">
        <x:v>D4_4a: Stepwise Gold Answer — CAPEX Scale, Sensitivity and Configuration Decision</x:v>
      </x:c>
      <x:c r="D1" s="4" t="str">
        <x:v>D4_4a: Stepwise Gold Answer — CAPEX Scale, Sensitivity and Configuration Decision</x:v>
      </x:c>
      <x:c r="E1" s="4" t="str">
        <x:v>D4_4a: Stepwise Gold Answer — CAPEX Scale, Sensitivity and Configuration Decision</x:v>
      </x:c>
      <x:c r="F1" s="4" t="str">
        <x:v>D4_4a: Stepwise Gold Answer — CAPEX Scale, Sensitivity and Configuration Decision</x:v>
      </x:c>
      <x:c r="G1" s="4" t="str">
        <x:v>D4_4a: Stepwise Gold Answer — CAPEX Scale, Sensitivity and Configuration Decision</x:v>
      </x:c>
      <x:c r="H1" s="4" t="str">
        <x:v>D4_4a: Stepwise Gold Answer — CAPEX Scale, Sensitivity and Configuration Decision</x:v>
      </x:c>
      <x:c r="I1" s="4" t="str">
        <x:v>D4_4a: Stepwise Gold Answer — CAPEX Scale, Sensitivity and Configuration Decision</x:v>
      </x:c>
      <x:c r="J1" s="4" t="str">
        <x:v>D4_4a: Stepwise Gold Answer — CAPEX Scale, Sensitivity and Configuration Decision</x:v>
      </x:c>
      <x:c r="K1" s="4" t="str">
        <x:v>D4_4a: Stepwise Gold Answer — CAPEX Scale, Sensitivity and Configuration Decision</x:v>
      </x:c>
      <x:c r="L1" s="4" t="str">
        <x:v>D4_4a: Stepwise Gold Answer — CAPEX Scale, Sensitivity and Configuration Decision</x:v>
      </x:c>
      <x:c r="M1" s="4" t="str">
        <x:v>D4_4a: Stepwise Gold Answer — CAPEX Scale, Sensitivity and Configuration Decision</x:v>
      </x:c>
      <x:c r="N1" s="4" t="str">
        <x:v>D4_4a: Stepwise Gold Answer — CAPEX Scale, Sensitivity and Configuration Decision</x:v>
      </x:c>
      <x:c r="O1" s="4" t="str">
        <x:v>D4_4a: Stepwise Gold Answer — CAPEX Scale, Sensitivity and Configuration Decision</x:v>
      </x:c>
      <x:c r="P1" s="4" t="str">
        <x:v>D4_4a: Stepwise Gold Answer — CAPEX Scale, Sensitivity and Configuration Decision</x:v>
      </x:c>
      <x:c r="Q1" s="4" t="str">
        <x:v>D4_4a: Stepwise Gold Answer — CAPEX Scale, Sensitivity and Configuration Decision</x:v>
      </x:c>
      <x:c r="R1" s="4" t="str">
        <x:v>D4_4a: Stepwise Gold Answer — CAPEX Scale, Sensitivity and Configuration Decision</x:v>
      </x:c>
      <x:c r="S1" s="4" t="str">
        <x:v>D4_4a: Stepwise Gold Answer — CAPEX Scale, Sensitivity and Configuration Decision</x:v>
      </x:c>
      <x:c r="T1" s="4" t="str">
        <x:v>D4_4a: Stepwise Gold Answer — CAPEX Scale, Sensitivity and Configuration Decision</x:v>
      </x:c>
      <x:c r="U1" s="4" t="str">
        <x:v>D4_4a: Stepwise Gold Answer — CAPEX Scale, Sensitivity and Configuration Decision</x:v>
      </x:c>
      <x:c r="V1" s="4" t="str">
        <x:v>D4_4a: Stepwise Gold Answer — CAPEX Scale, Sensitivity and Configuration Decision</x:v>
      </x:c>
    </x:row>
    <x:row r="2" ht="26" customHeight="1">
      <x:c r="A2" s="4" t="str">
        <x:v>D4_4a: Stepwise Gold Answer — CAPEX Scale, Sensitivity and Configuration Decision</x:v>
      </x:c>
      <x:c r="B2" s="4" t="str">
        <x:v>D4_4a: Stepwise Gold Answer — CAPEX Scale, Sensitivity and Configuration Decision</x:v>
      </x:c>
      <x:c r="C2" s="4" t="str">
        <x:v>D4_4a: Stepwise Gold Answer — CAPEX Scale, Sensitivity and Configuration Decision</x:v>
      </x:c>
      <x:c r="D2" s="4" t="str">
        <x:v>D4_4a: Stepwise Gold Answer — CAPEX Scale, Sensitivity and Configuration Decision</x:v>
      </x:c>
      <x:c r="E2" s="4" t="str">
        <x:v>D4_4a: Stepwise Gold Answer — CAPEX Scale, Sensitivity and Configuration Decision</x:v>
      </x:c>
      <x:c r="F2" s="4" t="str">
        <x:v>D4_4a: Stepwise Gold Answer — CAPEX Scale, Sensitivity and Configuration Decision</x:v>
      </x:c>
      <x:c r="G2" s="4" t="str">
        <x:v>D4_4a: Stepwise Gold Answer — CAPEX Scale, Sensitivity and Configuration Decision</x:v>
      </x:c>
      <x:c r="H2" s="4" t="str">
        <x:v>D4_4a: Stepwise Gold Answer — CAPEX Scale, Sensitivity and Configuration Decision</x:v>
      </x:c>
      <x:c r="I2" s="4" t="str">
        <x:v>D4_4a: Stepwise Gold Answer — CAPEX Scale, Sensitivity and Configuration Decision</x:v>
      </x:c>
      <x:c r="J2" s="4" t="str">
        <x:v>D4_4a: Stepwise Gold Answer — CAPEX Scale, Sensitivity and Configuration Decision</x:v>
      </x:c>
      <x:c r="K2" s="4" t="str">
        <x:v>D4_4a: Stepwise Gold Answer — CAPEX Scale, Sensitivity and Configuration Decision</x:v>
      </x:c>
      <x:c r="L2" s="4" t="str">
        <x:v>D4_4a: Stepwise Gold Answer — CAPEX Scale, Sensitivity and Configuration Decision</x:v>
      </x:c>
      <x:c r="M2" s="4" t="str">
        <x:v>D4_4a: Stepwise Gold Answer — CAPEX Scale, Sensitivity and Configuration Decision</x:v>
      </x:c>
      <x:c r="N2" s="4" t="str">
        <x:v>D4_4a: Stepwise Gold Answer — CAPEX Scale, Sensitivity and Configuration Decision</x:v>
      </x:c>
      <x:c r="O2" s="4" t="str">
        <x:v>D4_4a: Stepwise Gold Answer — CAPEX Scale, Sensitivity and Configuration Decision</x:v>
      </x:c>
      <x:c r="P2" s="4" t="str">
        <x:v>D4_4a: Stepwise Gold Answer — CAPEX Scale, Sensitivity and Configuration Decision</x:v>
      </x:c>
      <x:c r="Q2" s="4" t="str">
        <x:v>D4_4a: Stepwise Gold Answer — CAPEX Scale, Sensitivity and Configuration Decision</x:v>
      </x:c>
      <x:c r="R2" s="4" t="str">
        <x:v>D4_4a: Stepwise Gold Answer — CAPEX Scale, Sensitivity and Configuration Decision</x:v>
      </x:c>
      <x:c r="S2" s="4" t="str">
        <x:v>D4_4a: Stepwise Gold Answer — CAPEX Scale, Sensitivity and Configuration Decision</x:v>
      </x:c>
      <x:c r="T2" s="4" t="str">
        <x:v>D4_4a: Stepwise Gold Answer — CAPEX Scale, Sensitivity and Configuration Decision</x:v>
      </x:c>
      <x:c r="U2" s="4" t="str">
        <x:v>D4_4a: Stepwise Gold Answer — CAPEX Scale, Sensitivity and Configuration Decision</x:v>
      </x:c>
      <x:c r="V2" s="4" t="str">
        <x:v>D4_4a: Stepwise Gold Answer — CAPEX Scale, Sensitivity and Configuration Decision</x:v>
      </x:c>
    </x:row>
    <x:row r="4">
      <x:c r="A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B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C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D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E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F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G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H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I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J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K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L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M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N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O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P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Q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R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S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T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U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V4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</x:row>
    <x:row r="5">
      <x:c r="A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B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C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D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E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F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G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H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I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J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K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L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M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N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O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P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Q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R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S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T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U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V5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</x:row>
    <x:row r="6">
      <x:c r="A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B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C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D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E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F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G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H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I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J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K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L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M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N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O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P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Q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R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S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T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U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  <x:c r="V6" s="33" t="str">
        <x:v>Actual tool trajectory: seven valid simulate_swro_system calls. Establish the base design and budget headroom, then run five continuous one-at-a-time changes and one discrete PAT comparison. Rank continuous variables by absolute elasticity and report the equipment switch separately.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  <x:c r="H8" s="11" t="str">
        <x:v>Reference agent trajectory</x:v>
      </x:c>
    </x:row>
    <x:row r="9">
      <x:c r="A9" s="17" t="str">
        <x:v>Stage</x:v>
      </x:c>
      <x:c r="B9" s="17" t="str">
        <x:v>State</x:v>
      </x:c>
      <x:c r="C9" s="17" t="str">
        <x:v>Action</x:v>
      </x:c>
      <x:c r="D9" s="17" t="str">
        <x:v>Tool observation</x:v>
      </x:c>
      <x:c r="E9" s="17" t="str">
        <x:v>Calculation</x:v>
      </x:c>
      <x:c r="F9" s="17" t="str">
        <x:v>State update</x:v>
      </x:c>
      <x:c r="G9" s="17" t="str">
        <x:v>Next step</x:v>
      </x:c>
      <x:c r="H9" s="17" t="str">
        <x:v>Capability</x:v>
      </x:c>
    </x:row>
    <x:row r="10" ht="53" customHeight="1">
      <x:c r="A10" s="21" t="str">
        <x:v>1 Model</x:v>
      </x:c>
      <x:c r="B10" s="21" t="str">
        <x:v>Cost basis undefined</x:v>
      </x:c>
      <x:c r="C10" s="21" t="str">
        <x:v>Run base PX case</x:v>
      </x:c>
      <x:c r="D10" s="21" t="str">
        <x:v>CAPEX=$28.034m; product≈14,074 m³/d</x:v>
      </x:c>
      <x:c r="E10" s="21" t="str">
        <x:v>Capital intensity</x:v>
      </x:c>
      <x:c r="F10" s="21" t="str">
        <x:v>Base passes both criteria</x:v>
      </x:c>
      <x:c r="G10" s="21" t="str">
        <x:v>Test scale and equipment inputs</x:v>
      </x:c>
      <x:c r="H10" s="21" t="str">
        <x:v>State representation</x:v>
      </x:c>
    </x:row>
    <x:row r="11" ht="53" customHeight="1">
      <x:c r="A11" s="21" t="str">
        <x:v>2 Scale</x:v>
      </x:c>
      <x:c r="B11" s="21" t="str">
        <x:v>Base locked</x:v>
      </x:c>
      <x:c r="C11" s="21" t="str">
        <x:v>Increase feed and area separately by 10%</x:v>
      </x:c>
      <x:c r="D11" s="21" t="str">
        <x:v>Both raise CAPEX but production responds differently</x:v>
      </x:c>
      <x:c r="E11" s="21" t="str">
        <x:v>ΔCAPEX and elasticity</x:v>
      </x:c>
      <x:c r="F11" s="21" t="str">
        <x:v>Identify scale effects</x:v>
      </x:c>
      <x:c r="G11" s="21" t="str">
        <x:v>Test high-pressure system</x:v>
      </x:c>
      <x:c r="H11" s="21" t="str">
        <x:v>One-at-a-time control</x:v>
      </x:c>
    </x:row>
    <x:row r="12" ht="53" customHeight="1">
      <x:c r="A12" s="21" t="str">
        <x:v>3 High pressure</x:v>
      </x:c>
      <x:c r="B12" s="21" t="str">
        <x:v>Pump scale effect unresolved</x:v>
      </x:c>
      <x:c r="C12" s="21" t="str">
        <x:v>Increase P1 pressure by 10%</x:v>
      </x:c>
      <x:c r="D12" s="21" t="str">
        <x:v>CAPEX rises 5.53%</x:v>
      </x:c>
      <x:c r="E12" s="21" t="str">
        <x:v>Elasticity 0.553</x:v>
      </x:c>
      <x:c r="F12" s="21" t="str">
        <x:v>Largest continuous driver</x:v>
      </x:c>
      <x:c r="G12" s="21" t="str">
        <x:v>Test water quality and PX performance</x:v>
      </x:c>
      <x:c r="H12" s="21" t="str">
        <x:v>Sensitivity</x:v>
      </x:c>
    </x:row>
    <x:row r="13" ht="53" customHeight="1">
      <x:c r="A13" s="21" t="str">
        <x:v>4 Quality/efficiency</x:v>
      </x:c>
      <x:c r="B13" s="21" t="str">
        <x:v>Separate capital from performance inputs</x:v>
      </x:c>
      <x:c r="C13" s="21" t="str">
        <x:v>TSS +50%; lower PX efficiency</x:v>
      </x:c>
      <x:c r="D13" s="21" t="str">
        <x:v>TSS negligible; PX degradation raises P2 duty</x:v>
      </x:c>
      <x:c r="E13" s="21" t="str">
        <x:v>Signed elasticity</x:v>
      </x:c>
      <x:c r="F13" s="21" t="str">
        <x:v>Continuous ranking complete</x:v>
      </x:c>
      <x:c r="G13" s="21" t="str">
        <x:v>Switch ERD configuration</x:v>
      </x:c>
      <x:c r="H13" s="21" t="str">
        <x:v>Causal distinction</x:v>
      </x:c>
    </x:row>
    <x:row r="14" ht="53" customHeight="1">
      <x:c r="A14" s="21" t="str">
        <x:v>5 Configuration</x:v>
      </x:c>
      <x:c r="B14" s="21" t="str">
        <x:v>Discrete option unresolved</x:v>
      </x:c>
      <x:c r="C14" s="21" t="str">
        <x:v>Replace PX with PAT at η=0.85</x:v>
      </x:c>
      <x:c r="D14" s="21" t="str">
        <x:v>CAPEX=$33.987m; SEC=6.351</x:v>
      </x:c>
      <x:c r="E14" s="21" t="str">
        <x:v>Increment versus base</x:v>
      </x:c>
      <x:c r="F14" s="21" t="str">
        <x:v>PAT breaches budget</x:v>
      </x:c>
      <x:c r="G14" s="21" t="str">
        <x:v>Recommend</x:v>
      </x:c>
      <x:c r="H14" s="21" t="str">
        <x:v>Discrete decision</x:v>
      </x:c>
    </x:row>
    <x:row r="15" ht="53" customHeight="1">
      <x:c r="A15" s="21" t="str">
        <x:v>6 Decision</x:v>
      </x:c>
      <x:c r="B15" s="21" t="str">
        <x:v>Evidence complete</x:v>
      </x:c>
      <x:c r="C15" s="21" t="str">
        <x:v>Summarize</x:v>
      </x:c>
      <x:c r="D15" s="21" t="str">
        <x:v>All continuous cases are below $30m; pressure case has least headroom</x:v>
      </x:c>
      <x:c r="E15" s="21" t="str">
        <x:v>Budget headroom</x:v>
      </x:c>
      <x:c r="F15" s="21" t="str">
        <x:v>Retain PX; revisit contingency before pressure uprate</x:v>
      </x:c>
      <x:c r="G15" s="21" t="str">
        <x:v>Stop</x:v>
      </x:c>
      <x:c r="H15" s="21" t="str">
        <x:v>Engineering judgment</x:v>
      </x:c>
    </x:row>
    <x:row r="18">
      <x:c r="A18" s="11" t="str">
        <x:v>Seven actual simulate_swro_system calls and CAPEX calculations</x:v>
      </x:c>
      <x:c r="B18" s="11" t="str">
        <x:v>Seven actual simulate_swro_system calls and CAPEX calculations</x:v>
      </x:c>
      <x:c r="C18" s="11" t="str">
        <x:v>Seven actual simulate_swro_system calls and CAPEX calculations</x:v>
      </x:c>
      <x:c r="D18" s="11" t="str">
        <x:v>Seven actual simulate_swro_system calls and CAPEX calculations</x:v>
      </x:c>
      <x:c r="E18" s="11" t="str">
        <x:v>Seven actual simulate_swro_system calls and CAPEX calculations</x:v>
      </x:c>
      <x:c r="F18" s="11" t="str">
        <x:v>Seven actual simulate_swro_system calls and CAPEX calculations</x:v>
      </x:c>
      <x:c r="G18" s="11" t="str">
        <x:v>Seven actual simulate_swro_system calls and CAPEX calculations</x:v>
      </x:c>
      <x:c r="H18" s="11" t="str">
        <x:v>Seven actual simulate_swro_system calls and CAPEX calculations</x:v>
      </x:c>
      <x:c r="I18" s="11" t="str">
        <x:v>Seven actual simulate_swro_system calls and CAPEX calculations</x:v>
      </x:c>
      <x:c r="J18" s="11" t="str">
        <x:v>Seven actual simulate_swro_system calls and CAPEX calculations</x:v>
      </x:c>
      <x:c r="K18" s="11" t="str">
        <x:v>Seven actual simulate_swro_system calls and CAPEX calculations</x:v>
      </x:c>
      <x:c r="L18" s="11" t="str">
        <x:v>Seven actual simulate_swro_system calls and CAPEX calculations</x:v>
      </x:c>
      <x:c r="M18" s="11" t="str">
        <x:v>Seven actual simulate_swro_system calls and CAPEX calculations</x:v>
      </x:c>
      <x:c r="N18" s="11" t="str">
        <x:v>Seven actual simulate_swro_system calls and CAPEX calculations</x:v>
      </x:c>
      <x:c r="O18" s="11" t="str">
        <x:v>Seven actual simulate_swro_system calls and CAPEX calculations</x:v>
      </x:c>
      <x:c r="P18" s="11" t="str">
        <x:v>Seven actual simulate_swro_system calls and CAPEX calculations</x:v>
      </x:c>
      <x:c r="Q18" s="11" t="str">
        <x:v>Seven actual simulate_swro_system calls and CAPEX calculations</x:v>
      </x:c>
      <x:c r="R18" s="11" t="str">
        <x:v>Seven actual simulate_swro_system calls and CAPEX calculations</x:v>
      </x:c>
      <x:c r="T18" s="17" t="str">
        <x:v>Scenario</x:v>
      </x:c>
      <x:c r="U18" s="17" t="str">
        <x:v>CAPEX $m</x:v>
      </x:c>
      <x:c r="V18" s="17" t="str">
        <x:v>Budget</x:v>
      </x:c>
    </x:row>
    <x:row r="19">
      <x:c r="A19" s="17" t="str">
        <x:v>Call</x:v>
      </x:c>
      <x:c r="B19" s="17" t="str">
        <x:v>Scenario</x:v>
      </x:c>
      <x:c r="C19" s="17" t="str">
        <x:v>Variable</x:v>
      </x:c>
      <x:c r="D19" s="17" t="str">
        <x:v>Base input</x:v>
      </x:c>
      <x:c r="E19" s="17" t="str">
        <x:v>Test input</x:v>
      </x:c>
      <x:c r="F19" s="17" t="str">
        <x:v>Product m³/s</x:v>
      </x:c>
      <x:c r="G19" s="17" t="str">
        <x:v>Product m³/d</x:v>
      </x:c>
      <x:c r="H19" s="17" t="str">
        <x:v>Recovery %</x:v>
      </x:c>
      <x:c r="I19" s="17" t="str">
        <x:v>CAPEX USD_2018</x:v>
      </x:c>
      <x:c r="J19" s="17" t="str">
        <x:v>ΔCAPEX</x:v>
      </x:c>
      <x:c r="K19" s="17" t="str">
        <x:v>ΔCAPEX %</x:v>
      </x:c>
      <x:c r="L19" s="17" t="str">
        <x:v>Δinput %</x:v>
      </x:c>
      <x:c r="M19" s="17" t="str">
        <x:v>CAPEX elasticity</x:v>
      </x:c>
      <x:c r="N19" s="17" t="str">
        <x:v>Capital intensity</x:v>
      </x:c>
      <x:c r="O19" s="17" t="str">
        <x:v>SEC</x:v>
      </x:c>
      <x:c r="P19" s="17" t="str">
        <x:v>LCOW</x:v>
      </x:c>
      <x:c r="Q19" s="17" t="str">
        <x:v>P1 kW</x:v>
      </x:c>
      <x:c r="R19" s="17" t="str">
        <x:v>P2/ERD kW</x:v>
      </x:c>
      <x:c r="T19" t="str">
        <x:f>B20</x:f>
        <x:v>Base PX design</x:v>
      </x:c>
      <x:c r="U19" s="36" t="n">
        <x:f>I20/1000000</x:f>
        <x:v>28.034333170281872</x:v>
      </x:c>
      <x:c r="V19" s="36" t="n">
        <x:f>30000000/1000000</x:f>
        <x:v>30</x:v>
      </x:c>
    </x:row>
    <x:row r="20" ht="32" customHeight="1">
      <x:c r="A20" s="21" t="n">
        <x:v>1</x:v>
      </x:c>
      <x:c r="B20" s="21" t="str">
        <x:v>Base PX design</x:v>
      </x:c>
      <x:c r="C20" s="21" t="str">
        <x:v>Base</x:v>
      </x:c>
      <x:c r="D20" s="21"/>
      <x:c r="E20" s="21"/>
      <x:c r="F20" s="34" t="n">
        <x:v>0.16289006461580482</x:v>
      </x:c>
      <x:c r="G20" s="22" t="n">
        <x:f>F20*86400</x:f>
        <x:v>14073.701582805537</x:v>
      </x:c>
      <x:c r="H20" s="22" t="n">
        <x:v>38.970100545417544</x:v>
      </x:c>
      <x:c r="I20" s="22" t="n">
        <x:v>28034333.170281872</x:v>
      </x:c>
      <x:c r="J20" s="22" t="n">
        <x:f>I20-$I$20</x:f>
        <x:v>0</x:v>
      </x:c>
      <x:c r="K20" s="35" t="n">
        <x:f>J20/$I$20</x:f>
        <x:v>0</x:v>
      </x:c>
      <x:c r="L20" s="35"/>
      <x:c r="M20" s="39"/>
      <x:c r="N20" s="22" t="n">
        <x:f>I20/G20</x:f>
        <x:v>1991.965866643972</x:v>
      </x:c>
      <x:c r="O20" s="22" t="n">
        <x:v>3.1150147141178137</x:v>
      </x:c>
      <x:c r="P20" s="22" t="n">
        <x:v>0.8303964921183279</x:v>
      </x:c>
      <x:c r="Q20" s="22" t="n">
        <x:v>1356.505759599477</x:v>
      </x:c>
      <x:c r="R20" s="22" t="n">
        <x:v>230.81524180869195</x:v>
      </x:c>
      <x:c r="T20" t="str">
        <x:f>B21</x:f>
        <x:v>Design feed +10%</x:v>
      </x:c>
      <x:c r="U20" s="36" t="n">
        <x:f>I21/1000000</x:f>
        <x:v>29.242093073644885</x:v>
      </x:c>
      <x:c r="V20" s="36" t="n">
        <x:f>30000000/1000000</x:f>
        <x:v>30</x:v>
      </x:c>
    </x:row>
    <x:row r="21" ht="32" customHeight="1">
      <x:c r="A21" s="21" t="n">
        <x:v>2</x:v>
      </x:c>
      <x:c r="B21" s="21" t="str">
        <x:v>Design feed +10%</x:v>
      </x:c>
      <x:c r="C21" s="21" t="str">
        <x:v>Feed flow m³/s</x:v>
      </x:c>
      <x:c r="D21" s="21" t="n">
        <x:v>0.42</x:v>
      </x:c>
      <x:c r="E21" s="21" t="n">
        <x:v>0.462</x:v>
      </x:c>
      <x:c r="F21" s="34" t="n">
        <x:v>0.16779590839886466</x:v>
      </x:c>
      <x:c r="G21" s="22" t="n">
        <x:f>F21*86400</x:f>
        <x:v>14497.566485661906</x:v>
      </x:c>
      <x:c r="H21" s="22" t="n">
        <x:v>36.494682661050675</x:v>
      </x:c>
      <x:c r="I21" s="22" t="n">
        <x:v>29242093.073644884</x:v>
      </x:c>
      <x:c r="J21" s="22" t="n">
        <x:f>I21-$I$20</x:f>
        <x:v>1207759.9033630118</x:v>
      </x:c>
      <x:c r="K21" s="35" t="n">
        <x:f>J21/$I$20</x:f>
        <x:v>0.04308145644224961</x:v>
      </x:c>
      <x:c r="L21" s="35" t="n">
        <x:f>E21/D21-1</x:f>
        <x:v>0.10000000000000009</x:v>
      </x:c>
      <x:c r="M21" s="39" t="n">
        <x:f>K21/L21</x:f>
        <x:v>0.4308145644224957</x:v>
      </x:c>
      <x:c r="N21" s="22" t="n">
        <x:f>I21/G21</x:f>
        <x:v>2017.034590085537</x:v>
      </x:c>
      <x:c r="O21" s="22" t="n">
        <x:v>3.2103814916689237</x:v>
      </x:c>
      <x:c r="P21" s="22" t="n">
        <x:v>0.8526289126116363</x:v>
      </x:c>
      <x:c r="Q21" s="22" t="n">
        <x:v>1397.4317203628907</x:v>
      </x:c>
      <x:c r="R21" s="22" t="n">
        <x:v>295.259333457291</x:v>
      </x:c>
      <x:c r="T21" t="str">
        <x:f>B22</x:f>
        <x:v>Membrane area +10%</x:v>
      </x:c>
      <x:c r="U21" s="36" t="n">
        <x:f>I22/1000000</x:f>
        <x:v>28.599371914762273</x:v>
      </x:c>
      <x:c r="V21" s="36" t="n">
        <x:f>30000000/1000000</x:f>
        <x:v>30</x:v>
      </x:c>
    </x:row>
    <x:row r="22" ht="32" customHeight="1">
      <x:c r="A22" s="21" t="n">
        <x:v>3</x:v>
      </x:c>
      <x:c r="B22" s="21" t="str">
        <x:v>Membrane area +10%</x:v>
      </x:c>
      <x:c r="C22" s="21" t="str">
        <x:v>RO area m²</x:v>
      </x:c>
      <x:c r="D22" s="21" t="n">
        <x:v>18000</x:v>
      </x:c>
      <x:c r="E22" s="21" t="n">
        <x:v>19800</x:v>
      </x:c>
      <x:c r="F22" s="34" t="n">
        <x:v>0.17255028498519065</x:v>
      </x:c>
      <x:c r="G22" s="22" t="n">
        <x:f>F22*86400</x:f>
        <x:v>14908.344622720471</x:v>
      </x:c>
      <x:c r="H22" s="22" t="n">
        <x:v>41.28085122786273</x:v>
      </x:c>
      <x:c r="I22" s="22" t="n">
        <x:v>28599371.914762273</x:v>
      </x:c>
      <x:c r="J22" s="22" t="n">
        <x:f>I22-$I$20</x:f>
        <x:v>565038.7444804013</x:v>
      </x:c>
      <x:c r="K22" s="35" t="n">
        <x:f>J22/$I$20</x:f>
        <x:v>0.020155241112685972</x:v>
      </x:c>
      <x:c r="L22" s="35" t="n">
        <x:f>E22/D22-1</x:f>
        <x:v>0.10000000000000009</x:v>
      </x:c>
      <x:c r="M22" s="39" t="n">
        <x:f>K22/L22</x:f>
        <x:v>0.20155241112685954</x:v>
      </x:c>
      <x:c r="N22" s="22" t="n">
        <x:f>I22/G22</x:f>
        <x:v>1918.3465796180037</x:v>
      </x:c>
      <x:c r="O22" s="22" t="n">
        <x:v>3.0969690718248852</x:v>
      </x:c>
      <x:c r="P22" s="22" t="n">
        <x:v>0.8049170493052119</x:v>
      </x:c>
      <x:c r="Q22" s="22" t="n">
        <x:v>1436.8800795317761</x:v>
      </x:c>
      <x:c r="R22" s="22" t="n">
        <x:v>233.40485605315985</x:v>
      </x:c>
      <x:c r="T22" t="str">
        <x:f>B23</x:f>
        <x:v>P1 pressure +10%</x:v>
      </x:c>
      <x:c r="U22" s="36" t="n">
        <x:f>I23/1000000</x:f>
        <x:v>29.584575935905374</x:v>
      </x:c>
      <x:c r="V22" s="36" t="n">
        <x:f>30000000/1000000</x:f>
        <x:v>30</x:v>
      </x:c>
    </x:row>
    <x:row r="23" ht="32" customHeight="1">
      <x:c r="A23" s="21" t="n">
        <x:v>4</x:v>
      </x:c>
      <x:c r="B23" s="21" t="str">
        <x:v>P1 pressure +10%</x:v>
      </x:c>
      <x:c r="C23" s="21" t="str">
        <x:v>P1 pressure bar(a)</x:v>
      </x:c>
      <x:c r="D23" s="21" t="n">
        <x:v>70</x:v>
      </x:c>
      <x:c r="E23" s="21" t="n">
        <x:v>77</x:v>
      </x:c>
      <x:c r="F23" s="34" t="n">
        <x:v>0.18502486541483945</x:v>
      </x:c>
      <x:c r="G23" s="22" t="n">
        <x:f>F23*86400</x:f>
        <x:v>15986.148371842128</x:v>
      </x:c>
      <x:c r="H23" s="22" t="n">
        <x:v>44.26602837941219</x:v>
      </x:c>
      <x:c r="I23" s="22" t="n">
        <x:v>29584575.935905375</x:v>
      </x:c>
      <x:c r="J23" s="22" t="n">
        <x:f>I23-$I$20</x:f>
        <x:v>1550242.7656235024</x:v>
      </x:c>
      <x:c r="K23" s="35" t="n">
        <x:f>J23/$I$20</x:f>
        <x:v>0.055298007489860884</x:v>
      </x:c>
      <x:c r="L23" s="35" t="n">
        <x:f>E23/D23-1</x:f>
        <x:v>0.10000000000000009</x:v>
      </x:c>
      <x:c r="M23" s="39" t="n">
        <x:f>K23/L23</x:f>
        <x:v>0.5529800748986083</x:v>
      </x:c>
      <x:c r="N23" s="22" t="n">
        <x:f>I23/G23</x:f>
        <x:v>1850.6381429572746</x:v>
      </x:c>
      <x:c r="O23" s="22" t="n">
        <x:v>3.2766187126445407</x:v>
      </x:c>
      <x:c r="P23" s="22" t="n">
        <x:v>0.7877117726454732</x:v>
      </x:c>
      <x:c r="Q23" s="22" t="n">
        <x:v>1696.993627098007</x:v>
      </x:c>
      <x:c r="R23" s="22" t="n">
        <x:v>213.75324024663448</x:v>
      </x:c>
      <x:c r="T23" t="str">
        <x:f>B24</x:f>
        <x:v>Feed TSS +50%</x:v>
      </x:c>
      <x:c r="U23" s="36" t="n">
        <x:f>I24/1000000</x:f>
        <x:v>28.035007965222263</x:v>
      </x:c>
      <x:c r="V23" s="36" t="n">
        <x:f>30000000/1000000</x:f>
        <x:v>30</x:v>
      </x:c>
    </x:row>
    <x:row r="24" ht="32" customHeight="1">
      <x:c r="A24" s="21" t="n">
        <x:v>5</x:v>
      </x:c>
      <x:c r="B24" s="21" t="str">
        <x:v>Feed TSS +50%</x:v>
      </x:c>
      <x:c r="C24" s="21" t="str">
        <x:v>TSS g/L</x:v>
      </x:c>
      <x:c r="D24" s="21" t="n">
        <x:v>0.03</x:v>
      </x:c>
      <x:c r="E24" s="21" t="n">
        <x:v>0.045</x:v>
      </x:c>
      <x:c r="F24" s="34" t="n">
        <x:v>0.16288686596000795</x:v>
      </x:c>
      <x:c r="G24" s="22" t="n">
        <x:f>F24*86400</x:f>
        <x:v>14073.425218944687</x:v>
      </x:c>
      <x:c r="H24" s="22" t="n">
        <x:v>38.96992199106684</x:v>
      </x:c>
      <x:c r="I24" s="22" t="n">
        <x:v>28035007.96522226</x:v>
      </x:c>
      <x:c r="J24" s="22" t="n">
        <x:f>I24-$I$20</x:f>
        <x:v>674.7949403896928</x:v>
      </x:c>
      <x:c r="K24" s="35" t="n">
        <x:f>J24/$I$20</x:f>
        <x:v>0.000024070304661464793</x:v>
      </x:c>
      <x:c r="L24" s="35" t="n">
        <x:f>E24/D24-1</x:f>
        <x:v>0.5</x:v>
      </x:c>
      <x:c r="M24" s="39" t="n">
        <x:f>K24/L24</x:f>
        <x:v>0.000048140609322929586</x:v>
      </x:c>
      <x:c r="N24" s="22" t="n">
        <x:f>I24/G24</x:f>
        <x:v>1992.0529316120885</x:v>
      </x:c>
      <x:c r="O24" s="22" t="n">
        <x:v>3.115014163703016</x:v>
      </x:c>
      <x:c r="P24" s="22" t="n">
        <x:v>0.8304186289738292</x:v>
      </x:c>
      <x:c r="Q24" s="22" t="n">
        <x:v>1356.4790741140337</x:v>
      </x:c>
      <x:c r="R24" s="22" t="n">
        <x:v>230.8092905105783</x:v>
      </x:c>
      <x:c r="T24" t="str">
        <x:f>B25</x:f>
        <x:v>PX efficiency 0.96→0.91</x:v>
      </x:c>
      <x:c r="U24" s="36" t="n">
        <x:f>I25/1000000</x:f>
        <x:v>28.416664057494888</x:v>
      </x:c>
      <x:c r="V24" s="36" t="n">
        <x:f>30000000/1000000</x:f>
        <x:v>30</x:v>
      </x:c>
    </x:row>
    <x:row r="25" ht="32" customHeight="1">
      <x:c r="A25" s="21" t="n">
        <x:v>6</x:v>
      </x:c>
      <x:c r="B25" s="21" t="str">
        <x:v>PX efficiency 0.96→0.91</x:v>
      </x:c>
      <x:c r="C25" s="21" t="str">
        <x:v>PX efficiency</x:v>
      </x:c>
      <x:c r="D25" s="21" t="n">
        <x:v>0.96</x:v>
      </x:c>
      <x:c r="E25" s="21" t="n">
        <x:v>0.91</x:v>
      </x:c>
      <x:c r="F25" s="34" t="n">
        <x:v>0.16289006461580485</x:v>
      </x:c>
      <x:c r="G25" s="22" t="n">
        <x:f>F25*86400</x:f>
        <x:v>14073.70158280554</x:v>
      </x:c>
      <x:c r="H25" s="22" t="n">
        <x:v>38.970100545417544</x:v>
      </x:c>
      <x:c r="I25" s="22" t="n">
        <x:v>28416664.057494886</x:v>
      </x:c>
      <x:c r="J25" s="22" t="n">
        <x:f>I25-$I$20</x:f>
        <x:v>382330.88721301407</x:v>
      </x:c>
      <x:c r="K25" s="35" t="n">
        <x:f>J25/$I$20</x:f>
        <x:v>0.013637951896009729</x:v>
      </x:c>
      <x:c r="L25" s="35" t="n">
        <x:f>E25/D25-1</x:f>
        <x:v>-0.05208333333333326</x:v>
      </x:c>
      <x:c r="M25" s="39" t="n">
        <x:f>K25/L25</x:f>
        <x:v>-0.26184867640338716</x:v>
      </x:c>
      <x:c r="N25" s="22" t="n">
        <x:f>I25/G25</x:f>
        <x:v>2019.1322013117556</x:v>
      </x:c>
      <x:c r="O25" s="22" t="n">
        <x:v>3.285872164858594</x:v>
      </x:c>
      <x:c r="P25" s="22" t="n">
        <x:v>0.8475585558442925</x:v>
      </x:c>
      <x:c r="Q25" s="22" t="n">
        <x:v>1356.5057595994767</x:v>
      </x:c>
      <x:c r="R25" s="22" t="n">
        <x:v>331.0067740972189</x:v>
      </x:c>
      <x:c r="T25" t="str">
        <x:f>B26</x:f>
        <x:v>Replace PX with PAT, η=0.85</x:v>
      </x:c>
      <x:c r="U25" s="36" t="n">
        <x:f>I26/1000000</x:f>
        <x:v>33.98708766389492</x:v>
      </x:c>
      <x:c r="V25" s="36" t="n">
        <x:f>30000000/1000000</x:f>
        <x:v>30</x:v>
      </x:c>
    </x:row>
    <x:row r="26" ht="32" customHeight="1">
      <x:c r="A26" s="21" t="n">
        <x:v>7</x:v>
      </x:c>
      <x:c r="B26" s="21" t="str">
        <x:v>Replace PX with PAT, η=0.85</x:v>
      </x:c>
      <x:c r="C26" s="21" t="str">
        <x:v>ERD configuration</x:v>
      </x:c>
      <x:c r="D26" s="21" t="str">
        <x:v>PX</x:v>
      </x:c>
      <x:c r="E26" s="21" t="str">
        <x:v>PAT</x:v>
      </x:c>
      <x:c r="F26" s="34" t="n">
        <x:v>0.16289006461580485</x:v>
      </x:c>
      <x:c r="G26" s="22" t="n">
        <x:f>F26*86400</x:f>
        <x:v>14073.70158280554</x:v>
      </x:c>
      <x:c r="H26" s="22" t="n">
        <x:v>38.97010054541755</x:v>
      </x:c>
      <x:c r="I26" s="22" t="n">
        <x:v>33987087.66389492</x:v>
      </x:c>
      <x:c r="J26" s="22" t="n">
        <x:f>I26-$I$20</x:f>
        <x:v>5952754.493613049</x:v>
      </x:c>
      <x:c r="K26" s="35" t="n">
        <x:f>J26/$I$20</x:f>
        <x:v>0.2123380091638255</x:v>
      </x:c>
      <x:c r="L26" s="35"/>
      <x:c r="M26" s="39"/>
      <x:c r="N26" s="22" t="n">
        <x:f>I26/G26</x:f>
        <x:v>2414.935933089447</x:v>
      </x:c>
      <x:c r="O26" s="22" t="n">
        <x:v>6.3512118141256</x:v>
      </x:c>
      <x:c r="P26" s="22" t="n">
        <x:v>1.1316279033478682</x:v>
      </x:c>
      <x:c r="Q26" s="22" t="n">
        <x:v>3485.040678435263</x:v>
      </x:c>
      <x:c r="R26" s="22" t="n">
        <x:v>1396.3815937491092</x:v>
      </x:c>
    </x:row>
    <x:row r="29">
      <x:c r="A29" s="11" t="str">
        <x:v>Continuous-parameter sensitivity ranking (by |elasticity|)</x:v>
      </x:c>
      <x:c r="B29" s="11" t="str">
        <x:v>Continuous-parameter sensitivity ranking (by |elasticity|)</x:v>
      </x:c>
      <x:c r="C29" s="11" t="str">
        <x:v>Continuous-parameter sensitivity ranking (by |elasticity|)</x:v>
      </x:c>
      <x:c r="D29" s="11" t="str">
        <x:v>Continuous-parameter sensitivity ranking (by |elasticity|)</x:v>
      </x:c>
      <x:c r="E29" s="11" t="str">
        <x:v>Continuous-parameter sensitivity ranking (by |elasticity|)</x:v>
      </x:c>
      <x:c r="F29" s="11" t="str">
        <x:v>Continuous-parameter sensitivity ranking (by |elasticity|)</x:v>
      </x:c>
      <x:c r="G29" s="11" t="str">
        <x:v>Continuous-parameter sensitivity ranking (by |elasticity|)</x:v>
      </x:c>
      <x:c r="H29" s="11" t="str">
        <x:v>Continuous-parameter sensitivity ranking (by |elasticity|)</x:v>
      </x:c>
      <x:c r="J29" s="11" t="str">
        <x:v>Budget and configuration decision</x:v>
      </x:c>
      <x:c r="K29" s="11" t="str">
        <x:v>Budget and configuration decision</x:v>
      </x:c>
      <x:c r="L29" s="11" t="str">
        <x:v>Budget and configuration decision</x:v>
      </x:c>
      <x:c r="M29" s="11" t="str">
        <x:v>Budget and configuration decision</x:v>
      </x:c>
      <x:c r="N29" s="11" t="str">
        <x:v>Budget and configuration decision</x:v>
      </x:c>
      <x:c r="O29" s="11" t="str">
        <x:v>Budget and configuration decision</x:v>
      </x:c>
      <x:c r="P29" s="11" t="str">
        <x:v>Budget and configuration decision</x:v>
      </x:c>
      <x:c r="Q29" s="11" t="str">
        <x:v>Budget and configuration decision</x:v>
      </x:c>
      <x:c r="R29" s="11" t="str">
        <x:v>Budget and configuration decision</x:v>
      </x:c>
    </x:row>
    <x:row r="30">
      <x:c r="A30" s="17" t="str">
        <x:v>Rank</x:v>
      </x:c>
      <x:c r="B30" s="17" t="str">
        <x:v>Design input</x:v>
      </x:c>
      <x:c r="C30" s="17" t="str">
        <x:v>Δinput</x:v>
      </x:c>
      <x:c r="D30" s="17" t="str">
        <x:v>ΔCAPEX</x:v>
      </x:c>
      <x:c r="E30" s="17" t="str">
        <x:v>ΔCAPEX %</x:v>
      </x:c>
      <x:c r="F30" s="17" t="str">
        <x:v>Elasticity</x:v>
      </x:c>
      <x:c r="G30" s="17" t="str">
        <x:v>|Elasticity|</x:v>
      </x:c>
      <x:c r="H30" s="17" t="str">
        <x:v>Engineering interpretation</x:v>
      </x:c>
      <x:c r="J30" s="17" t="str">
        <x:v>Item</x:v>
      </x:c>
      <x:c r="K30" s="17" t="str">
        <x:v>Base</x:v>
      </x:c>
      <x:c r="L30" s="17" t="str">
        <x:v>Worst continuous</x:v>
      </x:c>
      <x:c r="M30" s="17" t="str">
        <x:v>PAT</x:v>
      </x:c>
      <x:c r="N30" s="17" t="str">
        <x:v>Budget</x:v>
      </x:c>
      <x:c r="O30" s="17" t="str">
        <x:v>Base headroom</x:v>
      </x:c>
      <x:c r="P30" s="17" t="str">
        <x:v>Pressure-case headroom</x:v>
      </x:c>
      <x:c r="Q30" s="17" t="str">
        <x:v>PAT overrun</x:v>
      </x:c>
      <x:c r="R30" s="17" t="str">
        <x:v>Conclusion</x:v>
      </x:c>
    </x:row>
    <x:row r="31" ht="48" customHeight="1">
      <x:c r="A31" s="21" t="n">
        <x:v>1</x:v>
      </x:c>
      <x:c r="B31" s="21" t="str">
        <x:v>P1 pressure</x:v>
      </x:c>
      <x:c r="C31" s="35" t="n">
        <x:f>L23</x:f>
        <x:v>0.10000000000000009</x:v>
      </x:c>
      <x:c r="D31" s="37" t="n">
        <x:f>J23</x:f>
        <x:v>1550242.7656235024</x:v>
      </x:c>
      <x:c r="E31" s="35" t="n">
        <x:f>K23</x:f>
        <x:v>0.055298007489860884</x:v>
      </x:c>
      <x:c r="F31" s="39" t="n">
        <x:f>M23</x:f>
        <x:v>0.5529800748986083</x:v>
      </x:c>
      <x:c r="G31" s="39" t="n">
        <x:f>ABS(M23)</x:f>
        <x:v>0.5529800748986083</x:v>
      </x:c>
      <x:c r="H31" s="21" t="str">
        <x:v>Largest combined effect from pump duty and high-pressure equipment rating</x:v>
      </x:c>
      <x:c r="J31" s="21" t="str">
        <x:v>CAPEX</x:v>
      </x:c>
      <x:c r="K31" s="22" t="n">
        <x:f>I20</x:f>
        <x:v>28034333.170281872</x:v>
      </x:c>
      <x:c r="L31" s="22" t="n">
        <x:f>I23</x:f>
        <x:v>29584575.935905375</x:v>
      </x:c>
      <x:c r="M31" s="22" t="n">
        <x:f>I26</x:f>
        <x:v>33987087.66389492</x:v>
      </x:c>
      <x:c r="N31" s="22" t="n">
        <x:v>30000000</x:v>
      </x:c>
      <x:c r="O31" s="22" t="n">
        <x:f>N31-K31</x:f>
        <x:v>1965666.8297181278</x:v>
      </x:c>
      <x:c r="P31" s="22" t="n">
        <x:f>N31-L31</x:f>
        <x:v>415424.0640946254</x:v>
      </x:c>
      <x:c r="Q31" s="22" t="n">
        <x:f>M31-N31</x:f>
        <x:v>3987087.6638949215</x:v>
      </x:c>
      <x:c r="R31" s="21" t="str">
        <x:v>All continuous cases remain below the stated ceiling</x:v>
      </x:c>
    </x:row>
    <x:row r="32" ht="48" customHeight="1">
      <x:c r="A32" s="21" t="n">
        <x:v>2</x:v>
      </x:c>
      <x:c r="B32" s="21" t="str">
        <x:v>Design feed</x:v>
      </x:c>
      <x:c r="C32" s="35" t="n">
        <x:f>L21</x:f>
        <x:v>0.10000000000000009</x:v>
      </x:c>
      <x:c r="D32" s="37" t="n">
        <x:f>J21</x:f>
        <x:v>1207759.9033630118</x:v>
      </x:c>
      <x:c r="E32" s="35" t="n">
        <x:f>K21</x:f>
        <x:v>0.04308145644224961</x:v>
      </x:c>
      <x:c r="F32" s="39" t="n">
        <x:f>M21</x:f>
        <x:v>0.4308145644224957</x:v>
      </x:c>
      <x:c r="G32" s="39" t="n">
        <x:f>ABS(M21)</x:f>
        <x:v>0.4308145644224957</x:v>
      </x:c>
      <x:c r="H32" s="21" t="str">
        <x:v>Larger intake, pretreatment and pumping capacity</x:v>
      </x:c>
      <x:c r="J32" s="21" t="str">
        <x:v>Product</x:v>
      </x:c>
      <x:c r="K32" s="22" t="n">
        <x:f>G20</x:f>
        <x:v>14073.701582805537</x:v>
      </x:c>
      <x:c r="L32" s="22" t="n">
        <x:f>G23</x:f>
        <x:v>15986.148371842128</x:v>
      </x:c>
      <x:c r="M32" s="22" t="n">
        <x:f>G26</x:f>
        <x:v>14073.70158280554</x:v>
      </x:c>
      <x:c r="N32" s="22" t="n">
        <x:v>14000</x:v>
      </x:c>
      <x:c r="O32" s="22"/>
      <x:c r="P32" s="22"/>
      <x:c r="Q32" s="22"/>
      <x:c r="R32" s="21" t="str">
        <x:v>Base meets minimum product</x:v>
      </x:c>
    </x:row>
    <x:row r="33" ht="48" customHeight="1">
      <x:c r="A33" s="21" t="n">
        <x:v>3</x:v>
      </x:c>
      <x:c r="B33" s="21" t="str">
        <x:v>PX efficiency</x:v>
      </x:c>
      <x:c r="C33" s="35" t="n">
        <x:f>L25</x:f>
        <x:v>-0.05208333333333326</x:v>
      </x:c>
      <x:c r="D33" s="37" t="n">
        <x:f>J25</x:f>
        <x:v>382330.88721301407</x:v>
      </x:c>
      <x:c r="E33" s="35" t="n">
        <x:f>K25</x:f>
        <x:v>0.013637951896009729</x:v>
      </x:c>
      <x:c r="F33" s="39" t="n">
        <x:f>M25</x:f>
        <x:v>-0.26184867640338716</x:v>
      </x:c>
      <x:c r="G33" s="39" t="n">
        <x:f>ABS(M25)</x:f>
        <x:v>0.26184867640338716</x:v>
      </x:c>
      <x:c r="H33" s="21" t="str">
        <x:v>Lower efficiency raises booster-pump duty and cost, so the sign is negative</x:v>
      </x:c>
      <x:c r="J33" s="21" t="str">
        <x:v>SEC</x:v>
      </x:c>
      <x:c r="K33" s="22" t="n">
        <x:f>O20</x:f>
        <x:v>3.1150147141178137</x:v>
      </x:c>
      <x:c r="L33" s="22" t="n">
        <x:f>O23</x:f>
        <x:v>3.2766187126445407</x:v>
      </x:c>
      <x:c r="M33" s="22" t="n">
        <x:f>O26</x:f>
        <x:v>6.3512118141256</x:v>
      </x:c>
      <x:c r="N33" s="22"/>
      <x:c r="O33" s="22"/>
      <x:c r="P33" s="22"/>
      <x:c r="Q33" s="22"/>
      <x:c r="R33" s="21" t="str">
        <x:v>PAT energy is materially higher</x:v>
      </x:c>
    </x:row>
    <x:row r="34" ht="48" customHeight="1">
      <x:c r="A34" s="21" t="n">
        <x:v>4</x:v>
      </x:c>
      <x:c r="B34" s="21" t="str">
        <x:v>Membrane area</x:v>
      </x:c>
      <x:c r="C34" s="35" t="n">
        <x:f>L22</x:f>
        <x:v>0.10000000000000009</x:v>
      </x:c>
      <x:c r="D34" s="37" t="n">
        <x:f>J22</x:f>
        <x:v>565038.7444804013</x:v>
      </x:c>
      <x:c r="E34" s="35" t="n">
        <x:f>K22</x:f>
        <x:v>0.020155241112685972</x:v>
      </x:c>
      <x:c r="F34" s="39" t="n">
        <x:f>M22</x:f>
        <x:v>0.20155241112685954</x:v>
      </x:c>
      <x:c r="G34" s="39" t="n">
        <x:f>ABS(M22)</x:f>
        <x:v>0.20155241112685954</x:v>
      </x:c>
      <x:c r="H34" s="21" t="str">
        <x:v>More membrane and pressure-vessel capacity, with more product</x:v>
      </x:c>
      <x:c r="J34" s="21" t="str">
        <x:v>Equipment recommendation</x:v>
      </x:c>
      <x:c r="K34" s="21" t="str">
        <x:v>PX</x:v>
      </x:c>
      <x:c r="L34" s="21" t="str">
        <x:v>PX</x:v>
      </x:c>
      <x:c r="M34" s="21" t="str">
        <x:v>PAT</x:v>
      </x:c>
      <x:c r="N34" s="21"/>
      <x:c r="O34" s="21"/>
      <x:c r="P34" s="21"/>
      <x:c r="Q34" s="21"/>
      <x:c r="R34" s="21" t="str">
        <x:v>Retain PX; reassess contingency/offsites before pressure uprate</x:v>
      </x:c>
    </x:row>
    <x:row r="35" ht="45" customHeight="1">
      <x:c r="A35" s="21" t="n">
        <x:v>5</x:v>
      </x:c>
      <x:c r="B35" s="21" t="str">
        <x:v>Feed TSS</x:v>
      </x:c>
      <x:c r="C35" s="35" t="n">
        <x:f>L24</x:f>
        <x:v>0.5</x:v>
      </x:c>
      <x:c r="D35" s="37" t="n">
        <x:f>J24</x:f>
        <x:v>674.7949403896928</x:v>
      </x:c>
      <x:c r="E35" s="35" t="n">
        <x:f>K24</x:f>
        <x:v>0.000024070304661464793</x:v>
      </x:c>
      <x:c r="F35" s="39" t="n">
        <x:f>M24</x:f>
        <x:v>0.000048140609322929586</x:v>
      </x:c>
      <x:c r="G35" s="39" t="n">
        <x:f>ABS(M24)</x:f>
        <x:v>0.000048140609322929586</x:v>
      </x:c>
      <x:c r="H35" s="21" t="str">
        <x:v>Nearly insensitive within the current simplified pretreatment model</x:v>
      </x:c>
    </x:row>
    <x:row r="38">
      <x:c r="A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B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C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D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E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F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G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H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I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J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K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L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M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N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O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P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Q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R38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</x:row>
    <x:row r="39">
      <x:c r="A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B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C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D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E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F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G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H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I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J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K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L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M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N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O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P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Q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R39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</x:row>
    <x:row r="40">
      <x:c r="A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B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C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D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E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F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G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H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I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J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K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L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M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N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O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P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Q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R40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</x:row>
    <x:row r="41">
      <x:c r="A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B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C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D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E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F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G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H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I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J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K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L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M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N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O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P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Q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R41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</x:row>
    <x:row r="42">
      <x:c r="A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B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C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D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E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F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G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H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I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J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K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L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M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N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O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P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Q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R42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</x:row>
    <x:row r="43">
      <x:c r="A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B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C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D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E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F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G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H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I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J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K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L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M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N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O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P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Q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R43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</x:row>
    <x:row r="44">
      <x:c r="A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B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C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D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E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F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G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H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I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J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K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L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M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N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O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P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Q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  <x:c r="R44" s="33" t="str">
        <x:v>Final conclusion
The base PX design has total capital cost of USD 28.034 million (2018), product capacity of 14,073.70 m³/d and capital intensity of USD 1,991.97 per m³/d, satisfying both the 14,000 m³/d requirement and USD 30.0 million ceiling. Continuous inputs ranked by |CAPEX elasticity| are P1 pressure 0.553 &gt; design feed 0.431 &gt; PX efficiency 0.262 &gt; membrane area 0.202 &gt;&gt; TSS about 0.00005; signed PX-efficiency elasticity is -0.262. PAT CAPEX is USD 33.987 million, USD 5.953 million (21.23%) above PX, while SEC rises to 6.351 kWh/m³, so PAT breaches the budget and PX should be retained. The 77-bar case is still below USD 30 million but leaves only about USD 0.415 million before off-model contingency and offsites, so pressure uprating should not be approved from this result alone.</x:v>
      </x:c>
    </x:row>
  </x:sheetData>
  <x:mergeCells>
    <x:mergeCell ref="A1:V2"/>
    <x:mergeCell ref="A4:V6"/>
    <x:mergeCell ref="A8:H8"/>
    <x:mergeCell ref="A18:R18"/>
    <x:mergeCell ref="A29:H29"/>
    <x:mergeCell ref="J29:R29"/>
    <x:mergeCell ref="A38:R44"/>
  </x:mergeCells>
  <x:pageMargins left="0.7" right="0.7" top="0.75" bottom="0.75" header="0.3" footer="0.3"/>
  <x:drawing xmlns:r="http://schemas.openxmlformats.org/officeDocument/2006/relationships" r:id="R71cc7d4deb074e1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D4_4a: Trajectory Rubric (100 points)</x:v>
      </x:c>
      <x:c r="B1" s="4" t="str">
        <x:v>D4_4a: Trajectory Rubric (100 points)</x:v>
      </x:c>
      <x:c r="C1" s="4" t="str">
        <x:v>D4_4a: Trajectory Rubric (100 points)</x:v>
      </x:c>
      <x:c r="D1" s="4" t="str">
        <x:v>D4_4a: Trajectory Rubric (100 points)</x:v>
      </x:c>
      <x:c r="E1" s="4" t="str">
        <x:v>D4_4a: Trajectory Rubric (100 points)</x:v>
      </x:c>
      <x:c r="F1" s="4" t="str">
        <x:v>D4_4a: Trajectory Rubric (100 points)</x:v>
      </x:c>
      <x:c r="G1" s="4" t="str">
        <x:v>D4_4a: Trajectory Rubric (100 points)</x:v>
      </x:c>
    </x:row>
    <x:row r="2" ht="26" customHeight="1">
      <x:c r="A2" s="4" t="str">
        <x:v>D4_4a: Trajectory Rubric (100 points)</x:v>
      </x:c>
      <x:c r="B2" s="4" t="str">
        <x:v>D4_4a: Trajectory Rubric (100 points)</x:v>
      </x:c>
      <x:c r="C2" s="4" t="str">
        <x:v>D4_4a: Trajectory Rubric (100 points)</x:v>
      </x:c>
      <x:c r="D2" s="4" t="str">
        <x:v>D4_4a: Trajectory Rubric (100 points)</x:v>
      </x:c>
      <x:c r="E2" s="4" t="str">
        <x:v>D4_4a: Trajectory Rubric (100 points)</x:v>
      </x:c>
      <x:c r="F2" s="4" t="str">
        <x:v>D4_4a: Trajectory Rubric (100 points)</x:v>
      </x:c>
      <x:c r="G2" s="4" t="str">
        <x:v>D4_4a: Trajectory Rubric (100 points)</x:v>
      </x:c>
    </x:row>
    <x:row r="4">
      <x:c r="A4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B4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C4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D4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E4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F4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G4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</x:row>
    <x:row r="5">
      <x:c r="A5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B5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C5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D5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E5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F5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G5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</x:row>
    <x:row r="6">
      <x:c r="A6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B6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C6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D6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E6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F6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  <x:c r="G6" s="29" t="str">
        <x:v>Evaluate whether the agent connects design scale, equipment configuration and capital cost through an auditable full-plant simulation and sensitivity decision. The focus is controlled variables, consistent currency basis, normalized elasticity and separation of continuous inputs from discrete configurations.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2" customHeight="1">
      <x:c r="A9" s="21" t="str">
        <x:v>TQ1 State</x:v>
      </x:c>
      <x:c r="B9" s="21" t="str">
        <x:v>Identify base, budget and minimum production</x:v>
      </x:c>
      <x:c r="C9" s="21" t="str">
        <x:v>Keep USD_2018 basis; state $30m and 14,000 m³/d criteria</x:v>
      </x:c>
      <x:c r="D9" s="21" t="str">
        <x:v>Main objective right but one criterion missing</x:v>
      </x:c>
      <x:c r="E9" s="21" t="str">
        <x:v>Mix currencies or ignore design scale</x:v>
      </x:c>
      <x:c r="F9" s="21" t="n">
        <x:v>10</x:v>
      </x:c>
      <x:c r="G9" s="21"/>
    </x:row>
    <x:row r="10" ht="72" customHeight="1">
      <x:c r="A10" s="21" t="str">
        <x:v>TQ2 Tool calls</x:v>
      </x:c>
      <x:c r="B10" s="21" t="str">
        <x:v>Use whole-plant costing tool</x:v>
      </x:c>
      <x:c r="C10" s="21" t="str">
        <x:v>Seven valid simulate_swro_system calls with invariants held</x:v>
      </x:c>
      <x:c r="D10" s="21" t="str">
        <x:v>Minor noncritical deviations</x:v>
      </x:c>
      <x:c r="E10" s="21" t="str">
        <x:v>Use simulate_ro for whole-plant CAPEX</x:v>
      </x:c>
      <x:c r="F10" s="21" t="n">
        <x:v>20</x:v>
      </x:c>
      <x:c r="G10" s="21"/>
    </x:row>
    <x:row r="11" ht="72" customHeight="1">
      <x:c r="A11" s="21" t="str">
        <x:v>TQ3 CAPEX calculation</x:v>
      </x:c>
      <x:c r="B11" s="21" t="str">
        <x:v>Correct base investment and intensity</x:v>
      </x:c>
      <x:c r="C11" s="21" t="str">
        <x:v>$28.034m; 14,073.70 m³/d; $1,991.97 per m³/d</x:v>
      </x:c>
      <x:c r="D11" s="21" t="str">
        <x:v>Approximately right but units incomplete</x:v>
      </x:c>
      <x:c r="E11" s="21" t="str">
        <x:v>Treat LCOW or OPEX as CAPEX</x:v>
      </x:c>
      <x:c r="F11" s="21" t="n">
        <x:v>20</x:v>
      </x:c>
      <x:c r="G11" s="21"/>
    </x:row>
    <x:row r="12" ht="72" customHeight="1">
      <x:c r="A12" s="21" t="str">
        <x:v>TQ4 Sensitivity</x:v>
      </x:c>
      <x:c r="B12" s="21" t="str">
        <x:v>Normalize different perturbation sizes</x:v>
      </x:c>
      <x:c r="C12" s="21" t="str">
        <x:v>Use (ΔCAPEX/CAPEX₀)/(Δx/x₀); report sign and magnitude</x:v>
      </x:c>
      <x:c r="D12" s="21" t="str">
        <x:v>Compare absolute increments but acknowledge unequal sizes</x:v>
      </x:c>
      <x:c r="E12" s="21" t="str">
        <x:v>Rank dollar changes from unequal perturbations directly</x:v>
      </x:c>
      <x:c r="F12" s="21" t="n">
        <x:v>20</x:v>
      </x:c>
      <x:c r="G12" s="21"/>
    </x:row>
    <x:row r="13" ht="72" customHeight="1">
      <x:c r="A13" s="21" t="str">
        <x:v>TQ5 Input/configuration distinction</x:v>
      </x:c>
      <x:c r="B13" s="21" t="str">
        <x:v>Separate continuous elasticity from PAT option</x:v>
      </x:c>
      <x:c r="C13" s="21" t="str">
        <x:v>Correct continuous ranking; report PAT separately at +21.23%</x:v>
      </x:c>
      <x:c r="D13" s="21" t="str">
        <x:v>Conclusion right but presentation mixed</x:v>
      </x:c>
      <x:c r="E13" s="21" t="str">
        <x:v>Invent a continuous elasticity for PAT</x:v>
      </x:c>
      <x:c r="F13" s="21" t="n">
        <x:v>15</x:v>
      </x:c>
      <x:c r="G13" s="21"/>
    </x:row>
    <x:row r="14" ht="72" customHeight="1">
      <x:c r="A14" s="21" t="str">
        <x:v>TQ6 Engineering decision</x:v>
      </x:c>
      <x:c r="B14" s="21" t="str">
        <x:v>Give budget risk and recommendation</x:v>
      </x:c>
      <x:c r="C14" s="21" t="str">
        <x:v>Retain PX; flag only about $0.415m headroom at 77 bar before off-model contingency</x:v>
      </x:c>
      <x:c r="D14" s="21" t="str">
        <x:v>Mostly right but headroom/scope missing</x:v>
      </x:c>
      <x:c r="E14" s="21" t="str">
        <x:v>Recommend over-budget PAT or unconditional pressure uprate</x:v>
      </x:c>
      <x:c r="F14" s="21" t="n">
        <x:v>15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44" customHeight="1">
      <x:c r="A18" s="21" t="str">
        <x:v>Cost basis</x:v>
      </x:c>
      <x:c r="B18" s="21" t="str">
        <x:v>total_capital_cost_usd; USD_2018</x:v>
      </x:c>
      <x:c r="C18" s="21"/>
      <x:c r="D18" s="21"/>
      <x:c r="E18" s="21"/>
      <x:c r="F18" s="21"/>
      <x:c r="G18" s="21"/>
    </x:row>
    <x:row r="19" ht="44" customHeight="1">
      <x:c r="A19" s="21" t="str">
        <x:v>Continuous ranking</x:v>
      </x:c>
      <x:c r="B19" s="21" t="str">
        <x:v>P1 pressure &gt; feed &gt; PX efficiency &gt; area &gt;&gt; TSS</x:v>
      </x:c>
      <x:c r="C19" s="21"/>
      <x:c r="D19" s="21"/>
      <x:c r="E19" s="21"/>
      <x:c r="F19" s="21"/>
      <x:c r="G19" s="21"/>
    </x:row>
    <x:row r="20" ht="44" customHeight="1">
      <x:c r="A20" s="21" t="str">
        <x:v>Discrete option</x:v>
      </x:c>
      <x:c r="B20" s="21" t="str">
        <x:v>PAT: 33.987 million; +21.23%</x:v>
      </x:c>
      <x:c r="C20" s="21"/>
      <x:c r="D20" s="21"/>
      <x:c r="E20" s="21"/>
      <x:c r="F20" s="21"/>
      <x:c r="G20" s="21"/>
    </x:row>
    <x:row r="21" ht="44" customHeight="1">
      <x:c r="A21" s="21" t="str">
        <x:v>Budget criterion</x:v>
      </x:c>
      <x:c r="B21" s="21" t="str">
        <x:v>30.0 million USD_2018</x:v>
      </x:c>
      <x:c r="C21" s="21"/>
      <x:c r="D21" s="21"/>
      <x:c r="E21" s="21"/>
      <x:c r="F21" s="21"/>
      <x:c r="G21" s="21"/>
    </x:row>
    <x:row r="22" ht="44" customHeight="1">
      <x:c r="A22" s="21" t="str">
        <x:v>Tolerance</x:v>
      </x:c>
      <x:c r="B22" s="21" t="str">
        <x:v>CAPEX ±$0.02m; elasticity ±0.01</x:v>
      </x:c>
      <x:c r="C22" s="21"/>
      <x:c r="D22" s="21"/>
      <x:c r="E22" s="21"/>
      <x:c r="F22" s="21"/>
      <x:c r="G22" s="21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1" hidden="0" customWidth="1"/>
  </x:cols>
  <x:sheetData>
    <x:row r="1" ht="26" customHeight="1">
      <x:c r="A1" s="4" t="str">
        <x:v>D4_4a: Tool-Efficiency Rubric (100 points)</x:v>
      </x:c>
      <x:c r="B1" s="4" t="str">
        <x:v>D4_4a: Tool-Efficiency Rubric (100 points)</x:v>
      </x:c>
      <x:c r="C1" s="4" t="str">
        <x:v>D4_4a: Tool-Efficiency Rubric (100 points)</x:v>
      </x:c>
      <x:c r="D1" s="4" t="str">
        <x:v>D4_4a: Tool-Efficiency Rubric (100 points)</x:v>
      </x:c>
      <x:c r="E1" s="4" t="str">
        <x:v>D4_4a: Tool-Efficiency Rubric (100 points)</x:v>
      </x:c>
      <x:c r="F1" s="4" t="str">
        <x:v>D4_4a: Tool-Efficiency Rubric (100 points)</x:v>
      </x:c>
      <x:c r="G1" s="4" t="str">
        <x:v>D4_4a: Tool-Efficiency Rubric (100 points)</x:v>
      </x:c>
    </x:row>
    <x:row r="2" ht="26" customHeight="1">
      <x:c r="A2" s="4" t="str">
        <x:v>D4_4a: Tool-Efficiency Rubric (100 points)</x:v>
      </x:c>
      <x:c r="B2" s="4" t="str">
        <x:v>D4_4a: Tool-Efficiency Rubric (100 points)</x:v>
      </x:c>
      <x:c r="C2" s="4" t="str">
        <x:v>D4_4a: Tool-Efficiency Rubric (100 points)</x:v>
      </x:c>
      <x:c r="D2" s="4" t="str">
        <x:v>D4_4a: Tool-Efficiency Rubric (100 points)</x:v>
      </x:c>
      <x:c r="E2" s="4" t="str">
        <x:v>D4_4a: Tool-Efficiency Rubric (100 points)</x:v>
      </x:c>
      <x:c r="F2" s="4" t="str">
        <x:v>D4_4a: Tool-Efficiency Rubric (100 points)</x:v>
      </x:c>
      <x:c r="G2" s="4" t="str">
        <x:v>D4_4a: Tool-Efficiency Rubric (100 points)</x:v>
      </x:c>
    </x:row>
    <x:row r="4">
      <x:c r="A4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B4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C4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D4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E4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F4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G4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</x:row>
    <x:row r="5">
      <x:c r="A5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B5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C5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D5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E5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F5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G5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</x:row>
    <x:row r="6">
      <x:c r="A6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B6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C6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D6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E6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F6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  <x:c r="G6" s="29" t="str">
        <x:v>The reference path uses seven valid full-plant simulations: one base, five continuous one-at-a-time perturbations and one discrete configuration. Score information gain and variable control rather than exact sequence matching.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1" t="str">
        <x:v>E1 Tool choice</x:v>
      </x:c>
      <x:c r="B9" s="21" t="str">
        <x:v>Choose whole-plant cost tool</x:v>
      </x:c>
      <x:c r="C9" s="21" t="str">
        <x:v>Primarily simulate_swro_system</x:v>
      </x:c>
      <x:c r="D9" s="21" t="str">
        <x:v>A few irrelevant metadata calls</x:v>
      </x:c>
      <x:c r="E9" s="21" t="str">
        <x:v>Use single-membrane tool for plant investment</x:v>
      </x:c>
      <x:c r="F9" s="21" t="str">
        <x:v>costing.total_capital_cost_usd</x:v>
      </x:c>
      <x:c r="G9" s="21" t="n">
        <x:v>20</x:v>
      </x:c>
    </x:row>
    <x:row r="10" ht="72" customHeight="1">
      <x:c r="A10" s="21" t="str">
        <x:v>E2 Base first</x:v>
      </x:c>
      <x:c r="B10" s="21" t="str">
        <x:v>Establish a common baseline first</x:v>
      </x:c>
      <x:c r="C10" s="21" t="str">
        <x:v>Run the base first and confirm production/budget</x:v>
      </x:c>
      <x:c r="D10" s="21" t="str">
        <x:v>One or two cases before backfilling base</x:v>
      </x:c>
      <x:c r="E10" s="21" t="str">
        <x:v>Compare without a common baseline</x:v>
      </x:c>
      <x:c r="F10" s="21" t="str">
        <x:v>Base PX</x:v>
      </x:c>
      <x:c r="G10" s="21" t="n">
        <x:v>20</x:v>
      </x:c>
    </x:row>
    <x:row r="11" ht="72" customHeight="1">
      <x:c r="A11" s="21" t="str">
        <x:v>E3 One-at-a-time control</x:v>
      </x:c>
      <x:c r="B11" s="21" t="str">
        <x:v>Change only the target input</x:v>
      </x:c>
      <x:c r="C11" s="21" t="str">
        <x:v>All five continuous cases hold other inputs fixed</x:v>
      </x:c>
      <x:c r="D11" s="21" t="str">
        <x:v>One noncritical co-change</x:v>
      </x:c>
      <x:c r="E11" s="21" t="str">
        <x:v>Multiple co-changes prevent attribution</x:v>
      </x:c>
      <x:c r="F11" s="21" t="str">
        <x:v>flow/area/pressure/TSS/PX efficiency</x:v>
      </x:c>
      <x:c r="G11" s="21" t="n">
        <x:v>20</x:v>
      </x:c>
    </x:row>
    <x:row r="12" ht="72" customHeight="1">
      <x:c r="A12" s="21" t="str">
        <x:v>E4 Normalization/pruning</x:v>
      </x:c>
      <x:c r="B12" s="21" t="str">
        <x:v>Use elasticity rather than dense scanning</x:v>
      </x:c>
      <x:c r="C12" s="21" t="str">
        <x:v>One specified run per perturbation is sufficient</x:v>
      </x:c>
      <x:c r="D12" s="21" t="str">
        <x:v>One or two extra confirmations</x:v>
      </x:c>
      <x:c r="E12" s="21" t="str">
        <x:v>Large enumeration or rank unequal dollar changes directly</x:v>
      </x:c>
      <x:c r="F12" s="21" t="str">
        <x:v>5 continuous calls</x:v>
      </x:c>
      <x:c r="G12" s="21" t="n">
        <x:v>20</x:v>
      </x:c>
    </x:row>
    <x:row r="13" ht="72" customHeight="1">
      <x:c r="A13" s="21" t="str">
        <x:v>E5 Configuration/stopping</x:v>
      </x:c>
      <x:c r="B13" s="21" t="str">
        <x:v>Report PAT separately and stop</x:v>
      </x:c>
      <x:c r="C13" s="21" t="str">
        <x:v>Seventh call completes configuration and budget decision</x:v>
      </x:c>
      <x:c r="D13" s="21" t="str">
        <x:v>Minor repeated calls</x:v>
      </x:c>
      <x:c r="E13" s="21" t="str">
        <x:v>Omit PAT or continue low-information calls</x:v>
      </x:c>
      <x:c r="F13" s="21" t="str">
        <x:v>7 total calls</x:v>
      </x:c>
      <x:c r="G13" s="21" t="n">
        <x:v>20</x:v>
      </x:c>
    </x:row>
    <x:row r="15">
      <x:c r="F15" s="38" t="str">
        <x:v>Tool-efficiency total</x:v>
      </x:c>
      <x:c r="G15" s="38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