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9be87d1f8f46d0" /></Relationships>
</file>

<file path=xl/workbook.xml><?xml version="1.0" encoding="utf-8"?>
<x:workbook xmlns:x="http://schemas.openxmlformats.org/spreadsheetml/2006/main">
  <x:sheets>
    <x:sheet xmlns:r="http://schemas.openxmlformats.org/officeDocument/2006/relationships" name="Question_Q" sheetId="1" r:id="R206c088050b74103"/>
    <x:sheet xmlns:r="http://schemas.openxmlformats.org/officeDocument/2006/relationships" name="Gold_Answer_A" sheetId="2" r:id="Rf9c570ccec074898"/>
    <x:sheet xmlns:r="http://schemas.openxmlformats.org/officeDocument/2006/relationships" name="Trajectory_Rubric" sheetId="3" r:id="R76a1dc706874426a"/>
    <x:sheet xmlns:r="http://schemas.openxmlformats.org/officeDocument/2006/relationships" name="Tool_Efficiency" sheetId="4" r:id="Rcfc7677f95944dd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00000"/>
  </x:numFmts>
  <x:fonts count="7">
    <x:font>
      <x:sz val="11"/>
      <x:name val="Carlito"/>
    </x:font>
    <x:font>
      <x:b/>
      <x:sz val="16"/>
      <x:color rgb="FFFFFFFF"/>
      <x:name val="Carlito"/>
    </x:font>
    <x:font>
      <x:b/>
      <x:sz val="11"/>
      <x:color rgb="FF173A63"/>
      <x:name val="Carlito"/>
    </x:font>
    <x:font>
      <x:b/>
      <x:sz val="11"/>
      <x:color rgb="FFFFFFFF"/>
      <x:name val="Carlito"/>
    </x:font>
    <x:font>
      <x:sz val="11"/>
      <x:color rgb="FF172B4D"/>
      <x:name val="Carlito"/>
    </x:font>
    <x:font>
      <x:sz val="11"/>
      <x:color rgb="FF9C6500"/>
      <x:name val="Carlito"/>
    </x:font>
    <x:font>
      <x:b/>
      <x:sz val="11"/>
      <x:color rgb="FF375623"/>
      <x:name val="Carlito"/>
    </x:font>
  </x:fonts>
  <x:fills count="8">
    <x:fill>
      <x:patternFill patternType="none"/>
    </x:fill>
    <x:fill>
      <x:patternFill patternType="gray125"/>
    </x:fill>
    <x:fill>
      <x:patternFill patternType="solid">
        <x:fgColor rgb="FF173A63"/>
      </x:patternFill>
    </x:fill>
    <x:fill>
      <x:patternFill patternType="solid">
        <x:fgColor rgb="FFEAF2F8"/>
      </x:patternFill>
    </x:fill>
    <x:fill>
      <x:patternFill patternType="solid">
        <x:fgColor rgb="FFDDEBF7"/>
      </x:patternFill>
    </x:fill>
    <x:fill>
      <x:patternFill patternType="solid">
        <x:fgColor rgb="FF2E75B6"/>
      </x:patternFill>
    </x:fill>
    <x:fill>
      <x:patternFill patternType="solid">
        <x:fgColor rgb="FFFFF2CC"/>
      </x:patternFill>
    </x:fill>
    <x:fill>
      <x:patternFill patternType="solid">
        <x:fgColor rgb="FFE2F0D9"/>
      </x:patternFill>
    </x:fill>
  </x:fills>
  <x:borders count="2">
    <x:border/>
    <x:border>
      <x:left style="thin">
        <x:color rgb="FFC9D8E8"/>
      </x:left>
      <x:right style="thin">
        <x:color rgb="FFC9D8E8"/>
      </x:right>
      <x:top style="thin">
        <x:color rgb="FFC9D8E8"/>
      </x:top>
      <x:bottom style="thin">
        <x:color rgb="FFC9D8E8"/>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201" fontId="4" fillId="0" borderId="1" xfId="0" applyNumberFormat="1" applyFont="1" applyFill="1" applyBorder="1" applyAlignment="1">
      <x:alignment vertical="center" wrapText="1"/>
    </x:xf>
    <x:xf numFmtId="200" fontId="0" fillId="0" borderId="0" xfId="0" applyNumberFormat="1" applyFont="1" applyFill="1" applyBorder="1"/>
    <x:xf numFmtId="0" fontId="6" fillId="7" borderId="0"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7ccefc19e940cb" /><Relationship Type="http://schemas.openxmlformats.org/officeDocument/2006/relationships/theme" Target="/xl/theme/theme1.xml" Id="Rfa06ee1b47204a8c" /><Relationship Type="http://schemas.openxmlformats.org/officeDocument/2006/relationships/sharedStrings" Target="/xl/sharedStrings.xml" Id="Re46e9b15848d4a05" /><Relationship Type="http://schemas.openxmlformats.org/officeDocument/2006/relationships/worksheet" Target="/xl/worksheets/sheet1.xml" Id="R206c088050b74103" /><Relationship Type="http://schemas.openxmlformats.org/officeDocument/2006/relationships/worksheet" Target="/xl/worksheets/sheet2.xml" Id="Rf9c570ccec074898" /><Relationship Type="http://schemas.openxmlformats.org/officeDocument/2006/relationships/worksheet" Target="/xl/worksheets/sheet3.xml" Id="R76a1dc706874426a" /><Relationship Type="http://schemas.openxmlformats.org/officeDocument/2006/relationships/worksheet" Target="/xl/worksheets/sheet4.xml" Id="Rcfc7677f95944ddd"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4cff7a2b6640f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Option CAPEX (blue) vs reference (orange)</a:t>
            </a:r>
          </a:p>
        </c:rich>
      </c:tx>
      <c:overlay val="0"/>
    </c:title>
    <c:plotArea>
      <c:barChart>
        <c:barDir val="col"/>
        <c:varyColors val="0"/>
        <c:ser>
          <c:idx val="0"/>
          <c:order val="0"/>
          <c:tx>
            <c:v>Total CAPEX $m</c:v>
          </c:tx>
          <c:cat>
            <c:strRef>
              <c:f>'Gold_Answer_A'!$T$19:$T$23</c:f>
              <c:strCache>
                <c:ptCount val="0"/>
              </c:strCache>
            </c:strRef>
          </c:cat>
          <c:val>
            <c:numRef>
              <c:f>'Gold_Answer_A'!$U$19:$U$23</c:f>
              <c:numCache>
                <c:formatCode>General</c:formatCode>
                <c:ptCount val="0"/>
              </c:numCache>
            </c:numRef>
          </c:val>
        </c:ser>
        <c:ser>
          <c:idx val="1"/>
          <c:order val="1"/>
          <c:tx>
            <c:v>Reference</c:v>
          </c:tx>
          <c:cat>
            <c:strRef>
              <c:f>'Gold_Answer_A'!$T$19:$T$23</c:f>
              <c:strCache>
                <c:ptCount val="0"/>
              </c:strCache>
            </c:strRef>
          </c:cat>
          <c:val>
            <c:numRef>
              <c:f>'Gold_Answer_A'!$V$19:$V$23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4cff7a2b6640f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86ae10e9d43486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15" hidden="0" customWidth="1"/>
    <x:col min="4" max="4" width="32" hidden="0" customWidth="1"/>
    <x:col min="5" max="5" width="4" hidden="0" customWidth="1"/>
    <x:col min="6" max="6" width="25" hidden="0" customWidth="1"/>
    <x:col min="7" max="7" width="34" hidden="0" customWidth="1"/>
    <x:col min="8" max="8" width="39" hidden="0" customWidth="1"/>
  </x:cols>
  <x:sheetData>
    <x:row r="1" ht="26" customHeight="1">
      <x:c r="A1" s="4" t="str">
        <x:v>D4_4a N05: PX Efficiency Guarantee, Energy Gate and Vendor Premium Limit</x:v>
      </x:c>
      <x:c r="B1" s="4" t="str">
        <x:v>D4_4a N05: PX Efficiency Guarantee, Energy Gate and Vendor Premium Limit</x:v>
      </x:c>
      <x:c r="C1" s="4" t="str">
        <x:v>D4_4a N05: PX Efficiency Guarantee, Energy Gate and Vendor Premium Limit</x:v>
      </x:c>
      <x:c r="D1" s="4" t="str">
        <x:v>D4_4a N05: PX Efficiency Guarantee, Energy Gate and Vendor Premium Limit</x:v>
      </x:c>
      <x:c r="E1" s="4" t="str">
        <x:v>D4_4a N05: PX Efficiency Guarantee, Energy Gate and Vendor Premium Limit</x:v>
      </x:c>
      <x:c r="F1" s="4" t="str">
        <x:v>D4_4a N05: PX Efficiency Guarantee, Energy Gate and Vendor Premium Limit</x:v>
      </x:c>
      <x:c r="G1" s="4" t="str">
        <x:v>D4_4a N05: PX Efficiency Guarantee, Energy Gate and Vendor Premium Limit</x:v>
      </x:c>
      <x:c r="H1" s="4" t="str">
        <x:v>D4_4a N05: PX Efficiency Guarantee, Energy Gate and Vendor Premium Limit</x:v>
      </x:c>
    </x:row>
    <x:row r="2" ht="26" customHeight="1">
      <x:c r="A2" s="4" t="str">
        <x:v>D4_4a N05: PX Efficiency Guarantee, Energy Gate and Vendor Premium Limit</x:v>
      </x:c>
      <x:c r="B2" s="4" t="str">
        <x:v>D4_4a N05: PX Efficiency Guarantee, Energy Gate and Vendor Premium Limit</x:v>
      </x:c>
      <x:c r="C2" s="4" t="str">
        <x:v>D4_4a N05: PX Efficiency Guarantee, Energy Gate and Vendor Premium Limit</x:v>
      </x:c>
      <x:c r="D2" s="4" t="str">
        <x:v>D4_4a N05: PX Efficiency Guarantee, Energy Gate and Vendor Premium Limit</x:v>
      </x:c>
      <x:c r="E2" s="4" t="str">
        <x:v>D4_4a N05: PX Efficiency Guarantee, Energy Gate and Vendor Premium Limit</x:v>
      </x:c>
      <x:c r="F2" s="4" t="str">
        <x:v>D4_4a N05: PX Efficiency Guarantee, Energy Gate and Vendor Premium Limit</x:v>
      </x:c>
      <x:c r="G2" s="4" t="str">
        <x:v>D4_4a N05: PX Efficiency Guarantee, Energy Gate and Vendor Premium Limit</x:v>
      </x:c>
      <x:c r="H2" s="4" t="str">
        <x:v>D4_4a N05: PX Efficiency Guarantee, Energy Gate and Vendor Premium Limit</x:v>
      </x:c>
    </x:row>
    <x:row r="4" ht="25" customHeight="1">
      <x:c r="A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B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C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D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E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F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G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H4"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row>
    <x:row r="5" ht="25" customHeight="1">
      <x:c r="A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B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C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D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E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F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G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H5"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row>
    <x:row r="6" ht="25" customHeight="1">
      <x:c r="A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B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C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D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E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F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G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H6"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row>
    <x:row r="7" ht="25" customHeight="1">
      <x:c r="A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B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C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D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E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F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G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H7"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row>
    <x:row r="8" ht="25" customHeight="1">
      <x:c r="A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B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C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D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E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F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G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c r="H8" s="8" t="str">
        <x:v>An SWRO project has feed 0.400 m³/s, TDS 39 g/L, 25°C, area 18,000 m², P1=72 bar(a), ηP1=0.83 and ηP2=0.82. Candidate PX efficiencies are 0.88/0.90/0.92/0.94/0.96. The project requires base modeled CAPEX ≤USD 28.0 million (2018) and SEC ≤3.20 kWh/m³. A high-efficiency vendor guarantees 0.96 but charges an additional USD 300,000 above modeled CAPEX. Determine the minimum efficiency meeting both base constraints; calculate the maximum acceptable extra premium for the 0.96 option under both the USD 28.0 million budget and capital parity with the 0.90 option; decide on the USD 300,000 quote.</x:v>
      </x:c>
    </x:row>
    <x:row r="10">
      <x:c r="A10" s="11" t="str">
        <x:v>Design inputs and constraints</x:v>
      </x:c>
      <x:c r="B10" s="11" t="str">
        <x:v>Design inputs and constraints</x:v>
      </x:c>
      <x:c r="C10" s="11" t="str">
        <x:v>Design inputs and constraints</x:v>
      </x:c>
      <x:c r="D10" s="11" t="str">
        <x:v>Design inputs and constraints</x:v>
      </x:c>
      <x:c r="F10" s="11" t="str">
        <x:v>Specified cases/trajectory</x:v>
      </x:c>
      <x:c r="G10" s="11" t="str">
        <x:v>Specified cases/trajectory</x:v>
      </x:c>
      <x:c r="H10" s="11" t="str">
        <x:v>Specified cases/trajectory</x:v>
      </x:c>
    </x:row>
    <x:row r="11">
      <x:c r="A11" s="17" t="str">
        <x:v>Parameter</x:v>
      </x:c>
      <x:c r="B11" s="17" t="str">
        <x:v>Value</x:v>
      </x:c>
      <x:c r="C11" s="17" t="str">
        <x:v>Unit</x:v>
      </x:c>
      <x:c r="D11" s="17" t="str">
        <x:v>Note</x:v>
      </x:c>
      <x:c r="F11" s="17" t="str">
        <x:v>Option</x:v>
      </x:c>
      <x:c r="G11" s="17" t="str">
        <x:v>Case change</x:v>
      </x:c>
      <x:c r="H11" s="17" t="str">
        <x:v>Purpose</x:v>
      </x:c>
    </x:row>
    <x:row r="12" ht="38" customHeight="1">
      <x:c r="A12" s="21" t="str">
        <x:v>Feed</x:v>
      </x:c>
      <x:c r="B12" s="22" t="n">
        <x:v>0.4</x:v>
      </x:c>
      <x:c r="C12" s="21" t="str">
        <x:v>m³/s</x:v>
      </x:c>
      <x:c r="D12" s="21" t="str">
        <x:v>Fixed</x:v>
      </x:c>
      <x:c r="F12" s="21" t="str">
        <x:v>Efficiency ladder</x:v>
      </x:c>
      <x:c r="G12" s="21" t="str">
        <x:v>0.88/0.90/0.92/0.94/0.96</x:v>
      </x:c>
      <x:c r="H12" s="21" t="str">
        <x:v>Dual-criterion screen</x:v>
      </x:c>
    </x:row>
    <x:row r="13" ht="38" customHeight="1">
      <x:c r="A13" s="21" t="str">
        <x:v>TDS</x:v>
      </x:c>
      <x:c r="B13" s="22" t="n">
        <x:v>39</x:v>
      </x:c>
      <x:c r="C13" s="21" t="str">
        <x:v>g/L</x:v>
      </x:c>
      <x:c r="D13" s="21" t="str">
        <x:v>Fixed</x:v>
      </x:c>
      <x:c r="F13" s="21" t="str">
        <x:v>Budget premium</x:v>
      </x:c>
      <x:c r="G13" s="21" t="str">
        <x:v>$28.0m minus 0.96 modeled CAPEX</x:v>
      </x:c>
      <x:c r="H13" s="21" t="str">
        <x:v>Budget limit</x:v>
      </x:c>
    </x:row>
    <x:row r="14" ht="38" customHeight="1">
      <x:c r="A14" s="21" t="str">
        <x:v>Temperature</x:v>
      </x:c>
      <x:c r="B14" s="22" t="n">
        <x:v>25</x:v>
      </x:c>
      <x:c r="C14" s="21" t="str">
        <x:v>°C</x:v>
      </x:c>
      <x:c r="D14" s="21" t="str">
        <x:v>Fixed</x:v>
      </x:c>
      <x:c r="F14" s="21" t="str">
        <x:v>Capital parity</x:v>
      </x:c>
      <x:c r="G14" s="21" t="str">
        <x:v>0.90 CAPEX minus 0.96 CAPEX</x:v>
      </x:c>
      <x:c r="H14" s="21" t="str">
        <x:v>Competitive limit</x:v>
      </x:c>
    </x:row>
    <x:row r="15">
      <x:c r="A15" s="21" t="str">
        <x:v>Membrane area</x:v>
      </x:c>
      <x:c r="B15" s="22" t="n">
        <x:v>18000</x:v>
      </x:c>
      <x:c r="C15" s="21" t="str">
        <x:v>m²</x:v>
      </x:c>
      <x:c r="D15" s="21" t="str">
        <x:v>Fixed</x:v>
      </x:c>
    </x:row>
    <x:row r="16">
      <x:c r="A16" s="21" t="str">
        <x:v>P1 pressure</x:v>
      </x:c>
      <x:c r="B16" s="22" t="n">
        <x:v>72</x:v>
      </x:c>
      <x:c r="C16" s="21" t="str">
        <x:v>bar(a)</x:v>
      </x:c>
      <x:c r="D16" s="21" t="str">
        <x:v>Fixed</x:v>
      </x:c>
    </x:row>
    <x:row r="17">
      <x:c r="A17" s="21" t="str">
        <x:v>P1 efficiency</x:v>
      </x:c>
      <x:c r="B17" s="22" t="n">
        <x:v>0.83</x:v>
      </x:c>
      <x:c r="C17" s="21" t="str">
        <x:v>-</x:v>
      </x:c>
      <x:c r="D17" s="21" t="str">
        <x:v>Fixed</x:v>
      </x:c>
    </x:row>
    <x:row r="18">
      <x:c r="A18" s="21" t="str">
        <x:v>P2 efficiency</x:v>
      </x:c>
      <x:c r="B18" s="22" t="n">
        <x:v>0.82</x:v>
      </x:c>
      <x:c r="C18" s="21" t="str">
        <x:v>-</x:v>
      </x:c>
      <x:c r="D18" s="21" t="str">
        <x:v>Fixed</x:v>
      </x:c>
      <x:c r="F18" s="11" t="str">
        <x:v>Required deliverables</x:v>
      </x:c>
      <x:c r="G18" s="11" t="str">
        <x:v>Required deliverables</x:v>
      </x:c>
      <x:c r="H18" s="11" t="str">
        <x:v>Required deliverables</x:v>
      </x:c>
    </x:row>
    <x:row r="19" ht="37" customHeight="1">
      <x:c r="A19" s="21" t="str">
        <x:v>PX candidates</x:v>
      </x:c>
      <x:c r="B19" s="22" t="str">
        <x:v>0.88–0.96</x:v>
      </x:c>
      <x:c r="C19" s="21" t="str">
        <x:v>-</x:v>
      </x:c>
      <x:c r="D19" s="21" t="str">
        <x:v>Step 0.02</x:v>
      </x:c>
      <x:c r="F19" s="25" t="str">
        <x:v>1. Record every valid simulate_swro_system call.</x:v>
      </x:c>
      <x:c r="G19" s="25" t="str">
        <x:v>1. Record every valid simulate_swro_system call.</x:v>
      </x:c>
      <x:c r="H19" s="25" t="str">
        <x:v>1. Record every valid simulate_swro_system call.</x:v>
      </x:c>
    </x:row>
    <x:row r="20" ht="37" customHeight="1">
      <x:c r="A20" s="21" t="str">
        <x:v>CAPEX ceiling</x:v>
      </x:c>
      <x:c r="B20" s="22" t="n">
        <x:v>28000000</x:v>
      </x:c>
      <x:c r="C20" s="21" t="str">
        <x:v>USD_2018</x:v>
      </x:c>
      <x:c r="D20" s="21" t="str">
        <x:v>Criterion</x:v>
      </x:c>
      <x:c r="F20" s="25" t="str">
        <x:v>2. Calculate product scale, total CAPEX and capital intensity consistently.</x:v>
      </x:c>
      <x:c r="G20" s="25" t="str">
        <x:v>2. Calculate product scale, total CAPEX and capital intensity consistently.</x:v>
      </x:c>
      <x:c r="H20" s="25" t="str">
        <x:v>2. Calculate product scale, total CAPEX and capital intensity consistently.</x:v>
      </x:c>
    </x:row>
    <x:row r="21" ht="37" customHeight="1">
      <x:c r="A21" s="21" t="str">
        <x:v>SEC ceiling</x:v>
      </x:c>
      <x:c r="B21" s="22" t="n">
        <x:v>3.2</x:v>
      </x:c>
      <x:c r="C21" s="21" t="str">
        <x:v>kWh/m³</x:v>
      </x:c>
      <x:c r="D21" s="21" t="str">
        <x:v>Criterion</x:v>
      </x:c>
      <x:c r="F21" s="25" t="str">
        <x:v>3. Complete the specified increment, boundary or premium calculation.</x:v>
      </x:c>
      <x:c r="G21" s="25" t="str">
        <x:v>3. Complete the specified increment, boundary or premium calculation.</x:v>
      </x:c>
      <x:c r="H21" s="25" t="str">
        <x:v>3. Complete the specified increment, boundary or premium calculation.</x:v>
      </x:c>
    </x:row>
    <x:row r="22" ht="37" customHeight="1">
      <x:c r="A22" s="21" t="str">
        <x:v>High-efficiency premium</x:v>
      </x:c>
      <x:c r="B22" s="22" t="n">
        <x:v>300000</x:v>
      </x:c>
      <x:c r="C22" s="21" t="str">
        <x:v>USD</x:v>
      </x:c>
      <x:c r="D22" s="21" t="str">
        <x:v>External add-on</x:v>
      </x:c>
      <x:c r="F22" s="25" t="str">
        <x:v>4. Separate tool outputs, external procurement add-ons and approval adjustments.</x:v>
      </x:c>
      <x:c r="G22" s="25" t="str">
        <x:v>4. Separate tool outputs, external procurement add-ons and approval adjustments.</x:v>
      </x:c>
      <x:c r="H22" s="25" t="str">
        <x:v>4. Separate tool outputs, external procurement add-ons and approval adjustments.</x:v>
      </x:c>
    </x:row>
    <x:row r="23" ht="37" customHeight="1">
      <x:c r="A23" s="21" t="str">
        <x:v>Parity reference</x:v>
      </x:c>
      <x:c r="B23" s="22" t="n">
        <x:v>0.9</x:v>
      </x:c>
      <x:c r="C23" s="21" t="str">
        <x:v>-</x:v>
      </x:c>
      <x:c r="D23" s="21" t="str">
        <x:v>Standard vendor</x:v>
      </x:c>
      <x:c r="F23" s="25" t="str">
        <x:v>5. Give an actionable decision and model boundary.</x:v>
      </x:c>
      <x:c r="G23" s="25" t="str">
        <x:v>5. Give an actionable decision and model boundary.</x:v>
      </x:c>
      <x:c r="H23" s="25" t="str">
        <x:v>5. Give an actionable decision and model boundary.</x:v>
      </x:c>
    </x:row>
    <x:row r="26">
      <x:c r="A26" s="29" t="str">
        <x:v>Apply both criteria strictly; do not waive η=0.94 because it is close. The vendor premium is an external procurement add-on.</x:v>
      </x:c>
      <x:c r="B26" s="29" t="str">
        <x:v>Apply both criteria strictly; do not waive η=0.94 because it is close. The vendor premium is an external procurement add-on.</x:v>
      </x:c>
      <x:c r="C26" s="29" t="str">
        <x:v>Apply both criteria strictly; do not waive η=0.94 because it is close. The vendor premium is an external procurement add-on.</x:v>
      </x:c>
      <x:c r="D26" s="29" t="str">
        <x:v>Apply both criteria strictly; do not waive η=0.94 because it is close. The vendor premium is an external procurement add-on.</x:v>
      </x:c>
      <x:c r="E26" s="29" t="str">
        <x:v>Apply both criteria strictly; do not waive η=0.94 because it is close. The vendor premium is an external procurement add-on.</x:v>
      </x:c>
      <x:c r="F26" s="29" t="str">
        <x:v>Apply both criteria strictly; do not waive η=0.94 because it is close. The vendor premium is an external procurement add-on.</x:v>
      </x:c>
      <x:c r="G26" s="29" t="str">
        <x:v>Apply both criteria strictly; do not waive η=0.94 because it is close. The vendor premium is an external procurement add-on.</x:v>
      </x:c>
      <x:c r="H26" s="29" t="str">
        <x:v>Apply both criteria strictly; do not waive η=0.94 because it is close. The vendor premium is an external procurement add-on.</x:v>
      </x:c>
    </x:row>
    <x:row r="27">
      <x:c r="A27" s="29" t="str">
        <x:v>Apply both criteria strictly; do not waive η=0.94 because it is close. The vendor premium is an external procurement add-on.</x:v>
      </x:c>
      <x:c r="B27" s="29" t="str">
        <x:v>Apply both criteria strictly; do not waive η=0.94 because it is close. The vendor premium is an external procurement add-on.</x:v>
      </x:c>
      <x:c r="C27" s="29" t="str">
        <x:v>Apply both criteria strictly; do not waive η=0.94 because it is close. The vendor premium is an external procurement add-on.</x:v>
      </x:c>
      <x:c r="D27" s="29" t="str">
        <x:v>Apply both criteria strictly; do not waive η=0.94 because it is close. The vendor premium is an external procurement add-on.</x:v>
      </x:c>
      <x:c r="E27" s="29" t="str">
        <x:v>Apply both criteria strictly; do not waive η=0.94 because it is close. The vendor premium is an external procurement add-on.</x:v>
      </x:c>
      <x:c r="F27" s="29" t="str">
        <x:v>Apply both criteria strictly; do not waive η=0.94 because it is close. The vendor premium is an external procurement add-on.</x:v>
      </x:c>
      <x:c r="G27" s="29" t="str">
        <x:v>Apply both criteria strictly; do not waive η=0.94 because it is close. The vendor premium is an external procurement add-on.</x:v>
      </x:c>
      <x:c r="H27" s="29" t="str">
        <x:v>Apply both criteria strictly; do not waive η=0.94 because it is close. The vendor premium is an external procurement add-on.</x:v>
      </x:c>
    </x:row>
    <x:row r="28">
      <x:c r="A28" s="29" t="str">
        <x:v>Apply both criteria strictly; do not waive η=0.94 because it is close. The vendor premium is an external procurement add-on.</x:v>
      </x:c>
      <x:c r="B28" s="29" t="str">
        <x:v>Apply both criteria strictly; do not waive η=0.94 because it is close. The vendor premium is an external procurement add-on.</x:v>
      </x:c>
      <x:c r="C28" s="29" t="str">
        <x:v>Apply both criteria strictly; do not waive η=0.94 because it is close. The vendor premium is an external procurement add-on.</x:v>
      </x:c>
      <x:c r="D28" s="29" t="str">
        <x:v>Apply both criteria strictly; do not waive η=0.94 because it is close. The vendor premium is an external procurement add-on.</x:v>
      </x:c>
      <x:c r="E28" s="29" t="str">
        <x:v>Apply both criteria strictly; do not waive η=0.94 because it is close. The vendor premium is an external procurement add-on.</x:v>
      </x:c>
      <x:c r="F28" s="29" t="str">
        <x:v>Apply both criteria strictly; do not waive η=0.94 because it is close. The vendor premium is an external procurement add-on.</x:v>
      </x:c>
      <x:c r="G28" s="29" t="str">
        <x:v>Apply both criteria strictly; do not waive η=0.94 because it is close. The vendor premium is an external procurement add-on.</x:v>
      </x:c>
      <x:c r="H28" s="29" t="str">
        <x:v>Apply both criteria strictly; do not waive η=0.94 because it is close. The vendor premium is an external procurement add-on.</x:v>
      </x:c>
    </x:row>
    <x:row r="29">
      <x:c r="A29" s="29" t="str">
        <x:v>Apply both criteria strictly; do not waive η=0.94 because it is close. The vendor premium is an external procurement add-on.</x:v>
      </x:c>
      <x:c r="B29" s="29" t="str">
        <x:v>Apply both criteria strictly; do not waive η=0.94 because it is close. The vendor premium is an external procurement add-on.</x:v>
      </x:c>
      <x:c r="C29" s="29" t="str">
        <x:v>Apply both criteria strictly; do not waive η=0.94 because it is close. The vendor premium is an external procurement add-on.</x:v>
      </x:c>
      <x:c r="D29" s="29" t="str">
        <x:v>Apply both criteria strictly; do not waive η=0.94 because it is close. The vendor premium is an external procurement add-on.</x:v>
      </x:c>
      <x:c r="E29" s="29" t="str">
        <x:v>Apply both criteria strictly; do not waive η=0.94 because it is close. The vendor premium is an external procurement add-on.</x:v>
      </x:c>
      <x:c r="F29" s="29" t="str">
        <x:v>Apply both criteria strictly; do not waive η=0.94 because it is close. The vendor premium is an external procurement add-on.</x:v>
      </x:c>
      <x:c r="G29" s="29" t="str">
        <x:v>Apply both criteria strictly; do not waive η=0.94 because it is close. The vendor premium is an external procurement add-on.</x:v>
      </x:c>
      <x:c r="H29" s="29" t="str">
        <x:v>Apply both criteria strictly; do not waive η=0.94 because it is close. The vendor premium is an external procurement add-on.</x:v>
      </x:c>
    </x:row>
    <x:row r="30">
      <x:c r="A30" s="29" t="str">
        <x:v>Apply both criteria strictly; do not waive η=0.94 because it is close. The vendor premium is an external procurement add-on.</x:v>
      </x:c>
      <x:c r="B30" s="29" t="str">
        <x:v>Apply both criteria strictly; do not waive η=0.94 because it is close. The vendor premium is an external procurement add-on.</x:v>
      </x:c>
      <x:c r="C30" s="29" t="str">
        <x:v>Apply both criteria strictly; do not waive η=0.94 because it is close. The vendor premium is an external procurement add-on.</x:v>
      </x:c>
      <x:c r="D30" s="29" t="str">
        <x:v>Apply both criteria strictly; do not waive η=0.94 because it is close. The vendor premium is an external procurement add-on.</x:v>
      </x:c>
      <x:c r="E30" s="29" t="str">
        <x:v>Apply both criteria strictly; do not waive η=0.94 because it is close. The vendor premium is an external procurement add-on.</x:v>
      </x:c>
      <x:c r="F30" s="29" t="str">
        <x:v>Apply both criteria strictly; do not waive η=0.94 because it is close. The vendor premium is an external procurement add-on.</x:v>
      </x:c>
      <x:c r="G30" s="29" t="str">
        <x:v>Apply both criteria strictly; do not waive η=0.94 because it is close. The vendor premium is an external procurement add-on.</x:v>
      </x:c>
      <x:c r="H30" s="29" t="str">
        <x:v>Apply both criteria strictly; do not waive η=0.94 because it is close. The vendor premium is an external procurement add-on.</x:v>
      </x:c>
    </x:row>
  </x:sheetData>
  <x:mergeCells>
    <x:mergeCell ref="A1:H2"/>
    <x:mergeCell ref="A4:H8"/>
    <x:mergeCell ref="A10:D10"/>
    <x:mergeCell ref="F10:H10"/>
    <x:mergeCell ref="F18:H18"/>
    <x:mergeCell ref="F19:H19"/>
    <x:mergeCell ref="F20:H20"/>
    <x:mergeCell ref="F21:H21"/>
    <x:mergeCell ref="F22:H22"/>
    <x:mergeCell ref="F23:H23"/>
    <x:mergeCell ref="A26: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3" hidden="0" customWidth="1"/>
    <x:col min="3" max="3" width="19" hidden="0" customWidth="1"/>
    <x:col min="4" max="4" width="18" hidden="0" customWidth="1"/>
    <x:col min="5" max="5" width="14" hidden="0" customWidth="1"/>
    <x:col min="6" max="6" width="16" hidden="0" customWidth="1"/>
    <x:col min="7" max="7" width="13" hidden="0" customWidth="1"/>
    <x:col min="8" max="8" width="17" hidden="0" customWidth="1"/>
    <x:col min="9" max="9" width="11" hidden="0" customWidth="1"/>
    <x:col min="10" max="10" width="17" hidden="0" customWidth="1"/>
    <x:col min="11" max="11" width="16" hidden="0" customWidth="1"/>
    <x:col min="12" max="12" width="17" hidden="0" customWidth="1"/>
    <x:col min="13" max="13" width="13" hidden="0" customWidth="1"/>
    <x:col min="14" max="14" width="13" hidden="0" customWidth="1"/>
    <x:col min="15" max="15" width="14" hidden="0" customWidth="1"/>
    <x:col min="16" max="16" width="14" hidden="0" customWidth="1"/>
    <x:col min="17" max="17" width="18" hidden="0" customWidth="1"/>
    <x:col min="18" max="18" width="30" hidden="0" customWidth="1"/>
    <x:col min="19" max="19" width="3" hidden="0" customWidth="1"/>
    <x:col min="20" max="20" width="23" hidden="0" customWidth="1"/>
    <x:col min="21" max="21" width="16" hidden="0" customWidth="1"/>
    <x:col min="22" max="22" width="16" hidden="0" customWidth="1"/>
  </x:cols>
  <x:sheetData>
    <x:row r="1" ht="26" customHeight="1">
      <x:c r="A1" s="4" t="str">
        <x:v>D4_4a N05: Stepwise Gold Answer — PX Efficiency Guarantee, Energy Gate and Vendor Premium Limit</x:v>
      </x:c>
      <x:c r="B1" s="4" t="str">
        <x:v>D4_4a N05: Stepwise Gold Answer — PX Efficiency Guarantee, Energy Gate and Vendor Premium Limit</x:v>
      </x:c>
      <x:c r="C1" s="4" t="str">
        <x:v>D4_4a N05: Stepwise Gold Answer — PX Efficiency Guarantee, Energy Gate and Vendor Premium Limit</x:v>
      </x:c>
      <x:c r="D1" s="4" t="str">
        <x:v>D4_4a N05: Stepwise Gold Answer — PX Efficiency Guarantee, Energy Gate and Vendor Premium Limit</x:v>
      </x:c>
      <x:c r="E1" s="4" t="str">
        <x:v>D4_4a N05: Stepwise Gold Answer — PX Efficiency Guarantee, Energy Gate and Vendor Premium Limit</x:v>
      </x:c>
      <x:c r="F1" s="4" t="str">
        <x:v>D4_4a N05: Stepwise Gold Answer — PX Efficiency Guarantee, Energy Gate and Vendor Premium Limit</x:v>
      </x:c>
      <x:c r="G1" s="4" t="str">
        <x:v>D4_4a N05: Stepwise Gold Answer — PX Efficiency Guarantee, Energy Gate and Vendor Premium Limit</x:v>
      </x:c>
      <x:c r="H1" s="4" t="str">
        <x:v>D4_4a N05: Stepwise Gold Answer — PX Efficiency Guarantee, Energy Gate and Vendor Premium Limit</x:v>
      </x:c>
      <x:c r="I1" s="4" t="str">
        <x:v>D4_4a N05: Stepwise Gold Answer — PX Efficiency Guarantee, Energy Gate and Vendor Premium Limit</x:v>
      </x:c>
      <x:c r="J1" s="4" t="str">
        <x:v>D4_4a N05: Stepwise Gold Answer — PX Efficiency Guarantee, Energy Gate and Vendor Premium Limit</x:v>
      </x:c>
      <x:c r="K1" s="4" t="str">
        <x:v>D4_4a N05: Stepwise Gold Answer — PX Efficiency Guarantee, Energy Gate and Vendor Premium Limit</x:v>
      </x:c>
      <x:c r="L1" s="4" t="str">
        <x:v>D4_4a N05: Stepwise Gold Answer — PX Efficiency Guarantee, Energy Gate and Vendor Premium Limit</x:v>
      </x:c>
      <x:c r="M1" s="4" t="str">
        <x:v>D4_4a N05: Stepwise Gold Answer — PX Efficiency Guarantee, Energy Gate and Vendor Premium Limit</x:v>
      </x:c>
      <x:c r="N1" s="4" t="str">
        <x:v>D4_4a N05: Stepwise Gold Answer — PX Efficiency Guarantee, Energy Gate and Vendor Premium Limit</x:v>
      </x:c>
      <x:c r="O1" s="4" t="str">
        <x:v>D4_4a N05: Stepwise Gold Answer — PX Efficiency Guarantee, Energy Gate and Vendor Premium Limit</x:v>
      </x:c>
      <x:c r="P1" s="4" t="str">
        <x:v>D4_4a N05: Stepwise Gold Answer — PX Efficiency Guarantee, Energy Gate and Vendor Premium Limit</x:v>
      </x:c>
      <x:c r="Q1" s="4" t="str">
        <x:v>D4_4a N05: Stepwise Gold Answer — PX Efficiency Guarantee, Energy Gate and Vendor Premium Limit</x:v>
      </x:c>
      <x:c r="R1" s="4" t="str">
        <x:v>D4_4a N05: Stepwise Gold Answer — PX Efficiency Guarantee, Energy Gate and Vendor Premium Limit</x:v>
      </x:c>
      <x:c r="S1" s="4" t="str">
        <x:v>D4_4a N05: Stepwise Gold Answer — PX Efficiency Guarantee, Energy Gate and Vendor Premium Limit</x:v>
      </x:c>
      <x:c r="T1" s="4" t="str">
        <x:v>D4_4a N05: Stepwise Gold Answer — PX Efficiency Guarantee, Energy Gate and Vendor Premium Limit</x:v>
      </x:c>
      <x:c r="U1" s="4" t="str">
        <x:v>D4_4a N05: Stepwise Gold Answer — PX Efficiency Guarantee, Energy Gate and Vendor Premium Limit</x:v>
      </x:c>
      <x:c r="V1" s="4" t="str">
        <x:v>D4_4a N05: Stepwise Gold Answer — PX Efficiency Guarantee, Energy Gate and Vendor Premium Limit</x:v>
      </x:c>
    </x:row>
    <x:row r="2" ht="26" customHeight="1">
      <x:c r="A2" s="4" t="str">
        <x:v>D4_4a N05: Stepwise Gold Answer — PX Efficiency Guarantee, Energy Gate and Vendor Premium Limit</x:v>
      </x:c>
      <x:c r="B2" s="4" t="str">
        <x:v>D4_4a N05: Stepwise Gold Answer — PX Efficiency Guarantee, Energy Gate and Vendor Premium Limit</x:v>
      </x:c>
      <x:c r="C2" s="4" t="str">
        <x:v>D4_4a N05: Stepwise Gold Answer — PX Efficiency Guarantee, Energy Gate and Vendor Premium Limit</x:v>
      </x:c>
      <x:c r="D2" s="4" t="str">
        <x:v>D4_4a N05: Stepwise Gold Answer — PX Efficiency Guarantee, Energy Gate and Vendor Premium Limit</x:v>
      </x:c>
      <x:c r="E2" s="4" t="str">
        <x:v>D4_4a N05: Stepwise Gold Answer — PX Efficiency Guarantee, Energy Gate and Vendor Premium Limit</x:v>
      </x:c>
      <x:c r="F2" s="4" t="str">
        <x:v>D4_4a N05: Stepwise Gold Answer — PX Efficiency Guarantee, Energy Gate and Vendor Premium Limit</x:v>
      </x:c>
      <x:c r="G2" s="4" t="str">
        <x:v>D4_4a N05: Stepwise Gold Answer — PX Efficiency Guarantee, Energy Gate and Vendor Premium Limit</x:v>
      </x:c>
      <x:c r="H2" s="4" t="str">
        <x:v>D4_4a N05: Stepwise Gold Answer — PX Efficiency Guarantee, Energy Gate and Vendor Premium Limit</x:v>
      </x:c>
      <x:c r="I2" s="4" t="str">
        <x:v>D4_4a N05: Stepwise Gold Answer — PX Efficiency Guarantee, Energy Gate and Vendor Premium Limit</x:v>
      </x:c>
      <x:c r="J2" s="4" t="str">
        <x:v>D4_4a N05: Stepwise Gold Answer — PX Efficiency Guarantee, Energy Gate and Vendor Premium Limit</x:v>
      </x:c>
      <x:c r="K2" s="4" t="str">
        <x:v>D4_4a N05: Stepwise Gold Answer — PX Efficiency Guarantee, Energy Gate and Vendor Premium Limit</x:v>
      </x:c>
      <x:c r="L2" s="4" t="str">
        <x:v>D4_4a N05: Stepwise Gold Answer — PX Efficiency Guarantee, Energy Gate and Vendor Premium Limit</x:v>
      </x:c>
      <x:c r="M2" s="4" t="str">
        <x:v>D4_4a N05: Stepwise Gold Answer — PX Efficiency Guarantee, Energy Gate and Vendor Premium Limit</x:v>
      </x:c>
      <x:c r="N2" s="4" t="str">
        <x:v>D4_4a N05: Stepwise Gold Answer — PX Efficiency Guarantee, Energy Gate and Vendor Premium Limit</x:v>
      </x:c>
      <x:c r="O2" s="4" t="str">
        <x:v>D4_4a N05: Stepwise Gold Answer — PX Efficiency Guarantee, Energy Gate and Vendor Premium Limit</x:v>
      </x:c>
      <x:c r="P2" s="4" t="str">
        <x:v>D4_4a N05: Stepwise Gold Answer — PX Efficiency Guarantee, Energy Gate and Vendor Premium Limit</x:v>
      </x:c>
      <x:c r="Q2" s="4" t="str">
        <x:v>D4_4a N05: Stepwise Gold Answer — PX Efficiency Guarantee, Energy Gate and Vendor Premium Limit</x:v>
      </x:c>
      <x:c r="R2" s="4" t="str">
        <x:v>D4_4a N05: Stepwise Gold Answer — PX Efficiency Guarantee, Energy Gate and Vendor Premium Limit</x:v>
      </x:c>
      <x:c r="S2" s="4" t="str">
        <x:v>D4_4a N05: Stepwise Gold Answer — PX Efficiency Guarantee, Energy Gate and Vendor Premium Limit</x:v>
      </x:c>
      <x:c r="T2" s="4" t="str">
        <x:v>D4_4a N05: Stepwise Gold Answer — PX Efficiency Guarantee, Energy Gate and Vendor Premium Limit</x:v>
      </x:c>
      <x:c r="U2" s="4" t="str">
        <x:v>D4_4a N05: Stepwise Gold Answer — PX Efficiency Guarantee, Energy Gate and Vendor Premium Limit</x:v>
      </x:c>
      <x:c r="V2" s="4" t="str">
        <x:v>D4_4a N05: Stepwise Gold Answer — PX Efficiency Guarantee, Energy Gate and Vendor Premium Limit</x:v>
      </x:c>
    </x:row>
    <x:row r="4">
      <x:c r="A4" s="33" t="str">
        <x:v>The actual trajectory contains 5 valid simulate_swro_system calls. Gold Answer retains tool-reported CAPEX, product, SEC and LCOW, while train multipliers, procurement premiums or approval adjustments are calculated transparently in separate formulas.</x:v>
      </x:c>
      <x:c r="B4" s="33" t="str">
        <x:v>The actual trajectory contains 5 valid simulate_swro_system calls. Gold Answer retains tool-reported CAPEX, product, SEC and LCOW, while train multipliers, procurement premiums or approval adjustments are calculated transparently in separate formulas.</x:v>
      </x:c>
      <x:c r="C4" s="33" t="str">
        <x:v>The actual trajectory contains 5 valid simulate_swro_system calls. Gold Answer retains tool-reported CAPEX, product, SEC and LCOW, while train multipliers, procurement premiums or approval adjustments are calculated transparently in separate formulas.</x:v>
      </x:c>
      <x:c r="D4" s="33" t="str">
        <x:v>The actual trajectory contains 5 valid simulate_swro_system calls. Gold Answer retains tool-reported CAPEX, product, SEC and LCOW, while train multipliers, procurement premiums or approval adjustments are calculated transparently in separate formulas.</x:v>
      </x:c>
      <x:c r="E4" s="33" t="str">
        <x:v>The actual trajectory contains 5 valid simulate_swro_system calls. Gold Answer retains tool-reported CAPEX, product, SEC and LCOW, while train multipliers, procurement premiums or approval adjustments are calculated transparently in separate formulas.</x:v>
      </x:c>
      <x:c r="F4" s="33" t="str">
        <x:v>The actual trajectory contains 5 valid simulate_swro_system calls. Gold Answer retains tool-reported CAPEX, product, SEC and LCOW, while train multipliers, procurement premiums or approval adjustments are calculated transparently in separate formulas.</x:v>
      </x:c>
      <x:c r="G4" s="33" t="str">
        <x:v>The actual trajectory contains 5 valid simulate_swro_system calls. Gold Answer retains tool-reported CAPEX, product, SEC and LCOW, while train multipliers, procurement premiums or approval adjustments are calculated transparently in separate formulas.</x:v>
      </x:c>
      <x:c r="H4" s="33" t="str">
        <x:v>The actual trajectory contains 5 valid simulate_swro_system calls. Gold Answer retains tool-reported CAPEX, product, SEC and LCOW, while train multipliers, procurement premiums or approval adjustments are calculated transparently in separate formulas.</x:v>
      </x:c>
      <x:c r="I4" s="33" t="str">
        <x:v>The actual trajectory contains 5 valid simulate_swro_system calls. Gold Answer retains tool-reported CAPEX, product, SEC and LCOW, while train multipliers, procurement premiums or approval adjustments are calculated transparently in separate formulas.</x:v>
      </x:c>
      <x:c r="J4" s="33" t="str">
        <x:v>The actual trajectory contains 5 valid simulate_swro_system calls. Gold Answer retains tool-reported CAPEX, product, SEC and LCOW, while train multipliers, procurement premiums or approval adjustments are calculated transparently in separate formulas.</x:v>
      </x:c>
      <x:c r="K4" s="33" t="str">
        <x:v>The actual trajectory contains 5 valid simulate_swro_system calls. Gold Answer retains tool-reported CAPEX, product, SEC and LCOW, while train multipliers, procurement premiums or approval adjustments are calculated transparently in separate formulas.</x:v>
      </x:c>
      <x:c r="L4" s="33" t="str">
        <x:v>The actual trajectory contains 5 valid simulate_swro_system calls. Gold Answer retains tool-reported CAPEX, product, SEC and LCOW, while train multipliers, procurement premiums or approval adjustments are calculated transparently in separate formulas.</x:v>
      </x:c>
      <x:c r="M4" s="33" t="str">
        <x:v>The actual trajectory contains 5 valid simulate_swro_system calls. Gold Answer retains tool-reported CAPEX, product, SEC and LCOW, while train multipliers, procurement premiums or approval adjustments are calculated transparently in separate formulas.</x:v>
      </x:c>
      <x:c r="N4" s="33" t="str">
        <x:v>The actual trajectory contains 5 valid simulate_swro_system calls. Gold Answer retains tool-reported CAPEX, product, SEC and LCOW, while train multipliers, procurement premiums or approval adjustments are calculated transparently in separate formulas.</x:v>
      </x:c>
      <x:c r="O4" s="33" t="str">
        <x:v>The actual trajectory contains 5 valid simulate_swro_system calls. Gold Answer retains tool-reported CAPEX, product, SEC and LCOW, while train multipliers, procurement premiums or approval adjustments are calculated transparently in separate formulas.</x:v>
      </x:c>
      <x:c r="P4" s="33" t="str">
        <x:v>The actual trajectory contains 5 valid simulate_swro_system calls. Gold Answer retains tool-reported CAPEX, product, SEC and LCOW, while train multipliers, procurement premiums or approval adjustments are calculated transparently in separate formulas.</x:v>
      </x:c>
      <x:c r="Q4" s="33" t="str">
        <x:v>The actual trajectory contains 5 valid simulate_swro_system calls. Gold Answer retains tool-reported CAPEX, product, SEC and LCOW, while train multipliers, procurement premiums or approval adjustments are calculated transparently in separate formulas.</x:v>
      </x:c>
      <x:c r="R4" s="33" t="str">
        <x:v>The actual trajectory contains 5 valid simulate_swro_system calls. Gold Answer retains tool-reported CAPEX, product, SEC and LCOW, while train multipliers, procurement premiums or approval adjustments are calculated transparently in separate formulas.</x:v>
      </x:c>
      <x:c r="S4" s="33" t="str">
        <x:v>The actual trajectory contains 5 valid simulate_swro_system calls. Gold Answer retains tool-reported CAPEX, product, SEC and LCOW, while train multipliers, procurement premiums or approval adjustments are calculated transparently in separate formulas.</x:v>
      </x:c>
      <x:c r="T4" s="33" t="str">
        <x:v>The actual trajectory contains 5 valid simulate_swro_system calls. Gold Answer retains tool-reported CAPEX, product, SEC and LCOW, while train multipliers, procurement premiums or approval adjustments are calculated transparently in separate formulas.</x:v>
      </x:c>
      <x:c r="U4" s="33" t="str">
        <x:v>The actual trajectory contains 5 valid simulate_swro_system calls. Gold Answer retains tool-reported CAPEX, product, SEC and LCOW, while train multipliers, procurement premiums or approval adjustments are calculated transparently in separate formulas.</x:v>
      </x:c>
      <x:c r="V4" s="33" t="str">
        <x:v>The actual trajectory contains 5 valid simulate_swro_system calls. Gold Answer retains tool-reported CAPEX, product, SEC and LCOW, while train multipliers, procurement premiums or approval adjustments are calculated transparently in separate formulas.</x:v>
      </x:c>
    </x:row>
    <x:row r="5">
      <x:c r="A5" s="33" t="str">
        <x:v>The actual trajectory contains 5 valid simulate_swro_system calls. Gold Answer retains tool-reported CAPEX, product, SEC and LCOW, while train multipliers, procurement premiums or approval adjustments are calculated transparently in separate formulas.</x:v>
      </x:c>
      <x:c r="B5" s="33" t="str">
        <x:v>The actual trajectory contains 5 valid simulate_swro_system calls. Gold Answer retains tool-reported CAPEX, product, SEC and LCOW, while train multipliers, procurement premiums or approval adjustments are calculated transparently in separate formulas.</x:v>
      </x:c>
      <x:c r="C5" s="33" t="str">
        <x:v>The actual trajectory contains 5 valid simulate_swro_system calls. Gold Answer retains tool-reported CAPEX, product, SEC and LCOW, while train multipliers, procurement premiums or approval adjustments are calculated transparently in separate formulas.</x:v>
      </x:c>
      <x:c r="D5" s="33" t="str">
        <x:v>The actual trajectory contains 5 valid simulate_swro_system calls. Gold Answer retains tool-reported CAPEX, product, SEC and LCOW, while train multipliers, procurement premiums or approval adjustments are calculated transparently in separate formulas.</x:v>
      </x:c>
      <x:c r="E5" s="33" t="str">
        <x:v>The actual trajectory contains 5 valid simulate_swro_system calls. Gold Answer retains tool-reported CAPEX, product, SEC and LCOW, while train multipliers, procurement premiums or approval adjustments are calculated transparently in separate formulas.</x:v>
      </x:c>
      <x:c r="F5" s="33" t="str">
        <x:v>The actual trajectory contains 5 valid simulate_swro_system calls. Gold Answer retains tool-reported CAPEX, product, SEC and LCOW, while train multipliers, procurement premiums or approval adjustments are calculated transparently in separate formulas.</x:v>
      </x:c>
      <x:c r="G5" s="33" t="str">
        <x:v>The actual trajectory contains 5 valid simulate_swro_system calls. Gold Answer retains tool-reported CAPEX, product, SEC and LCOW, while train multipliers, procurement premiums or approval adjustments are calculated transparently in separate formulas.</x:v>
      </x:c>
      <x:c r="H5" s="33" t="str">
        <x:v>The actual trajectory contains 5 valid simulate_swro_system calls. Gold Answer retains tool-reported CAPEX, product, SEC and LCOW, while train multipliers, procurement premiums or approval adjustments are calculated transparently in separate formulas.</x:v>
      </x:c>
      <x:c r="I5" s="33" t="str">
        <x:v>The actual trajectory contains 5 valid simulate_swro_system calls. Gold Answer retains tool-reported CAPEX, product, SEC and LCOW, while train multipliers, procurement premiums or approval adjustments are calculated transparently in separate formulas.</x:v>
      </x:c>
      <x:c r="J5" s="33" t="str">
        <x:v>The actual trajectory contains 5 valid simulate_swro_system calls. Gold Answer retains tool-reported CAPEX, product, SEC and LCOW, while train multipliers, procurement premiums or approval adjustments are calculated transparently in separate formulas.</x:v>
      </x:c>
      <x:c r="K5" s="33" t="str">
        <x:v>The actual trajectory contains 5 valid simulate_swro_system calls. Gold Answer retains tool-reported CAPEX, product, SEC and LCOW, while train multipliers, procurement premiums or approval adjustments are calculated transparently in separate formulas.</x:v>
      </x:c>
      <x:c r="L5" s="33" t="str">
        <x:v>The actual trajectory contains 5 valid simulate_swro_system calls. Gold Answer retains tool-reported CAPEX, product, SEC and LCOW, while train multipliers, procurement premiums or approval adjustments are calculated transparently in separate formulas.</x:v>
      </x:c>
      <x:c r="M5" s="33" t="str">
        <x:v>The actual trajectory contains 5 valid simulate_swro_system calls. Gold Answer retains tool-reported CAPEX, product, SEC and LCOW, while train multipliers, procurement premiums or approval adjustments are calculated transparently in separate formulas.</x:v>
      </x:c>
      <x:c r="N5" s="33" t="str">
        <x:v>The actual trajectory contains 5 valid simulate_swro_system calls. Gold Answer retains tool-reported CAPEX, product, SEC and LCOW, while train multipliers, procurement premiums or approval adjustments are calculated transparently in separate formulas.</x:v>
      </x:c>
      <x:c r="O5" s="33" t="str">
        <x:v>The actual trajectory contains 5 valid simulate_swro_system calls. Gold Answer retains tool-reported CAPEX, product, SEC and LCOW, while train multipliers, procurement premiums or approval adjustments are calculated transparently in separate formulas.</x:v>
      </x:c>
      <x:c r="P5" s="33" t="str">
        <x:v>The actual trajectory contains 5 valid simulate_swro_system calls. Gold Answer retains tool-reported CAPEX, product, SEC and LCOW, while train multipliers, procurement premiums or approval adjustments are calculated transparently in separate formulas.</x:v>
      </x:c>
      <x:c r="Q5" s="33" t="str">
        <x:v>The actual trajectory contains 5 valid simulate_swro_system calls. Gold Answer retains tool-reported CAPEX, product, SEC and LCOW, while train multipliers, procurement premiums or approval adjustments are calculated transparently in separate formulas.</x:v>
      </x:c>
      <x:c r="R5" s="33" t="str">
        <x:v>The actual trajectory contains 5 valid simulate_swro_system calls. Gold Answer retains tool-reported CAPEX, product, SEC and LCOW, while train multipliers, procurement premiums or approval adjustments are calculated transparently in separate formulas.</x:v>
      </x:c>
      <x:c r="S5" s="33" t="str">
        <x:v>The actual trajectory contains 5 valid simulate_swro_system calls. Gold Answer retains tool-reported CAPEX, product, SEC and LCOW, while train multipliers, procurement premiums or approval adjustments are calculated transparently in separate formulas.</x:v>
      </x:c>
      <x:c r="T5" s="33" t="str">
        <x:v>The actual trajectory contains 5 valid simulate_swro_system calls. Gold Answer retains tool-reported CAPEX, product, SEC and LCOW, while train multipliers, procurement premiums or approval adjustments are calculated transparently in separate formulas.</x:v>
      </x:c>
      <x:c r="U5" s="33" t="str">
        <x:v>The actual trajectory contains 5 valid simulate_swro_system calls. Gold Answer retains tool-reported CAPEX, product, SEC and LCOW, while train multipliers, procurement premiums or approval adjustments are calculated transparently in separate formulas.</x:v>
      </x:c>
      <x:c r="V5" s="33" t="str">
        <x:v>The actual trajectory contains 5 valid simulate_swro_system calls. Gold Answer retains tool-reported CAPEX, product, SEC and LCOW, while train multipliers, procurement premiums or approval adjustments are calculated transparently in separate formulas.</x:v>
      </x:c>
    </x:row>
    <x:row r="6">
      <x:c r="A6" s="33" t="str">
        <x:v>The actual trajectory contains 5 valid simulate_swro_system calls. Gold Answer retains tool-reported CAPEX, product, SEC and LCOW, while train multipliers, procurement premiums or approval adjustments are calculated transparently in separate formulas.</x:v>
      </x:c>
      <x:c r="B6" s="33" t="str">
        <x:v>The actual trajectory contains 5 valid simulate_swro_system calls. Gold Answer retains tool-reported CAPEX, product, SEC and LCOW, while train multipliers, procurement premiums or approval adjustments are calculated transparently in separate formulas.</x:v>
      </x:c>
      <x:c r="C6" s="33" t="str">
        <x:v>The actual trajectory contains 5 valid simulate_swro_system calls. Gold Answer retains tool-reported CAPEX, product, SEC and LCOW, while train multipliers, procurement premiums or approval adjustments are calculated transparently in separate formulas.</x:v>
      </x:c>
      <x:c r="D6" s="33" t="str">
        <x:v>The actual trajectory contains 5 valid simulate_swro_system calls. Gold Answer retains tool-reported CAPEX, product, SEC and LCOW, while train multipliers, procurement premiums or approval adjustments are calculated transparently in separate formulas.</x:v>
      </x:c>
      <x:c r="E6" s="33" t="str">
        <x:v>The actual trajectory contains 5 valid simulate_swro_system calls. Gold Answer retains tool-reported CAPEX, product, SEC and LCOW, while train multipliers, procurement premiums or approval adjustments are calculated transparently in separate formulas.</x:v>
      </x:c>
      <x:c r="F6" s="33" t="str">
        <x:v>The actual trajectory contains 5 valid simulate_swro_system calls. Gold Answer retains tool-reported CAPEX, product, SEC and LCOW, while train multipliers, procurement premiums or approval adjustments are calculated transparently in separate formulas.</x:v>
      </x:c>
      <x:c r="G6" s="33" t="str">
        <x:v>The actual trajectory contains 5 valid simulate_swro_system calls. Gold Answer retains tool-reported CAPEX, product, SEC and LCOW, while train multipliers, procurement premiums or approval adjustments are calculated transparently in separate formulas.</x:v>
      </x:c>
      <x:c r="H6" s="33" t="str">
        <x:v>The actual trajectory contains 5 valid simulate_swro_system calls. Gold Answer retains tool-reported CAPEX, product, SEC and LCOW, while train multipliers, procurement premiums or approval adjustments are calculated transparently in separate formulas.</x:v>
      </x:c>
      <x:c r="I6" s="33" t="str">
        <x:v>The actual trajectory contains 5 valid simulate_swro_system calls. Gold Answer retains tool-reported CAPEX, product, SEC and LCOW, while train multipliers, procurement premiums or approval adjustments are calculated transparently in separate formulas.</x:v>
      </x:c>
      <x:c r="J6" s="33" t="str">
        <x:v>The actual trajectory contains 5 valid simulate_swro_system calls. Gold Answer retains tool-reported CAPEX, product, SEC and LCOW, while train multipliers, procurement premiums or approval adjustments are calculated transparently in separate formulas.</x:v>
      </x:c>
      <x:c r="K6" s="33" t="str">
        <x:v>The actual trajectory contains 5 valid simulate_swro_system calls. Gold Answer retains tool-reported CAPEX, product, SEC and LCOW, while train multipliers, procurement premiums or approval adjustments are calculated transparently in separate formulas.</x:v>
      </x:c>
      <x:c r="L6" s="33" t="str">
        <x:v>The actual trajectory contains 5 valid simulate_swro_system calls. Gold Answer retains tool-reported CAPEX, product, SEC and LCOW, while train multipliers, procurement premiums or approval adjustments are calculated transparently in separate formulas.</x:v>
      </x:c>
      <x:c r="M6" s="33" t="str">
        <x:v>The actual trajectory contains 5 valid simulate_swro_system calls. Gold Answer retains tool-reported CAPEX, product, SEC and LCOW, while train multipliers, procurement premiums or approval adjustments are calculated transparently in separate formulas.</x:v>
      </x:c>
      <x:c r="N6" s="33" t="str">
        <x:v>The actual trajectory contains 5 valid simulate_swro_system calls. Gold Answer retains tool-reported CAPEX, product, SEC and LCOW, while train multipliers, procurement premiums or approval adjustments are calculated transparently in separate formulas.</x:v>
      </x:c>
      <x:c r="O6" s="33" t="str">
        <x:v>The actual trajectory contains 5 valid simulate_swro_system calls. Gold Answer retains tool-reported CAPEX, product, SEC and LCOW, while train multipliers, procurement premiums or approval adjustments are calculated transparently in separate formulas.</x:v>
      </x:c>
      <x:c r="P6" s="33" t="str">
        <x:v>The actual trajectory contains 5 valid simulate_swro_system calls. Gold Answer retains tool-reported CAPEX, product, SEC and LCOW, while train multipliers, procurement premiums or approval adjustments are calculated transparently in separate formulas.</x:v>
      </x:c>
      <x:c r="Q6" s="33" t="str">
        <x:v>The actual trajectory contains 5 valid simulate_swro_system calls. Gold Answer retains tool-reported CAPEX, product, SEC and LCOW, while train multipliers, procurement premiums or approval adjustments are calculated transparently in separate formulas.</x:v>
      </x:c>
      <x:c r="R6" s="33" t="str">
        <x:v>The actual trajectory contains 5 valid simulate_swro_system calls. Gold Answer retains tool-reported CAPEX, product, SEC and LCOW, while train multipliers, procurement premiums or approval adjustments are calculated transparently in separate formulas.</x:v>
      </x:c>
      <x:c r="S6" s="33" t="str">
        <x:v>The actual trajectory contains 5 valid simulate_swro_system calls. Gold Answer retains tool-reported CAPEX, product, SEC and LCOW, while train multipliers, procurement premiums or approval adjustments are calculated transparently in separate formulas.</x:v>
      </x:c>
      <x:c r="T6" s="33" t="str">
        <x:v>The actual trajectory contains 5 valid simulate_swro_system calls. Gold Answer retains tool-reported CAPEX, product, SEC and LCOW, while train multipliers, procurement premiums or approval adjustments are calculated transparently in separate formulas.</x:v>
      </x:c>
      <x:c r="U6" s="33" t="str">
        <x:v>The actual trajectory contains 5 valid simulate_swro_system calls. Gold Answer retains tool-reported CAPEX, product, SEC and LCOW, while train multipliers, procurement premiums or approval adjustments are calculated transparently in separate formulas.</x:v>
      </x:c>
      <x:c r="V6" s="33" t="str">
        <x:v>The actual trajectory contains 5 valid simulate_swro_system calls. Gold Answer retains tool-reported CAPEX, product, SEC and LCOW, while train multipliers, procurement premiums or approval adjustments are calculated transparently in separate formulas.</x:v>
      </x:c>
    </x:row>
    <x:row r="8">
      <x:c r="A8" s="11" t="str">
        <x:v>Reference agent trajectory</x:v>
      </x:c>
      <x:c r="B8" s="11" t="str">
        <x:v>Reference agent trajectory</x:v>
      </x:c>
      <x:c r="C8" s="11" t="str">
        <x:v>Reference agent trajectory</x:v>
      </x:c>
      <x:c r="D8" s="11" t="str">
        <x:v>Reference agent trajectory</x:v>
      </x:c>
      <x:c r="E8" s="11" t="str">
        <x:v>Reference agent trajectory</x:v>
      </x:c>
      <x:c r="F8" s="11" t="str">
        <x:v>Reference agent trajectory</x:v>
      </x:c>
      <x:c r="G8" s="11" t="str">
        <x:v>Reference agent trajectory</x:v>
      </x:c>
      <x:c r="H8" s="11" t="str">
        <x:v>Reference agent trajectory</x:v>
      </x:c>
    </x:row>
    <x:row r="9">
      <x:c r="A9" s="17" t="str">
        <x:v>Stage</x:v>
      </x:c>
      <x:c r="B9" s="17" t="str">
        <x:v>Known state</x:v>
      </x:c>
      <x:c r="C9" s="17" t="str">
        <x:v>Action</x:v>
      </x:c>
      <x:c r="D9" s="17" t="str">
        <x:v>Key observation</x:v>
      </x:c>
      <x:c r="E9" s="17" t="str">
        <x:v>Calculation</x:v>
      </x:c>
      <x:c r="F9" s="17" t="str">
        <x:v>State update</x:v>
      </x:c>
      <x:c r="G9" s="17" t="str">
        <x:v>Next step</x:v>
      </x:c>
      <x:c r="H9" s="17" t="str">
        <x:v>Capability</x:v>
      </x:c>
    </x:row>
    <x:row r="10" ht="52" customHeight="1">
      <x:c r="A10" s="21" t="str">
        <x:v>1 Base</x:v>
      </x:c>
      <x:c r="B10" s="21" t="str">
        <x:v>Capital basis unlocked</x:v>
      </x:c>
      <x:c r="C10" s="21" t="str">
        <x:v>Run first design point</x:v>
      </x:c>
      <x:c r="D10" s="21" t="str">
        <x:v>Obtain product, CAPEX, SEC and LCOW</x:v>
      </x:c>
      <x:c r="E10" s="21" t="str">
        <x:v>Create common base</x:v>
      </x:c>
      <x:c r="F10" s="21" t="str">
        <x:v>Identify constraint direction</x:v>
      </x:c>
      <x:c r="G10" s="21" t="str">
        <x:v>Run alternatives</x:v>
      </x:c>
      <x:c r="H10" s="21" t="str">
        <x:v>State representation</x:v>
      </x:c>
    </x:row>
    <x:row r="11" ht="52" customHeight="1">
      <x:c r="A11" s="21" t="str">
        <x:v>2 Candidates</x:v>
      </x:c>
      <x:c r="B11" s="21" t="str">
        <x:v>Discrete set known</x:v>
      </x:c>
      <x:c r="C11" s="21" t="str">
        <x:v>Vary each specified input</x:v>
      </x:c>
      <x:c r="D11" s="21" t="str">
        <x:v>Hold non-target inputs fixed</x:v>
      </x:c>
      <x:c r="E11" s="21" t="str">
        <x:v>Product and total CAPEX</x:v>
      </x:c>
      <x:c r="F11" s="21" t="str">
        <x:v>Eliminate obvious failures</x:v>
      </x:c>
      <x:c r="G11" s="21" t="str">
        <x:v>Complete key boundary</x:v>
      </x:c>
      <x:c r="H11" s="21" t="str">
        <x:v>One-at-a-time control</x:v>
      </x:c>
    </x:row>
    <x:row r="12" ht="52" customHeight="1">
      <x:c r="A12" s="21" t="str">
        <x:v>3 Boundary</x:v>
      </x:c>
      <x:c r="B12" s="21" t="str">
        <x:v>Passing region formed</x:v>
      </x:c>
      <x:c r="C12" s="21" t="str">
        <x:v>Compare adjacent/alternative cases</x:v>
      </x:c>
      <x:c r="D12" s="21" t="str">
        <x:v>Identify controlling criterion</x:v>
      </x:c>
      <x:c r="E12" s="21" t="str">
        <x:v>Increment or capital intensity</x:v>
      </x:c>
      <x:c r="F12" s="21" t="str">
        <x:v>Lock candidate</x:v>
      </x:c>
      <x:c r="G12" s="21" t="str">
        <x:v>Handle external add-ons</x:v>
      </x:c>
      <x:c r="H12" s="21" t="str">
        <x:v>Boundary proof</x:v>
      </x:c>
    </x:row>
    <x:row r="13" ht="52" customHeight="1">
      <x:c r="A13" s="21" t="str">
        <x:v>4 External basis</x:v>
      </x:c>
      <x:c r="B13" s="21" t="str">
        <x:v>Tool outputs locked</x:v>
      </x:c>
      <x:c r="C13" s="21" t="str">
        <x:v>Add multiplier/premium/index/contingency</x:v>
      </x:c>
      <x:c r="D13" s="21" t="str">
        <x:v>Do not rewrite tool facts</x:v>
      </x:c>
      <x:c r="E13" s="21" t="str">
        <x:v>Transparent formulas</x:v>
      </x:c>
      <x:c r="F13" s="21" t="str">
        <x:v>Create approval basis</x:v>
      </x:c>
      <x:c r="G13" s="21" t="str">
        <x:v>Test budget</x:v>
      </x:c>
      <x:c r="H13" s="21" t="str">
        <x:v>Basis distinction</x:v>
      </x:c>
    </x:row>
    <x:row r="14" ht="52" customHeight="1">
      <x:c r="A14" s="21" t="str">
        <x:v>5 Decision</x:v>
      </x:c>
      <x:c r="B14" s="21" t="str">
        <x:v>Evidence complete</x:v>
      </x:c>
      <x:c r="C14" s="21" t="str">
        <x:v>Rank and screen</x:v>
      </x:c>
      <x:c r="D14" s="21" t="str">
        <x:v>Apply both criteria strictly; do not waive η=0.94 because it is close. The vendor premium is an external procurement add-on.</x:v>
      </x:c>
      <x:c r="E14" s="21" t="str">
        <x:v>Hard constraints before objective</x:v>
      </x:c>
      <x:c r="F14" s="21" t="str">
        <x:v>Recommend</x:v>
      </x:c>
      <x:c r="G14" s="21" t="str">
        <x:v>Check model boundary</x:v>
      </x:c>
      <x:c r="H14" s="21" t="str">
        <x:v>Engineering judgment</x:v>
      </x:c>
    </x:row>
    <x:row r="15" ht="52" customHeight="1">
      <x:c r="A15" s="21" t="str">
        <x:v>6 Stop</x:v>
      </x:c>
      <x:c r="B15" s="21" t="str">
        <x:v>Unique result or explicit tradeoff</x:v>
      </x:c>
      <x:c r="C15" s="21" t="str">
        <x:v>Summarize</x:v>
      </x:c>
      <x:c r="D15" s="21" t="str">
        <x:v>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15" s="21" t="str">
        <x:v>Recheck units and currency</x:v>
      </x:c>
      <x:c r="F15" s="21" t="str">
        <x:v>Complete Gold Answer</x:v>
      </x:c>
      <x:c r="G15" s="21" t="str">
        <x:v>Stop</x:v>
      </x:c>
      <x:c r="H15" s="21" t="str">
        <x:v>Convergence</x:v>
      </x:c>
    </x:row>
    <x:row r="18">
      <x:c r="A18" s="11" t="str">
        <x:v>5 actual simulate_swro_system calls</x:v>
      </x:c>
      <x:c r="B18" s="11" t="str">
        <x:v>5 actual simulate_swro_system calls</x:v>
      </x:c>
      <x:c r="C18" s="11" t="str">
        <x:v>5 actual simulate_swro_system calls</x:v>
      </x:c>
      <x:c r="D18" s="11" t="str">
        <x:v>5 actual simulate_swro_system calls</x:v>
      </x:c>
      <x:c r="E18" s="11" t="str">
        <x:v>5 actual simulate_swro_system calls</x:v>
      </x:c>
      <x:c r="F18" s="11" t="str">
        <x:v>5 actual simulate_swro_system calls</x:v>
      </x:c>
      <x:c r="G18" s="11" t="str">
        <x:v>5 actual simulate_swro_system calls</x:v>
      </x:c>
      <x:c r="H18" s="11" t="str">
        <x:v>5 actual simulate_swro_system calls</x:v>
      </x:c>
      <x:c r="I18" s="11" t="str">
        <x:v>5 actual simulate_swro_system calls</x:v>
      </x:c>
      <x:c r="J18" s="11" t="str">
        <x:v>5 actual simulate_swro_system calls</x:v>
      </x:c>
      <x:c r="K18" s="11" t="str">
        <x:v>5 actual simulate_swro_system calls</x:v>
      </x:c>
      <x:c r="L18" s="11" t="str">
        <x:v>5 actual simulate_swro_system calls</x:v>
      </x:c>
      <x:c r="M18" s="11" t="str">
        <x:v>5 actual simulate_swro_system calls</x:v>
      </x:c>
      <x:c r="N18" s="11" t="str">
        <x:v>5 actual simulate_swro_system calls</x:v>
      </x:c>
      <x:c r="O18" s="11" t="str">
        <x:v>5 actual simulate_swro_system calls</x:v>
      </x:c>
      <x:c r="P18" s="11" t="str">
        <x:v>5 actual simulate_swro_system calls</x:v>
      </x:c>
      <x:c r="Q18" s="11" t="str">
        <x:v>5 actual simulate_swro_system calls</x:v>
      </x:c>
      <x:c r="R18" s="11" t="str">
        <x:v>5 actual simulate_swro_system calls</x:v>
      </x:c>
      <x:c r="T18" t="str">
        <x:v>Scenario</x:v>
      </x:c>
      <x:c r="U18" t="str">
        <x:v>Total CAPEX $m</x:v>
      </x:c>
      <x:c r="V18" t="str">
        <x:v>Reference</x:v>
      </x:c>
    </x:row>
    <x:row r="19">
      <x:c r="A19" s="17" t="str">
        <x:v>Call</x:v>
      </x:c>
      <x:c r="B19" s="17" t="str">
        <x:v>Scenario</x:v>
      </x:c>
      <x:c r="C19" s="17" t="str">
        <x:v>Decision variable</x:v>
      </x:c>
      <x:c r="D19" s="17" t="str">
        <x:v>Input/configuration</x:v>
      </x:c>
      <x:c r="E19" s="17" t="str">
        <x:v>Product m³/s</x:v>
      </x:c>
      <x:c r="F19" s="17" t="str">
        <x:v>Total product m³/d</x:v>
      </x:c>
      <x:c r="G19" s="17" t="str">
        <x:v>Recovery %</x:v>
      </x:c>
      <x:c r="H19" s="17" t="str">
        <x:v>Modeled CAPEX per call</x:v>
      </x:c>
      <x:c r="I19" s="17" t="str">
        <x:v>Train/multiplier</x:v>
      </x:c>
      <x:c r="J19" s="17" t="str">
        <x:v>Total CAPEX</x:v>
      </x:c>
      <x:c r="K19" s="17" t="str">
        <x:v>ΔCAPEX</x:v>
      </x:c>
      <x:c r="L19" s="17" t="str">
        <x:v>Capital intensity</x:v>
      </x:c>
      <x:c r="M19" s="17" t="str">
        <x:v>SEC</x:v>
      </x:c>
      <x:c r="N19" s="17" t="str">
        <x:v>LCOW</x:v>
      </x:c>
      <x:c r="O19" s="17" t="str">
        <x:v>P1 kW</x:v>
      </x:c>
      <x:c r="P19" s="17" t="str">
        <x:v>P2/ERD kW</x:v>
      </x:c>
      <x:c r="Q19" s="17" t="str">
        <x:v>Decision</x:v>
      </x:c>
      <x:c r="R19" s="17" t="str">
        <x:v>Observation</x:v>
      </x:c>
      <x:c r="T19" t="str">
        <x:f>B20</x:f>
        <x:v>PX η=0.88</x:v>
      </x:c>
      <x:c r="U19" t="n">
        <x:f>J20/1000000</x:f>
        <x:v>28.277825623301535</x:v>
      </x:c>
      <x:c r="V19" t="n">
        <x:f>28000000/1000000</x:f>
        <x:v>28</x:v>
      </x:c>
    </x:row>
    <x:row r="20" ht="32" customHeight="1">
      <x:c r="A20" s="21" t="n">
        <x:v>1</x:v>
      </x:c>
      <x:c r="B20" s="21" t="str">
        <x:v>PX η=0.88</x:v>
      </x:c>
      <x:c r="C20" s="21" t="str">
        <x:v>PX efficiency</x:v>
      </x:c>
      <x:c r="D20" s="21" t="n">
        <x:v>0.88</x:v>
      </x:c>
      <x:c r="E20" s="34" t="n">
        <x:v>0.16227639148737583</x:v>
      </x:c>
      <x:c r="F20" s="22" t="n">
        <x:f>E20*86400*I20</x:f>
        <x:v>14020.680224509271</x:v>
      </x:c>
      <x:c r="G20" s="22" t="n">
        <x:v>40.79367735621787</x:v>
      </x:c>
      <x:c r="H20" s="22" t="n">
        <x:v>28277825.623301536</x:v>
      </x:c>
      <x:c r="I20" s="22" t="n">
        <x:v>1</x:v>
      </x:c>
      <x:c r="J20" s="22" t="n">
        <x:f>H20*I20</x:f>
        <x:v>28277825.623301536</x:v>
      </x:c>
      <x:c r="K20" s="22" t="n">
        <x:f>J20-$J$20</x:f>
        <x:v>0</x:v>
      </x:c>
      <x:c r="L20" s="22" t="n">
        <x:f>J20/F20</x:f>
        <x:v>2016.8654566323846</x:v>
      </x:c>
      <x:c r="M20" s="22" t="n">
        <x:v>3.4000480241177513</x:v>
      </x:c>
      <x:c r="N20" s="22" t="n">
        <x:v>0.8474084108650148</x:v>
      </x:c>
      <x:c r="O20" s="22" t="n">
        <x:v>1390.4206809749503</x:v>
      </x:c>
      <x:c r="P20" s="22" t="n">
        <x:v>357.46281565673394</x:v>
      </x:c>
      <x:c r="Q20" s="21" t="str">
        <x:v>FAIL both</x:v>
      </x:c>
      <x:c r="R20" s="21" t="str">
        <x:v>Highest P2 duty</x:v>
      </x:c>
      <x:c r="T20" t="str">
        <x:f>B21</x:f>
        <x:v>PX η=0.90</x:v>
      </x:c>
      <x:c r="U20" t="n">
        <x:f>J21/1000000</x:f>
        <x:v>28.131291797588563</x:v>
      </x:c>
      <x:c r="V20" t="n">
        <x:f>28000000/1000000</x:f>
        <x:v>28</x:v>
      </x:c>
    </x:row>
    <x:row r="21" ht="32" customHeight="1">
      <x:c r="A21" s="21" t="n">
        <x:v>2</x:v>
      </x:c>
      <x:c r="B21" s="21" t="str">
        <x:v>PX η=0.90</x:v>
      </x:c>
      <x:c r="C21" s="21" t="str">
        <x:v>PX efficiency</x:v>
      </x:c>
      <x:c r="D21" s="21" t="n">
        <x:v>0.9</x:v>
      </x:c>
      <x:c r="E21" s="34" t="n">
        <x:v>0.1622763914873758</x:v>
      </x:c>
      <x:c r="F21" s="22" t="n">
        <x:f>E21*86400*I21</x:f>
        <x:v>14020.68022450927</x:v>
      </x:c>
      <x:c r="G21" s="22" t="n">
        <x:v>40.79367735621784</x:v>
      </x:c>
      <x:c r="H21" s="22" t="n">
        <x:v>28131291.797588564</x:v>
      </x:c>
      <x:c r="I21" s="22" t="n">
        <x:v>1</x:v>
      </x:c>
      <x:c r="J21" s="22" t="n">
        <x:f>H21*I21</x:f>
        <x:v>28131291.797588564</x:v>
      </x:c>
      <x:c r="K21" s="22" t="n">
        <x:f>J21-$J$20</x:f>
        <x:v>-146533.8257129714</x:v>
      </x:c>
      <x:c r="L21" s="22" t="n">
        <x:f>J21/F21</x:f>
        <x:v>2006.4141929728073</x:v>
      </x:c>
      <x:c r="M21" s="22" t="n">
        <x:v>3.334316806132991</x:v>
      </x:c>
      <x:c r="N21" s="22" t="n">
        <x:v>0.8408059282284733</x:v>
      </x:c>
      <x:c r="O21" s="22" t="n">
        <x:v>1390.42068097495</x:v>
      </x:c>
      <x:c r="P21" s="22" t="n">
        <x:v>319.0629661512409</x:v>
      </x:c>
      <x:c r="Q21" s="21" t="str">
        <x:v>FAIL both</x:v>
      </x:c>
      <x:c r="R21" s="21" t="str">
        <x:v>Capital-parity reference</x:v>
      </x:c>
      <x:c r="T21" t="str">
        <x:f>B22</x:f>
        <x:v>PX η=0.92</x:v>
      </x:c>
      <x:c r="U21" t="n">
        <x:f>J22/1000000</x:f>
        <x:v>27.984757971875613</x:v>
      </x:c>
      <x:c r="V21" t="n">
        <x:f>28000000/1000000</x:f>
        <x:v>28</x:v>
      </x:c>
    </x:row>
    <x:row r="22" ht="32" customHeight="1">
      <x:c r="A22" s="21" t="n">
        <x:v>3</x:v>
      </x:c>
      <x:c r="B22" s="21" t="str">
        <x:v>PX η=0.92</x:v>
      </x:c>
      <x:c r="C22" s="21" t="str">
        <x:v>PX efficiency</x:v>
      </x:c>
      <x:c r="D22" s="21" t="n">
        <x:v>0.92</x:v>
      </x:c>
      <x:c r="E22" s="34" t="n">
        <x:v>0.1622763914873758</x:v>
      </x:c>
      <x:c r="F22" s="22" t="n">
        <x:f>E22*86400*I22</x:f>
        <x:v>14020.68022450927</x:v>
      </x:c>
      <x:c r="G22" s="22" t="n">
        <x:v>40.793677356217856</x:v>
      </x:c>
      <x:c r="H22" s="22" t="n">
        <x:v>27984757.97187561</x:v>
      </x:c>
      <x:c r="I22" s="22" t="n">
        <x:v>1</x:v>
      </x:c>
      <x:c r="J22" s="22" t="n">
        <x:f>H22*I22</x:f>
        <x:v>27984757.97187561</x:v>
      </x:c>
      <x:c r="K22" s="22" t="n">
        <x:f>J22-$J$20</x:f>
        <x:v>-293067.65142592415</x:v>
      </x:c>
      <x:c r="L22" s="22" t="n">
        <x:f>J22/F22</x:f>
        <x:v>1995.9629293132311</x:v>
      </x:c>
      <x:c r="M22" s="22" t="n">
        <x:v>3.2685855881482313</x:v>
      </x:c>
      <x:c r="N22" s="22" t="n">
        <x:v>0.834203445591932</x:v>
      </x:c>
      <x:c r="O22" s="22" t="n">
        <x:v>1390.4206809749503</x:v>
      </x:c>
      <x:c r="P22" s="22" t="n">
        <x:v>280.66311664574766</x:v>
      </x:c>
      <x:c r="Q22" s="21" t="str">
        <x:v>CAPEX only</x:v>
      </x:c>
      <x:c r="R22" s="21" t="str">
        <x:v>SEC still high</x:v>
      </x:c>
      <x:c r="T22" t="str">
        <x:f>B23</x:f>
        <x:v>PX η=0.94</x:v>
      </x:c>
      <x:c r="U22" t="n">
        <x:f>J23/1000000</x:f>
        <x:v>27.838224146162645</x:v>
      </x:c>
      <x:c r="V22" t="n">
        <x:f>28000000/1000000</x:f>
        <x:v>28</x:v>
      </x:c>
    </x:row>
    <x:row r="23" ht="32" customHeight="1">
      <x:c r="A23" s="21" t="n">
        <x:v>4</x:v>
      </x:c>
      <x:c r="B23" s="21" t="str">
        <x:v>PX η=0.94</x:v>
      </x:c>
      <x:c r="C23" s="21" t="str">
        <x:v>PX efficiency</x:v>
      </x:c>
      <x:c r="D23" s="21" t="n">
        <x:v>0.94</x:v>
      </x:c>
      <x:c r="E23" s="34" t="n">
        <x:v>0.16227639148737577</x:v>
      </x:c>
      <x:c r="F23" s="22" t="n">
        <x:f>E23*86400*I23</x:f>
        <x:v>14020.680224509266</x:v>
      </x:c>
      <x:c r="G23" s="22" t="n">
        <x:v>40.793677356217856</x:v>
      </x:c>
      <x:c r="H23" s="22" t="n">
        <x:v>27838224.146162644</x:v>
      </x:c>
      <x:c r="I23" s="22" t="n">
        <x:v>1</x:v>
      </x:c>
      <x:c r="J23" s="22" t="n">
        <x:f>H23*I23</x:f>
        <x:v>27838224.146162644</x:v>
      </x:c>
      <x:c r="K23" s="22" t="n">
        <x:f>J23-$J$20</x:f>
        <x:v>-439601.4771388918</x:v>
      </x:c>
      <x:c r="L23" s="22" t="n">
        <x:f>J23/F23</x:f>
        <x:v>1985.5116656536543</x:v>
      </x:c>
      <x:c r="M23" s="22" t="n">
        <x:v>3.2028543701634717</x:v>
      </x:c>
      <x:c r="N23" s="22" t="n">
        <x:v>0.8276009629553905</x:v>
      </x:c>
      <x:c r="O23" s="22" t="n">
        <x:v>1390.4206809749503</x:v>
      </x:c>
      <x:c r="P23" s="22" t="n">
        <x:v>242.2632671402544</x:v>
      </x:c>
      <x:c r="Q23" s="21" t="str">
        <x:v>CAPEX only</x:v>
      </x:c>
      <x:c r="R23" s="21" t="str">
        <x:v>SEC misses by 0.00285</x:v>
      </x:c>
      <x:c r="T23" t="str">
        <x:f>B24</x:f>
        <x:v>PX η=0.96</x:v>
      </x:c>
      <x:c r="U23" t="n">
        <x:f>J24/1000000</x:f>
        <x:v>27.69169032044968</x:v>
      </x:c>
      <x:c r="V23" t="n">
        <x:f>28000000/1000000</x:f>
        <x:v>28</x:v>
      </x:c>
    </x:row>
    <x:row r="24" ht="32" customHeight="1">
      <x:c r="A24" s="21" t="n">
        <x:v>5</x:v>
      </x:c>
      <x:c r="B24" s="21" t="str">
        <x:v>PX η=0.96</x:v>
      </x:c>
      <x:c r="C24" s="21" t="str">
        <x:v>PX efficiency</x:v>
      </x:c>
      <x:c r="D24" s="21" t="n">
        <x:v>0.96</x:v>
      </x:c>
      <x:c r="E24" s="34" t="n">
        <x:v>0.1622763914873758</x:v>
      </x:c>
      <x:c r="F24" s="22" t="n">
        <x:f>E24*86400*I24</x:f>
        <x:v>14020.68022450927</x:v>
      </x:c>
      <x:c r="G24" s="22" t="n">
        <x:v>40.793677356217856</x:v>
      </x:c>
      <x:c r="H24" s="22" t="n">
        <x:v>27691690.32044968</x:v>
      </x:c>
      <x:c r="I24" s="22" t="n">
        <x:v>1</x:v>
      </x:c>
      <x:c r="J24" s="22" t="n">
        <x:f>H24*I24</x:f>
        <x:v>27691690.32044968</x:v>
      </x:c>
      <x:c r="K24" s="22" t="n">
        <x:f>J24-$J$20</x:f>
        <x:v>-586135.3028518558</x:v>
      </x:c>
      <x:c r="L24" s="22" t="n">
        <x:f>J24/F24</x:f>
        <x:v>1975.0604019940768</x:v>
      </x:c>
      <x:c r="M24" s="22" t="n">
        <x:v>3.137123152178711</x:v>
      </x:c>
      <x:c r="N24" s="22" t="n">
        <x:v>0.8209984803188489</x:v>
      </x:c>
      <x:c r="O24" s="22" t="n">
        <x:v>1390.42068097495</x:v>
      </x:c>
      <x:c r="P24" s="22" t="n">
        <x:v>203.86341763476145</x:v>
      </x:c>
      <x:c r="Q24" s="21" t="str">
        <x:v>PASS both</x:v>
      </x:c>
      <x:c r="R24" s="21" t="str">
        <x:v>Only passing efficiency</x:v>
      </x:c>
    </x:row>
    <x:row r="30">
      <x:c r="A30" s="11" t="str">
        <x:v>Decision calculations</x:v>
      </x:c>
      <x:c r="B30" s="11" t="str">
        <x:v>Decision calculations</x:v>
      </x:c>
      <x:c r="C30" s="11" t="str">
        <x:v>Decision calculations</x:v>
      </x:c>
      <x:c r="D30" s="11" t="str">
        <x:v>Decision calculations</x:v>
      </x:c>
      <x:c r="E30" s="11" t="str">
        <x:v>Decision calculations</x:v>
      </x:c>
      <x:c r="F30" s="11" t="str">
        <x:v>Decision calculations</x:v>
      </x:c>
      <x:c r="G30" s="11" t="str">
        <x:v>Decision calculations</x:v>
      </x:c>
      <x:c r="H30" s="11" t="str">
        <x:v>Decision calculations</x:v>
      </x:c>
    </x:row>
    <x:row r="31">
      <x:c r="A31" s="17" t="str">
        <x:v>Item</x:v>
      </x:c>
      <x:c r="B31" s="17" t="str">
        <x:v>Option A</x:v>
      </x:c>
      <x:c r="C31" s="17" t="str">
        <x:v>Option B</x:v>
      </x:c>
      <x:c r="D31" s="17" t="str">
        <x:v>Option C</x:v>
      </x:c>
      <x:c r="E31" s="17" t="str">
        <x:v>Formula/basis</x:v>
      </x:c>
      <x:c r="F31" s="17" t="str">
        <x:v>Constraint</x:v>
      </x:c>
      <x:c r="G31" s="17" t="str">
        <x:v>Result</x:v>
      </x:c>
      <x:c r="H31" s="17" t="str">
        <x:v>Engineering interpretation</x:v>
      </x:c>
    </x:row>
    <x:row r="32" ht="50" customHeight="1">
      <x:c r="A32" s="21" t="str">
        <x:v>Dual-criterion screen</x:v>
      </x:c>
      <x:c r="B32" s="22" t="n">
        <x:f>M24</x:f>
        <x:v>3.137123152178711</x:v>
      </x:c>
      <x:c r="C32" s="22" t="n">
        <x:f>N24</x:f>
        <x:v>0.8209984803188489</x:v>
      </x:c>
      <x:c r="D32" s="22"/>
      <x:c r="E32" s="21" t="str">
        <x:v>CAPEX &lt;= $28m and SEC &lt;= 3.20</x:v>
      </x:c>
      <x:c r="F32" s="21" t="str">
        <x:v>Strict</x:v>
      </x:c>
      <x:c r="G32" s="21" t="str">
        <x:v>Only 0.96 passes</x:v>
      </x:c>
      <x:c r="H32" s="21" t="str">
        <x:v>0.94 misses by 0.002854</x:v>
      </x:c>
    </x:row>
    <x:row r="33" ht="50" customHeight="1">
      <x:c r="A33" s="21" t="str">
        <x:v>Budget premium limit</x:v>
      </x:c>
      <x:c r="B33" s="22" t="n">
        <x:f>28000000-J24</x:f>
        <x:v>308309.6795503199</x:v>
      </x:c>
      <x:c r="C33" s="22"/>
      <x:c r="D33" s="22"/>
      <x:c r="E33" s="21" t="str">
        <x:v>$28m − 0.96 CAPEX</x:v>
      </x:c>
      <x:c r="F33" s="21" t="str">
        <x:v>—</x:v>
      </x:c>
      <x:c r="G33" s="21" t="str">
        <x:v>$308,309.68</x:v>
      </x:c>
      <x:c r="H33" s="21" t="str">
        <x:v>Budget constraint</x:v>
      </x:c>
    </x:row>
    <x:row r="34" ht="50" customHeight="1">
      <x:c r="A34" s="21" t="str">
        <x:v>Capital-parity limit</x:v>
      </x:c>
      <x:c r="B34" s="22" t="n">
        <x:f>J21-J24</x:f>
        <x:v>439601.47713888437</x:v>
      </x:c>
      <x:c r="C34" s="22"/>
      <x:c r="D34" s="22"/>
      <x:c r="E34" s="21" t="str">
        <x:v>0.90 CAPEX − 0.96 CAPEX</x:v>
      </x:c>
      <x:c r="F34" s="21" t="str">
        <x:v>—</x:v>
      </x:c>
      <x:c r="G34" s="21" t="str">
        <x:v>$439,601.48</x:v>
      </x:c>
      <x:c r="H34" s="21" t="str">
        <x:v>Competitive constraint</x:v>
      </x:c>
    </x:row>
    <x:row r="35" ht="50" customHeight="1">
      <x:c r="A35" s="21" t="str">
        <x:v>Binding premium</x:v>
      </x:c>
      <x:c r="B35" s="22" t="n">
        <x:f>MIN(B33,B34)</x:f>
        <x:v>308309.6795503199</x:v>
      </x:c>
      <x:c r="C35" s="22"/>
      <x:c r="D35" s="22"/>
      <x:c r="E35" s="21" t="str">
        <x:v>MIN(budget, parity)</x:v>
      </x:c>
      <x:c r="F35" s="21" t="str">
        <x:v>—</x:v>
      </x:c>
      <x:c r="G35" s="21" t="str">
        <x:v>$308,309.68</x:v>
      </x:c>
      <x:c r="H35" s="21" t="str">
        <x:v>Budget is tighter</x:v>
      </x:c>
    </x:row>
    <x:row r="36" ht="50" customHeight="1">
      <x:c r="A36" s="21" t="str">
        <x:v>CAPEX after quote</x:v>
      </x:c>
      <x:c r="B36" s="22" t="n">
        <x:f>J24+300000</x:f>
        <x:v>27991690.32044968</x:v>
      </x:c>
      <x:c r="C36" s="22"/>
      <x:c r="D36" s="22"/>
      <x:c r="E36" s="21" t="str">
        <x:v>0.96 CAPEX + $300,000</x:v>
      </x:c>
      <x:c r="F36" s="21" t="str">
        <x:v>&lt;= $28m</x:v>
      </x:c>
      <x:c r="G36" s="21" t="str">
        <x:v>$27.992m; pass</x:v>
      </x:c>
      <x:c r="H36" s="21" t="str">
        <x:v>Accept 0.96 vendor</x:v>
      </x:c>
    </x:row>
    <x:row r="37">
      <x:c r="B37" s="35"/>
      <x:c r="C37" s="35"/>
      <x:c r="D37" s="35"/>
    </x:row>
    <x:row r="39">
      <x:c r="A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39"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row r="40">
      <x:c r="A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40"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row r="41">
      <x:c r="A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41"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row r="42">
      <x:c r="A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42"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row r="43">
      <x:c r="A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43"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row r="44">
      <x:c r="A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44"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row r="45">
      <x:c r="A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B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D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E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F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G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H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I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J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K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L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M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N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O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P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Q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R45" s="33" t="str">
        <x:v>Final conclusion
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row>
  </x:sheetData>
  <x:mergeCells>
    <x:mergeCell ref="A1:V2"/>
    <x:mergeCell ref="A4:V6"/>
    <x:mergeCell ref="A8:H8"/>
    <x:mergeCell ref="A18:R18"/>
    <x:mergeCell ref="A30:H30"/>
    <x:mergeCell ref="A39:R45"/>
  </x:mergeCells>
  <x:pageMargins left="0.7" right="0.7" top="0.75" bottom="0.75" header="0.3" footer="0.3"/>
  <x:drawing xmlns:r="http://schemas.openxmlformats.org/officeDocument/2006/relationships" r:id="Rf86ae10e9d434865"/>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34" hidden="0" customWidth="1"/>
    <x:col min="3" max="3" width="54" hidden="0" customWidth="1"/>
    <x:col min="4" max="4" width="46" hidden="0" customWidth="1"/>
    <x:col min="5" max="5" width="46" hidden="0" customWidth="1"/>
    <x:col min="6" max="6" width="11" hidden="0" customWidth="1"/>
    <x:col min="7" max="7" width="11" hidden="0" customWidth="1"/>
  </x:cols>
  <x:sheetData>
    <x:row r="1" ht="26" customHeight="1">
      <x:c r="A1" s="4" t="str">
        <x:v>D4_4a N05: Trajectory Rubric (100 points)</x:v>
      </x:c>
      <x:c r="B1" s="4" t="str">
        <x:v>D4_4a N05: Trajectory Rubric (100 points)</x:v>
      </x:c>
      <x:c r="C1" s="4" t="str">
        <x:v>D4_4a N05: Trajectory Rubric (100 points)</x:v>
      </x:c>
      <x:c r="D1" s="4" t="str">
        <x:v>D4_4a N05: Trajectory Rubric (100 points)</x:v>
      </x:c>
      <x:c r="E1" s="4" t="str">
        <x:v>D4_4a N05: Trajectory Rubric (100 points)</x:v>
      </x:c>
      <x:c r="F1" s="4" t="str">
        <x:v>D4_4a N05: Trajectory Rubric (100 points)</x:v>
      </x:c>
      <x:c r="G1" s="4" t="str">
        <x:v>D4_4a N05: Trajectory Rubric (100 points)</x:v>
      </x:c>
    </x:row>
    <x:row r="2" ht="26" customHeight="1">
      <x:c r="A2" s="4" t="str">
        <x:v>D4_4a N05: Trajectory Rubric (100 points)</x:v>
      </x:c>
      <x:c r="B2" s="4" t="str">
        <x:v>D4_4a N05: Trajectory Rubric (100 points)</x:v>
      </x:c>
      <x:c r="C2" s="4" t="str">
        <x:v>D4_4a N05: Trajectory Rubric (100 points)</x:v>
      </x:c>
      <x:c r="D2" s="4" t="str">
        <x:v>D4_4a N05: Trajectory Rubric (100 points)</x:v>
      </x:c>
      <x:c r="E2" s="4" t="str">
        <x:v>D4_4a N05: Trajectory Rubric (100 points)</x:v>
      </x:c>
      <x:c r="F2" s="4" t="str">
        <x:v>D4_4a N05: Trajectory Rubric (100 points)</x:v>
      </x:c>
      <x:c r="G2" s="4" t="str">
        <x:v>D4_4a N05: Trajectory Rubric (100 points)</x:v>
      </x:c>
    </x:row>
    <x:row r="4">
      <x:c r="A4" s="29" t="str">
        <x:v>Evaluate whether the agent converts design scale, equipment configuration, cost basis and hard constraints into an auditable full-plant simulation decision.</x:v>
      </x:c>
      <x:c r="B4" s="29" t="str">
        <x:v>Evaluate whether the agent converts design scale, equipment configuration, cost basis and hard constraints into an auditable full-plant simulation decision.</x:v>
      </x:c>
      <x:c r="C4" s="29" t="str">
        <x:v>Evaluate whether the agent converts design scale, equipment configuration, cost basis and hard constraints into an auditable full-plant simulation decision.</x:v>
      </x:c>
      <x:c r="D4" s="29" t="str">
        <x:v>Evaluate whether the agent converts design scale, equipment configuration, cost basis and hard constraints into an auditable full-plant simulation decision.</x:v>
      </x:c>
      <x:c r="E4" s="29" t="str">
        <x:v>Evaluate whether the agent converts design scale, equipment configuration, cost basis and hard constraints into an auditable full-plant simulation decision.</x:v>
      </x:c>
      <x:c r="F4" s="29" t="str">
        <x:v>Evaluate whether the agent converts design scale, equipment configuration, cost basis and hard constraints into an auditable full-plant simulation decision.</x:v>
      </x:c>
      <x:c r="G4" s="29" t="str">
        <x:v>Evaluate whether the agent converts design scale, equipment configuration, cost basis and hard constraints into an auditable full-plant simulation decision.</x:v>
      </x:c>
    </x:row>
    <x:row r="5">
      <x:c r="A5" s="29" t="str">
        <x:v>Evaluate whether the agent converts design scale, equipment configuration, cost basis and hard constraints into an auditable full-plant simulation decision.</x:v>
      </x:c>
      <x:c r="B5" s="29" t="str">
        <x:v>Evaluate whether the agent converts design scale, equipment configuration, cost basis and hard constraints into an auditable full-plant simulation decision.</x:v>
      </x:c>
      <x:c r="C5" s="29" t="str">
        <x:v>Evaluate whether the agent converts design scale, equipment configuration, cost basis and hard constraints into an auditable full-plant simulation decision.</x:v>
      </x:c>
      <x:c r="D5" s="29" t="str">
        <x:v>Evaluate whether the agent converts design scale, equipment configuration, cost basis and hard constraints into an auditable full-plant simulation decision.</x:v>
      </x:c>
      <x:c r="E5" s="29" t="str">
        <x:v>Evaluate whether the agent converts design scale, equipment configuration, cost basis and hard constraints into an auditable full-plant simulation decision.</x:v>
      </x:c>
      <x:c r="F5" s="29" t="str">
        <x:v>Evaluate whether the agent converts design scale, equipment configuration, cost basis and hard constraints into an auditable full-plant simulation decision.</x:v>
      </x:c>
      <x:c r="G5" s="29" t="str">
        <x:v>Evaluate whether the agent converts design scale, equipment configuration, cost basis and hard constraints into an auditable full-plant simulation decision.</x:v>
      </x:c>
    </x:row>
    <x:row r="6">
      <x:c r="A6" s="29" t="str">
        <x:v>Evaluate whether the agent converts design scale, equipment configuration, cost basis and hard constraints into an auditable full-plant simulation decision.</x:v>
      </x:c>
      <x:c r="B6" s="29" t="str">
        <x:v>Evaluate whether the agent converts design scale, equipment configuration, cost basis and hard constraints into an auditable full-plant simulation decision.</x:v>
      </x:c>
      <x:c r="C6" s="29" t="str">
        <x:v>Evaluate whether the agent converts design scale, equipment configuration, cost basis and hard constraints into an auditable full-plant simulation decision.</x:v>
      </x:c>
      <x:c r="D6" s="29" t="str">
        <x:v>Evaluate whether the agent converts design scale, equipment configuration, cost basis and hard constraints into an auditable full-plant simulation decision.</x:v>
      </x:c>
      <x:c r="E6" s="29" t="str">
        <x:v>Evaluate whether the agent converts design scale, equipment configuration, cost basis and hard constraints into an auditable full-plant simulation decision.</x:v>
      </x:c>
      <x:c r="F6" s="29" t="str">
        <x:v>Evaluate whether the agent converts design scale, equipment configuration, cost basis and hard constraints into an auditable full-plant simulation decision.</x:v>
      </x:c>
      <x:c r="G6" s="29" t="str">
        <x:v>Evaluate whether the agent converts design scale, equipment configuration, cost basis and hard constraints into an auditable full-plant simulation decision.</x:v>
      </x:c>
    </x:row>
    <x:row r="8">
      <x:c r="A8" s="17" t="str">
        <x:v>Dimension</x:v>
      </x:c>
      <x:c r="B8" s="17" t="str">
        <x:v>Evaluation question</x:v>
      </x:c>
      <x:c r="C8" s="17" t="str">
        <x:v>Full-credit behavior</x:v>
      </x:c>
      <x:c r="D8" s="17" t="str">
        <x:v>Partial credit</x:v>
      </x:c>
      <x:c r="E8" s="17" t="str">
        <x:v>Zero/major error</x:v>
      </x:c>
      <x:c r="F8" s="17" t="str">
        <x:v>Points</x:v>
      </x:c>
      <x:c r="G8" s="17" t="str">
        <x:v>Score</x:v>
      </x:c>
    </x:row>
    <x:row r="9" ht="74" customHeight="1">
      <x:c r="A9" s="21" t="str">
        <x:v>TQ1 State</x:v>
      </x:c>
      <x:c r="B9" s="21" t="str">
        <x:v>Identify design boundary and hard constraints</x:v>
      </x:c>
      <x:c r="C9" s="21" t="str">
        <x:v>State currency, scale, candidate set and criteria</x:v>
      </x:c>
      <x:c r="D9" s="21" t="str">
        <x:v>One non-controlling constraint missing</x:v>
      </x:c>
      <x:c r="E9" s="21" t="str">
        <x:v>Mix scale or currency</x:v>
      </x:c>
      <x:c r="F9" s="21" t="n">
        <x:v>15</x:v>
      </x:c>
      <x:c r="G9" s="21"/>
    </x:row>
    <x:row r="10" ht="74" customHeight="1">
      <x:c r="A10" s="21" t="str">
        <x:v>TQ2 Tool calls</x:v>
      </x:c>
      <x:c r="B10" s="21" t="str">
        <x:v>Use whole-plant cost tool</x:v>
      </x:c>
      <x:c r="C10" s="21" t="str">
        <x:v>Complete valid simulate_swro_system calls for specified cases</x:v>
      </x:c>
      <x:c r="D10" s="21" t="str">
        <x:v>Minor noncritical deviations</x:v>
      </x:c>
      <x:c r="E10" s="21" t="str">
        <x:v>Use simulate_ro for whole-plant CAPEX</x:v>
      </x:c>
      <x:c r="F10" s="21" t="n">
        <x:v>20</x:v>
      </x:c>
      <x:c r="G10" s="21"/>
    </x:row>
    <x:row r="11" ht="74" customHeight="1">
      <x:c r="A11" s="21" t="str">
        <x:v>TQ3 Capital calculation</x:v>
      </x:c>
      <x:c r="B11" s="21" t="str">
        <x:v>Handle multipliers and units correctly</x:v>
      </x:c>
      <x:c r="C11" s="21" t="str">
        <x:v>Consistent product, total CAPEX and capital intensity</x:v>
      </x:c>
      <x:c r="D11" s="21" t="str">
        <x:v>Mostly right with one unclear basis</x:v>
      </x:c>
      <x:c r="E11" s="21" t="str">
        <x:v>Treat per-call/per-train cost as total</x:v>
      </x:c>
      <x:c r="F11" s="21" t="n">
        <x:v>20</x:v>
      </x:c>
      <x:c r="G11" s="21"/>
    </x:row>
    <x:row r="12" ht="74" customHeight="1">
      <x:c r="A12" s="21" t="str">
        <x:v>TQ4 Specialized calculation</x:v>
      </x:c>
      <x:c r="B12" s="21" t="str">
        <x:v>Complete case-specific increment/premium/escalation formula</x:v>
      </x:c>
      <x:c r="C12" s="21" t="str">
        <x:v>Apply both criteria strictly; do not waive η=0.94 because it is close. The vendor premium is an external procurement add-on.</x:v>
      </x:c>
      <x:c r="D12" s="21" t="str">
        <x:v>Close but one external add-on missing</x:v>
      </x:c>
      <x:c r="E12" s="21" t="str">
        <x:v>Present external add-on as tool output</x:v>
      </x:c>
      <x:c r="F12" s="21" t="n">
        <x:v>20</x:v>
      </x:c>
      <x:c r="G12" s="21"/>
    </x:row>
    <x:row r="13" ht="74" customHeight="1">
      <x:c r="A13" s="21" t="str">
        <x:v>TQ5 Interpretation</x:v>
      </x:c>
      <x:c r="B13" s="21" t="str">
        <x:v>Separate CAPEX, SEC, LCOW and model boundary</x:v>
      </x:c>
      <x:c r="C13" s="21" t="str">
        <x:v>Hard constraints first; explain tradeoff or counterintuitive result</x:v>
      </x:c>
      <x:c r="D13" s="21" t="str">
        <x:v>Conclusion right but explanation incomplete</x:v>
      </x:c>
      <x:c r="E13" s="21" t="str">
        <x:v>Substitute LCOW for CAPEX or omit model boundary</x:v>
      </x:c>
      <x:c r="F13" s="21" t="n">
        <x:v>15</x:v>
      </x:c>
      <x:c r="G13" s="21"/>
    </x:row>
    <x:row r="14" ht="74" customHeight="1">
      <x:c r="A14" s="21" t="str">
        <x:v>TQ6 Decision</x:v>
      </x:c>
      <x:c r="B14" s="21" t="str">
        <x:v>Give actionable conclusion</x:v>
      </x:c>
      <x:c r="C14" s="21" t="str">
        <x:v>Among the specified candidates, only PX efficiency 0.</x:v>
      </x:c>
      <x:c r="D14" s="21" t="str">
        <x:v>Key result right but one number missing</x:v>
      </x:c>
      <x:c r="E14" s="21" t="str">
        <x:v>Recommend failing or over-budget option</x:v>
      </x:c>
      <x:c r="F14" s="21" t="n">
        <x:v>10</x:v>
      </x:c>
      <x:c r="G14" s="21"/>
    </x:row>
    <x:row r="17">
      <x:c r="A17" s="11" t="str">
        <x:v>Gold-answer anchors</x:v>
      </x:c>
      <x:c r="B17" s="11" t="str">
        <x:v>Gold-answer anchors</x:v>
      </x:c>
      <x:c r="C17" s="11" t="str">
        <x:v>Gold-answer anchors</x:v>
      </x:c>
      <x:c r="D17" s="11" t="str">
        <x:v>Gold-answer anchors</x:v>
      </x:c>
      <x:c r="E17" s="11" t="str">
        <x:v>Gold-answer anchors</x:v>
      </x:c>
      <x:c r="F17" s="11" t="str">
        <x:v>Gold-answer anchors</x:v>
      </x:c>
      <x:c r="G17" s="11" t="str">
        <x:v>Gold-answer anchors</x:v>
      </x:c>
    </x:row>
    <x:row r="18" ht="55" customHeight="1">
      <x:c r="A18" s="21" t="str">
        <x:v>Tool evidence</x:v>
      </x:c>
      <x:c r="B18" s="21" t="str">
        <x:v>5 actual calls</x:v>
      </x:c>
      <x:c r="C18" s="21"/>
      <x:c r="D18" s="21"/>
      <x:c r="E18" s="21"/>
      <x:c r="F18" s="21"/>
      <x:c r="G18" s="21"/>
    </x:row>
    <x:row r="19" ht="78" customHeight="1">
      <x:c r="A19" s="21" t="str">
        <x:v>Final answer</x:v>
      </x:c>
      <x:c r="B19" s="21" t="str">
        <x:v>Among the specified candidates, only PX efficiency 0.96 meets both CAPEX ≤USD 28.0 million and SEC ≤3.20; η=0.94 has SEC 3.202854 and therefore strictly fails by 0.002854. The 0.96 option saves USD 439,601 of modeled CAPEX versus 0.90, but the budget can absorb only USD 308,309.68 of extra premium. The binding maximum premium is therefore USD 308,309.68. With the quoted USD 300,000 premium, installed CAPEX is USD 27.992 million and the energy criterion also passes; accept the high-efficiency vendor.</x:v>
      </x:c>
      <x:c r="C19" s="21"/>
      <x:c r="D19" s="21"/>
      <x:c r="E19" s="21"/>
      <x:c r="F19" s="21"/>
      <x:c r="G19" s="21"/>
    </x:row>
    <x:row r="20" ht="78" customHeight="1">
      <x:c r="A20" s="21" t="str">
        <x:v>Model boundary</x:v>
      </x:c>
      <x:c r="B20" s="21" t="str">
        <x:v>Apply both criteria strictly; do not waive η=0.94 because it is close. The vendor premium is an external procurement add-on.</x:v>
      </x:c>
      <x:c r="C20" s="21"/>
      <x:c r="D20" s="21"/>
      <x:c r="E20" s="21"/>
      <x:c r="F20" s="21"/>
      <x:c r="G20" s="21"/>
    </x:row>
    <x:row r="21" ht="55" customHeight="1">
      <x:c r="A21" s="21" t="str">
        <x:v>Tolerance</x:v>
      </x:c>
      <x:c r="B21" s="21" t="str">
        <x:v>CAPEX ±$0.02m; product ±5 m³/d</x:v>
      </x:c>
      <x:c r="C21" s="21"/>
      <x:c r="D21" s="21"/>
      <x:c r="E21" s="21"/>
      <x:c r="F21" s="21"/>
      <x:c r="G21" s="21"/>
    </x:row>
  </x:sheetData>
  <x:mergeCells>
    <x:mergeCell ref="A1:G2"/>
    <x:mergeCell ref="A4:G6"/>
    <x:mergeCell ref="A17:G17"/>
    <x:mergeCell ref="B18:G18"/>
    <x:mergeCell ref="B19:G19"/>
    <x:mergeCell ref="B20:G20"/>
    <x:mergeCell ref="B21:G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35" hidden="0" customWidth="1"/>
    <x:col min="3" max="3" width="50" hidden="0" customWidth="1"/>
    <x:col min="4" max="4" width="43" hidden="0" customWidth="1"/>
    <x:col min="5" max="5" width="43" hidden="0" customWidth="1"/>
    <x:col min="6" max="6" width="48" hidden="0" customWidth="1"/>
    <x:col min="7" max="7" width="11" hidden="0" customWidth="1"/>
  </x:cols>
  <x:sheetData>
    <x:row r="1" ht="26" customHeight="1">
      <x:c r="A1" s="4" t="str">
        <x:v>D4_4a N05: Tool-Efficiency Rubric (100 points)</x:v>
      </x:c>
      <x:c r="B1" s="4" t="str">
        <x:v>D4_4a N05: Tool-Efficiency Rubric (100 points)</x:v>
      </x:c>
      <x:c r="C1" s="4" t="str">
        <x:v>D4_4a N05: Tool-Efficiency Rubric (100 points)</x:v>
      </x:c>
      <x:c r="D1" s="4" t="str">
        <x:v>D4_4a N05: Tool-Efficiency Rubric (100 points)</x:v>
      </x:c>
      <x:c r="E1" s="4" t="str">
        <x:v>D4_4a N05: Tool-Efficiency Rubric (100 points)</x:v>
      </x:c>
      <x:c r="F1" s="4" t="str">
        <x:v>D4_4a N05: Tool-Efficiency Rubric (100 points)</x:v>
      </x:c>
      <x:c r="G1" s="4" t="str">
        <x:v>D4_4a N05: Tool-Efficiency Rubric (100 points)</x:v>
      </x:c>
    </x:row>
    <x:row r="2" ht="26" customHeight="1">
      <x:c r="A2" s="4" t="str">
        <x:v>D4_4a N05: Tool-Efficiency Rubric (100 points)</x:v>
      </x:c>
      <x:c r="B2" s="4" t="str">
        <x:v>D4_4a N05: Tool-Efficiency Rubric (100 points)</x:v>
      </x:c>
      <x:c r="C2" s="4" t="str">
        <x:v>D4_4a N05: Tool-Efficiency Rubric (100 points)</x:v>
      </x:c>
      <x:c r="D2" s="4" t="str">
        <x:v>D4_4a N05: Tool-Efficiency Rubric (100 points)</x:v>
      </x:c>
      <x:c r="E2" s="4" t="str">
        <x:v>D4_4a N05: Tool-Efficiency Rubric (100 points)</x:v>
      </x:c>
      <x:c r="F2" s="4" t="str">
        <x:v>D4_4a N05: Tool-Efficiency Rubric (100 points)</x:v>
      </x:c>
      <x:c r="G2" s="4" t="str">
        <x:v>D4_4a N05: Tool-Efficiency Rubric (100 points)</x:v>
      </x:c>
    </x:row>
    <x:row r="4">
      <x:c r="A4" s="29" t="str">
        <x:v>The reference path uses 5 valid full-plant simulations. Score common baselining, variable control, information gain, transparent external calculations and timely stopping.</x:v>
      </x:c>
      <x:c r="B4" s="29" t="str">
        <x:v>The reference path uses 5 valid full-plant simulations. Score common baselining, variable control, information gain, transparent external calculations and timely stopping.</x:v>
      </x:c>
      <x:c r="C4" s="29" t="str">
        <x:v>The reference path uses 5 valid full-plant simulations. Score common baselining, variable control, information gain, transparent external calculations and timely stopping.</x:v>
      </x:c>
      <x:c r="D4" s="29" t="str">
        <x:v>The reference path uses 5 valid full-plant simulations. Score common baselining, variable control, information gain, transparent external calculations and timely stopping.</x:v>
      </x:c>
      <x:c r="E4" s="29" t="str">
        <x:v>The reference path uses 5 valid full-plant simulations. Score common baselining, variable control, information gain, transparent external calculations and timely stopping.</x:v>
      </x:c>
      <x:c r="F4" s="29" t="str">
        <x:v>The reference path uses 5 valid full-plant simulations. Score common baselining, variable control, information gain, transparent external calculations and timely stopping.</x:v>
      </x:c>
      <x:c r="G4" s="29" t="str">
        <x:v>The reference path uses 5 valid full-plant simulations. Score common baselining, variable control, information gain, transparent external calculations and timely stopping.</x:v>
      </x:c>
    </x:row>
    <x:row r="5">
      <x:c r="A5" s="29" t="str">
        <x:v>The reference path uses 5 valid full-plant simulations. Score common baselining, variable control, information gain, transparent external calculations and timely stopping.</x:v>
      </x:c>
      <x:c r="B5" s="29" t="str">
        <x:v>The reference path uses 5 valid full-plant simulations. Score common baselining, variable control, information gain, transparent external calculations and timely stopping.</x:v>
      </x:c>
      <x:c r="C5" s="29" t="str">
        <x:v>The reference path uses 5 valid full-plant simulations. Score common baselining, variable control, information gain, transparent external calculations and timely stopping.</x:v>
      </x:c>
      <x:c r="D5" s="29" t="str">
        <x:v>The reference path uses 5 valid full-plant simulations. Score common baselining, variable control, information gain, transparent external calculations and timely stopping.</x:v>
      </x:c>
      <x:c r="E5" s="29" t="str">
        <x:v>The reference path uses 5 valid full-plant simulations. Score common baselining, variable control, information gain, transparent external calculations and timely stopping.</x:v>
      </x:c>
      <x:c r="F5" s="29" t="str">
        <x:v>The reference path uses 5 valid full-plant simulations. Score common baselining, variable control, information gain, transparent external calculations and timely stopping.</x:v>
      </x:c>
      <x:c r="G5" s="29" t="str">
        <x:v>The reference path uses 5 valid full-plant simulations. Score common baselining, variable control, information gain, transparent external calculations and timely stopping.</x:v>
      </x:c>
    </x:row>
    <x:row r="6">
      <x:c r="A6" s="29" t="str">
        <x:v>The reference path uses 5 valid full-plant simulations. Score common baselining, variable control, information gain, transparent external calculations and timely stopping.</x:v>
      </x:c>
      <x:c r="B6" s="29" t="str">
        <x:v>The reference path uses 5 valid full-plant simulations. Score common baselining, variable control, information gain, transparent external calculations and timely stopping.</x:v>
      </x:c>
      <x:c r="C6" s="29" t="str">
        <x:v>The reference path uses 5 valid full-plant simulations. Score common baselining, variable control, information gain, transparent external calculations and timely stopping.</x:v>
      </x:c>
      <x:c r="D6" s="29" t="str">
        <x:v>The reference path uses 5 valid full-plant simulations. Score common baselining, variable control, information gain, transparent external calculations and timely stopping.</x:v>
      </x:c>
      <x:c r="E6" s="29" t="str">
        <x:v>The reference path uses 5 valid full-plant simulations. Score common baselining, variable control, information gain, transparent external calculations and timely stopping.</x:v>
      </x:c>
      <x:c r="F6" s="29" t="str">
        <x:v>The reference path uses 5 valid full-plant simulations. Score common baselining, variable control, information gain, transparent external calculations and timely stopping.</x:v>
      </x:c>
      <x:c r="G6" s="29" t="str">
        <x:v>The reference path uses 5 valid full-plant simulations. Score common baselining, variable control, information gain, transparent external calculations and timely stopping.</x:v>
      </x:c>
    </x:row>
    <x:row r="8">
      <x:c r="A8" s="17" t="str">
        <x:v>Dimension</x:v>
      </x:c>
      <x:c r="B8" s="17" t="str">
        <x:v>Evaluation question</x:v>
      </x:c>
      <x:c r="C8" s="17" t="str">
        <x:v>Full credit</x:v>
      </x:c>
      <x:c r="D8" s="17" t="str">
        <x:v>Partial credit</x:v>
      </x:c>
      <x:c r="E8" s="17" t="str">
        <x:v>Low/zero</x:v>
      </x:c>
      <x:c r="F8" s="17" t="str">
        <x:v>Reference evidence</x:v>
      </x:c>
      <x:c r="G8" s="17" t="str">
        <x:v>Points</x:v>
      </x:c>
    </x:row>
    <x:row r="9" ht="72" customHeight="1">
      <x:c r="A9" s="21" t="str">
        <x:v>E1 Tool choice</x:v>
      </x:c>
      <x:c r="B9" s="21" t="str">
        <x:v>Use whole-plant cost tool</x:v>
      </x:c>
      <x:c r="C9" s="21" t="str">
        <x:v>Primarily simulate_swro_system</x:v>
      </x:c>
      <x:c r="D9" s="21" t="str">
        <x:v>A few irrelevant metadata calls</x:v>
      </x:c>
      <x:c r="E9" s="21" t="str">
        <x:v>Use single-membrane tool for plant CAPEX</x:v>
      </x:c>
      <x:c r="F9" s="21" t="str">
        <x:v>total_capital_cost_usd</x:v>
      </x:c>
      <x:c r="G9" s="21" t="n">
        <x:v>20</x:v>
      </x:c>
    </x:row>
    <x:row r="10" ht="72" customHeight="1">
      <x:c r="A10" s="21" t="str">
        <x:v>E2 Base/invariants</x:v>
      </x:c>
      <x:c r="B10" s="21" t="str">
        <x:v>Maintain comparability</x:v>
      </x:c>
      <x:c r="C10" s="21" t="str">
        <x:v>Change only the specified input or configuration</x:v>
      </x:c>
      <x:c r="D10" s="21" t="str">
        <x:v>One noncritical co-change</x:v>
      </x:c>
      <x:c r="E10" s="21" t="str">
        <x:v>Multiple co-changes prevent attribution</x:v>
      </x:c>
      <x:c r="F10" s="21" t="str">
        <x:v>N05</x:v>
      </x:c>
      <x:c r="G10" s="21" t="n">
        <x:v>20</x:v>
      </x:c>
    </x:row>
    <x:row r="11" ht="72" customHeight="1">
      <x:c r="A11" s="21" t="str">
        <x:v>E3 Information gain</x:v>
      </x:c>
      <x:c r="B11" s="21" t="str">
        <x:v>Cover every required decision boundary</x:v>
      </x:c>
      <x:c r="C11" s="21" t="str">
        <x:v>Each call supports screening, adjacent proof or configuration comparison</x:v>
      </x:c>
      <x:c r="D11" s="21" t="str">
        <x:v>One or two extra confirmations</x:v>
      </x:c>
      <x:c r="E11" s="21" t="str">
        <x:v>Blind large-grid scan</x:v>
      </x:c>
      <x:c r="F11" s="21" t="str">
        <x:v>5 calls</x:v>
      </x:c>
      <x:c r="G11" s="21" t="n">
        <x:v>20</x:v>
      </x:c>
    </x:row>
    <x:row r="12" ht="72" customHeight="1">
      <x:c r="A12" s="21" t="str">
        <x:v>E4 External basis</x:v>
      </x:c>
      <x:c r="B12" s="21" t="str">
        <x:v>Calculate multiplier/premium/index transparently outside tool</x:v>
      </x:c>
      <x:c r="C12" s="21" t="str">
        <x:v>Preserve raw tool facts and show separate formulas</x:v>
      </x:c>
      <x:c r="D12" s="21" t="str">
        <x:v>Correct result but unclear source</x:v>
      </x:c>
      <x:c r="E12" s="21" t="str">
        <x:v>Rewrite tool output</x:v>
      </x:c>
      <x:c r="F12" s="21" t="str">
        <x:v>Apply both criteria strictly; do not waive η=0.94 because it is close. The vendor premium is an external procurement add-on.</x:v>
      </x:c>
      <x:c r="G12" s="21" t="n">
        <x:v>20</x:v>
      </x:c>
    </x:row>
    <x:row r="13" ht="72" customHeight="1">
      <x:c r="A13" s="21" t="str">
        <x:v>E5 Convergence</x:v>
      </x:c>
      <x:c r="B13" s="21" t="str">
        <x:v>Stop when evidence is sufficient</x:v>
      </x:c>
      <x:c r="C13" s="21" t="str">
        <x:v>About 4–6 calls</x:v>
      </x:c>
      <x:c r="D13" s="21" t="str">
        <x:v>Minor redundancy</x:v>
      </x:c>
      <x:c r="E13" s="21" t="str">
        <x:v>Too few calls or excessive enumeration</x:v>
      </x:c>
      <x:c r="F13" s="21" t="str">
        <x:v>Timely stop</x:v>
      </x:c>
      <x:c r="G13" s="21" t="n">
        <x:v>20</x:v>
      </x:c>
    </x:row>
    <x:row r="15">
      <x:c r="F15" s="36" t="str">
        <x:v>Tool-efficiency total</x:v>
      </x:c>
      <x:c r="G15" s="36" t="n">
        <x:f>SUM(G9:G13)</x:f>
        <x:v>100</x:v>
      </x:c>
    </x:row>
  </x:sheetData>
  <x:mergeCells>
    <x:mergeCell ref="A1:G2"/>
    <x:mergeCell ref="A4:G6"/>
  </x:mergeCells>
  <x:pageMargins left="0.7" right="0.7" top="0.75" bottom="0.75" header="0.3" footer="0.3"/>
</x:worksheet>
</file>