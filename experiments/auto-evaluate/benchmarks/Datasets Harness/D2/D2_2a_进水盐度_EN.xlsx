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d953baedcd466a" /></Relationships>
</file>

<file path=xl/workbook.xml><?xml version="1.0" encoding="utf-8"?>
<x:workbook xmlns:x="http://schemas.openxmlformats.org/spreadsheetml/2006/main">
  <x:sheets>
    <x:sheet xmlns:r="http://schemas.openxmlformats.org/officeDocument/2006/relationships" name="Question" sheetId="1" r:id="Re20f5c1f0a954ddc"/>
    <x:sheet xmlns:r="http://schemas.openxmlformats.org/officeDocument/2006/relationships" name="Gold_Answer" sheetId="2" r:id="R2f037edf76b94c66"/>
    <x:sheet xmlns:r="http://schemas.openxmlformats.org/officeDocument/2006/relationships" name="Trajectory_Rubric" sheetId="3" r:id="Rb8bc6d884b1f46f2"/>
    <x:sheet xmlns:r="http://schemas.openxmlformats.org/officeDocument/2006/relationships" name="Tool_Efficiency" sheetId="4" r:id="R52098a77b35740c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0">
    <x:font>
      <x:sz val="11"/>
      <x:name val="Carlito"/>
    </x:font>
    <x:font>
      <x:b/>
      <x:sz val="15"/>
      <x:color rgb="FFFFFFFF"/>
      <x:name val="Carlito"/>
    </x:font>
    <x:font>
      <x:b/>
      <x:sz val="10"/>
      <x:color rgb="FF244062"/>
      <x:name val="Carlito"/>
    </x:font>
    <x:font>
      <x:b/>
      <x:sz val="11"/>
      <x:color rgb="FF1F4E78"/>
      <x:name val="Carlito"/>
    </x:font>
    <x:font>
      <x:b/>
      <x:sz val="11"/>
      <x:color rgb="FFFFFFFF"/>
      <x:name val="Carlito"/>
    </x:font>
    <x:font>
      <x:sz val="10"/>
      <x:color rgb="FF1F1F1F"/>
      <x:name val="Carlito"/>
    </x:font>
    <x:font>
      <x:sz val="10"/>
      <x:name val="Carlito"/>
    </x:font>
    <x:font>
      <x:b/>
      <x:sz val="10"/>
      <x:color rgb="FF7F6000"/>
      <x:name val="Carlito"/>
    </x:font>
    <x:font>
      <x:b/>
      <x:sz val="10"/>
      <x:color rgb="FF375623"/>
      <x:name val="Carlito"/>
    </x:font>
    <x:font>
      <x:b/>
      <x:sz val="11"/>
      <x:name val="Carlito"/>
    </x:font>
  </x:fonts>
  <x:fills count="8">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4">
    <x:border/>
    <x:border/>
    <x:border>
      <x:bottom/>
    </x:border>
    <x:border>
      <x:bottom/>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3" xfId="0" applyNumberFormat="1" applyFont="1" applyFill="1" applyBorder="1"/>
    <x:xf numFmtId="0" fontId="4" fillId="5" borderId="3" xfId="0" applyNumberFormat="1" applyFont="1" applyFill="1" applyBorder="1" applyAlignment="1">
      <x:alignment wrapText="1"/>
    </x:xf>
    <x:xf numFmtId="0" fontId="4" fillId="5" borderId="3" xfId="0" applyNumberFormat="1" applyFont="1" applyFill="1" applyBorder="1" applyAlignment="1">
      <x:alignment horizont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0" fillId="7" borderId="1" xfId="0" applyNumberFormat="1" applyFont="1" applyFill="1" applyBorder="1"/>
    <x:xf numFmtId="0" fontId="8" fillId="7" borderId="1" xfId="0" applyNumberFormat="1" applyFont="1" applyFill="1" applyBorder="1"/>
    <x:xf numFmtId="0" fontId="8" fillId="7" borderId="1" xfId="0" applyNumberFormat="1" applyFont="1" applyFill="1" applyBorder="1" applyAlignment="1">
      <x:alignment wrapText="1"/>
    </x:xf>
    <x:xf numFmtId="200" fontId="5" fillId="0" borderId="0"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0" fontId="8" fillId="7" borderId="0" xfId="0" applyNumberFormat="1" applyFont="1" applyFill="1" applyBorder="1" applyAlignment="1">
      <x:alignment vertical="bottom" wrapText="1"/>
    </x:xf>
    <x:xf numFmtId="0" fontId="8" fillId="7" borderId="1" xfId="0" applyNumberFormat="1" applyFont="1" applyFill="1" applyBorder="1" applyAlignment="1">
      <x:alignment vertical="bottom"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9" fillId="7" borderId="0" xfId="0" applyNumberFormat="1" applyFont="1" applyFill="1" applyBorder="1"/>
    <x:xf numFmtId="0" fontId="9" fillId="7" borderId="1" xfId="0" applyNumberFormat="1" applyFont="1" applyFill="1" applyBorder="1"/>
  </x:cellXfs>
  <x:cellStyles count="1">
    <x:cellStyle name="Normal" xfId="0"/>
  </x:cellStyles>
  <x:dxfs count="6">
    <x:dxf>
      <x:font>
        <x:color rgb="FF375623"/>
      </x:font>
      <x:fill>
        <x:patternFill patternType="solid">
          <x:bgColor rgb="FFE2F0D9"/>
        </x:patternFill>
      </x:fill>
    </x:dxf>
    <x:dxf>
      <x:font>
        <x:color rgb="FF9C0006"/>
      </x:font>
      <x:fill>
        <x:patternFill patternType="solid">
          <x:bgColor rgb="FFFCE4D6"/>
        </x:patternFill>
      </x:fill>
    </x:dxf>
    <x:dxf>
      <x:font>
        <x:color rgb="FF375623"/>
      </x:font>
      <x:fill>
        <x:patternFill patternType="solid">
          <x:bgColor rgb="FFE2F0D9"/>
        </x:patternFill>
      </x:fill>
    </x:dxf>
    <x:dxf>
      <x:font>
        <x:color rgb="FF9C0006"/>
      </x:font>
      <x:fill>
        <x:patternFill patternType="solid">
          <x:bgColor rgb="FFFCE4D6"/>
        </x:patternFill>
      </x:fill>
    </x:dxf>
    <x:dxf>
      <x:font>
        <x:color rgb="FF375623"/>
      </x:font>
      <x:fill>
        <x:patternFill patternType="solid">
          <x:bgColor rgb="FFE2F0D9"/>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01fc4095814e00" /><Relationship Type="http://schemas.openxmlformats.org/officeDocument/2006/relationships/theme" Target="/xl/theme/theme1.xml" Id="Ra712a813fcdb49cb" /><Relationship Type="http://schemas.openxmlformats.org/officeDocument/2006/relationships/sharedStrings" Target="/xl/sharedStrings.xml" Id="R05bfe2afb03b4a45" /><Relationship Type="http://schemas.openxmlformats.org/officeDocument/2006/relationships/worksheet" Target="/xl/worksheets/sheet1.xml" Id="Re20f5c1f0a954ddc" /><Relationship Type="http://schemas.openxmlformats.org/officeDocument/2006/relationships/worksheet" Target="/xl/worksheets/sheet2.xml" Id="R2f037edf76b94c66" /><Relationship Type="http://schemas.openxmlformats.org/officeDocument/2006/relationships/worksheet" Target="/xl/worksheets/sheet3.xml" Id="Rb8bc6d884b1f46f2" /><Relationship Type="http://schemas.openxmlformats.org/officeDocument/2006/relationships/worksheet" Target="/xl/worksheets/sheet4.xml" Id="R52098a77b35740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1" hidden="0" customWidth="1"/>
    <x:col min="3" max="3" width="16" hidden="0" customWidth="1"/>
    <x:col min="4" max="4" width="24" hidden="0" customWidth="1"/>
    <x:col min="5" max="5" width="4" hidden="0" customWidth="1"/>
    <x:col min="6" max="6" width="24" hidden="0" customWidth="1"/>
    <x:col min="7" max="7" width="25" hidden="0" customWidth="1"/>
    <x:col min="8" max="8" width="25" hidden="0" customWidth="1"/>
  </x:cols>
  <x:sheetData>
    <x:row r="1" ht="34" customHeight="1">
      <x:c r="A1" s="6" t="str">
        <x:v>D2-2a: Operating Response to Increased SWRO Feed Salinity</x:v>
      </x:c>
      <x:c r="B1" s="6" t="str">
        <x:v>D2-2a: Operating Response to Increased SWRO Feed Salinity</x:v>
      </x:c>
      <x:c r="C1" s="6" t="str">
        <x:v>D2-2a: Operating Response to Increased SWRO Feed Salinity</x:v>
      </x:c>
      <x:c r="D1" s="6" t="str">
        <x:v>D2-2a: Operating Response to Increased SWRO Feed Salinity</x:v>
      </x:c>
      <x:c r="E1" s="6" t="str">
        <x:v>D2-2a: Operating Response to Increased SWRO Feed Salinity</x:v>
      </x:c>
      <x:c r="F1" s="6" t="str">
        <x:v>D2-2a: Operating Response to Increased SWRO Feed Salinity</x:v>
      </x:c>
      <x:c r="G1" s="6" t="str">
        <x:v>D2-2a: Operating Response to Increased SWRO Feed Salinity</x:v>
      </x:c>
      <x:c r="H1" s="6" t="str">
        <x:v>D2-2a: Operating Response to Increased SWRO Feed Salinity</x:v>
      </x:c>
    </x:row>
    <x:row r="4">
      <x:c r="A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B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C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D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E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F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G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H4"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row>
    <x:row r="5">
      <x:c r="A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B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C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D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E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F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G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c r="H5" s="15" t="str">
        <x:v>An operating SWRO train is stable under normal seawater conditions. The membrane model, membrane area, and installed equipment remain unchanged. Because of seawater salinity variability, the WaterTAP-equivalent NaCl mass fraction may increase from 0.030 to 0.033 and, under an extreme event, to 0.035. Diagnose the impact on production and permeate quality and develop a staged operating response. Adjust pressure first; if all constraints still cannot be met within the allowable pressure limit, feed flow may then be increased.</x:v>
      </x:c>
    </x:row>
    <x:row r="8">
      <x:c r="A8" s="23" t="str">
        <x:v>Fixed System Parameters and Normal Operating Point</x:v>
      </x:c>
      <x:c r="B8" s="23" t="str">
        <x:v>Fixed System Parameters and Normal Operating Point</x:v>
      </x:c>
      <x:c r="C8" s="23" t="str">
        <x:v>Fixed System Parameters and Normal Operating Point</x:v>
      </x:c>
      <x:c r="D8" s="23" t="str">
        <x:v>Fixed System Parameters and Normal Operating Point</x:v>
      </x:c>
      <x:c r="F8" s="23" t="str">
        <x:v>Disturbance Scenarios, Constraints, and Control Ranges</x:v>
      </x:c>
      <x:c r="G8" s="23" t="str">
        <x:v>Disturbance Scenarios, Constraints, and Control Ranges</x:v>
      </x:c>
      <x:c r="H8" s="23" t="str">
        <x:v>Disturbance Scenarios, Constraints, and Control Ranges</x:v>
      </x:c>
    </x:row>
    <x:row r="9">
      <x:c r="A9" s="33" t="str">
        <x:v>Category</x:v>
      </x:c>
      <x:c r="B9" s="33" t="str">
        <x:v>Parameter</x:v>
      </x:c>
      <x:c r="C9" s="33" t="str">
        <x:v>Value</x:v>
      </x:c>
      <x:c r="D9" s="33" t="str">
        <x:v>Unit / Note</x:v>
      </x:c>
      <x:c r="F9" s="33" t="str">
        <x:v>Item</x:v>
      </x:c>
      <x:c r="G9" s="33" t="str">
        <x:v>Requirement / Value</x:v>
      </x:c>
      <x:c r="H9" s="33" t="str">
        <x:v>Note</x:v>
      </x:c>
    </x:row>
    <x:row r="10">
      <x:c r="A10" s="42" t="str">
        <x:v>Normal feed</x:v>
      </x:c>
      <x:c r="B10" s="42" t="str">
        <x:v>NaCl mass fraction</x:v>
      </x:c>
      <x:c r="C10" s="42" t="n">
        <x:v>0.03</x:v>
      </x:c>
      <x:c r="D10" s="42" t="str">
        <x:v>WaterTAP equivalent</x:v>
      </x:c>
      <x:c r="F10" s="42" t="str">
        <x:v>Moderate salinity disturbance</x:v>
      </x:c>
      <x:c r="G10" s="42" t="n">
        <x:v>0.033</x:v>
      </x:c>
      <x:c r="H10" s="42" t="str">
        <x:v>All other feed conditions unchanged</x:v>
      </x:c>
    </x:row>
    <x:row r="11">
      <x:c r="A11" s="42" t="str">
        <x:v>Normal setpoint</x:v>
      </x:c>
      <x:c r="B11" s="42" t="str">
        <x:v>Feed pressure</x:v>
      </x:c>
      <x:c r="C11" s="42" t="n">
        <x:v>52</x:v>
      </x:c>
      <x:c r="D11" s="42" t="str">
        <x:v>bar</x:v>
      </x:c>
      <x:c r="F11" s="42" t="str">
        <x:v>Severe salinity disturbance</x:v>
      </x:c>
      <x:c r="G11" s="42" t="n">
        <x:v>0.035</x:v>
      </x:c>
      <x:c r="H11" s="42" t="str">
        <x:v>Extreme salinity condition</x:v>
      </x:c>
    </x:row>
    <x:row r="12">
      <x:c r="A12" s="42" t="str">
        <x:v>Normal setpoint</x:v>
      </x:c>
      <x:c r="B12" s="42" t="str">
        <x:v>Feed mass flow</x:v>
      </x:c>
      <x:c r="C12" s="42" t="n">
        <x:v>4.073</x:v>
      </x:c>
      <x:c r="D12" s="42" t="str">
        <x:v>kg/s</x:v>
      </x:c>
      <x:c r="F12" s="42" t="str">
        <x:v>Permeate flow</x:v>
      </x:c>
      <x:c r="G12" s="42" t="str">
        <x:v>≥ 6.30 m³/h</x:v>
      </x:c>
      <x:c r="H12" s="42" t="str">
        <x:v>Production requirement</x:v>
      </x:c>
    </x:row>
    <x:row r="13">
      <x:c r="A13" s="42" t="str">
        <x:v>Feed</x:v>
      </x:c>
      <x:c r="B13" s="42" t="str">
        <x:v>Temperature</x:v>
      </x:c>
      <x:c r="C13" s="42" t="n">
        <x:v>32</x:v>
      </x:c>
      <x:c r="D13" s="42" t="str">
        <x:v>°C, fixed</x:v>
      </x:c>
      <x:c r="F13" s="42" t="str">
        <x:v>Recovery</x:v>
      </x:c>
      <x:c r="G13" s="42" t="str">
        <x:v>≤ 46.0%</x:v>
      </x:c>
      <x:c r="H13" s="42" t="str">
        <x:v>Operating limit</x:v>
      </x:c>
    </x:row>
    <x:row r="14">
      <x:c r="A14" s="42" t="str">
        <x:v>Membrane</x:v>
      </x:c>
      <x:c r="B14" s="42" t="str">
        <x:v>Effective membrane area</x:v>
      </x:c>
      <x:c r="C14" s="42" t="n">
        <x:v>400</x:v>
      </x:c>
      <x:c r="D14" s="42" t="str">
        <x:v>m², fixed</x:v>
      </x:c>
      <x:c r="F14" s="42" t="str">
        <x:v>Flux</x:v>
      </x:c>
      <x:c r="G14" s="42" t="str">
        <x:v>≤ 18.0 LMH</x:v>
      </x:c>
      <x:c r="H14" s="42" t="str">
        <x:v>Operating limit</x:v>
      </x:c>
    </x:row>
    <x:row r="15">
      <x:c r="A15" s="42" t="str">
        <x:v>Membrane</x:v>
      </x:c>
      <x:c r="B15" s="42" t="str">
        <x:v>A_comp</x:v>
      </x:c>
      <x:c r="C15" s="42" t="n">
        <x:v>4.2e-12</x:v>
      </x:c>
      <x:c r="D15" s="42" t="str">
        <x:v>m/s/Pa, fixed</x:v>
      </x:c>
      <x:c r="F15" s="42" t="str">
        <x:v>Salt rejection</x:v>
      </x:c>
      <x:c r="G15" s="42" t="str">
        <x:v>≥ 98.7%</x:v>
      </x:c>
      <x:c r="H15" s="42" t="str">
        <x:v>Water-quality requirement</x:v>
      </x:c>
    </x:row>
    <x:row r="16">
      <x:c r="A16" s="42" t="str">
        <x:v>Membrane</x:v>
      </x:c>
      <x:c r="B16" s="42" t="str">
        <x:v>B_comp</x:v>
      </x:c>
      <x:c r="C16" s="42" t="n">
        <x:v>3.4e-8</x:v>
      </x:c>
      <x:c r="D16" s="42" t="str">
        <x:v>m/s, fixed</x:v>
      </x:c>
      <x:c r="F16" s="42" t="str">
        <x:v>Permeate NaCl</x:v>
      </x:c>
      <x:c r="G16" s="42" t="str">
        <x:v>≤ 400 mg/L</x:v>
      </x:c>
      <x:c r="H16" s="42" t="str">
        <x:v>Water-quality requirement</x:v>
      </x:c>
    </x:row>
    <x:row r="17">
      <x:c r="A17" s="42" t="str">
        <x:v>Hydraulics</x:v>
      </x:c>
      <x:c r="B17" s="42" t="str">
        <x:v>Permeate pressure</x:v>
      </x:c>
      <x:c r="C17" s="42" t="n">
        <x:v>1.013</x:v>
      </x:c>
      <x:c r="D17" s="42" t="str">
        <x:v>bar</x:v>
      </x:c>
      <x:c r="F17" s="42" t="str">
        <x:v>Pressure range</x:v>
      </x:c>
      <x:c r="G17" s="42" t="str">
        <x:v>52–58 bar</x:v>
      </x:c>
      <x:c r="H17" s="42" t="str">
        <x:v>Primary control; refine at ~0.25 bar</x:v>
      </x:c>
    </x:row>
    <x:row r="18">
      <x:c r="A18" s="42" t="str">
        <x:v>Hydraulics</x:v>
      </x:c>
      <x:c r="B18" s="42" t="str">
        <x:v>Pressure drop</x:v>
      </x:c>
      <x:c r="C18" s="42" t="n">
        <x:v>0.653</x:v>
      </x:c>
      <x:c r="D18" s="42" t="str">
        <x:v>bar</x:v>
      </x:c>
      <x:c r="F18" s="42" t="str">
        <x:v>Feed-flow range</x:v>
      </x:c>
      <x:c r="G18" s="42" t="str">
        <x:v>4.073–4.50 kg/s</x:v>
      </x:c>
      <x:c r="H18" s="42" t="str">
        <x:v>Use only if pressure-only response is infeasible</x:v>
      </x:c>
    </x:row>
    <x:row r="19">
      <x:c r="A19" s="42" t="str">
        <x:v>Channel</x:v>
      </x:c>
      <x:c r="B19" s="42" t="str">
        <x:v>Channel height</x:v>
      </x:c>
      <x:c r="C19" s="42" t="n">
        <x:v>0.002</x:v>
      </x:c>
      <x:c r="D19" s="42" t="str">
        <x:v>m</x:v>
      </x:c>
    </x:row>
    <x:row r="20">
      <x:c r="A20" s="42" t="str">
        <x:v>Channel</x:v>
      </x:c>
      <x:c r="B20" s="42" t="str">
        <x:v>Spacer porosity</x:v>
      </x:c>
      <x:c r="C20" s="42" t="n">
        <x:v>0.75</x:v>
      </x:c>
      <x:c r="D20" s="42" t="str">
        <x:v>-</x:v>
      </x:c>
      <x:c r="F20" s="23" t="str">
        <x:v>Required Tasks</x:v>
      </x:c>
      <x:c r="G20" s="23" t="str">
        <x:v>Required Tasks</x:v>
      </x:c>
      <x:c r="H20" s="23" t="str">
        <x:v>Required Tasks</x:v>
      </x:c>
    </x:row>
    <x:row r="21" ht="42" customHeight="1">
      <x:c r="A21" s="42" t="str">
        <x:v>Channel</x:v>
      </x:c>
      <x:c r="B21" s="42" t="str">
        <x:v>Module length</x:v>
      </x:c>
      <x:c r="C21" s="42" t="n">
        <x:v>20</x:v>
      </x:c>
      <x:c r="D21" s="42" t="str">
        <x:v>m</x:v>
      </x:c>
      <x:c r="F21" s="48" t="str">
        <x:v>1. Identify this as a feed-disturbance response. The system itself has not changed; first compare performance before and after the salinity disturbance rather than replacing the membrane or redesigning membrane area.</x:v>
      </x:c>
      <x:c r="G21" s="48" t="str">
        <x:v>1. Identify this as a feed-disturbance response. The system itself has not changed; first compare performance before and after the salinity disturbance rather than replacing the membrane or redesigning membrane area.</x:v>
      </x:c>
      <x:c r="H21" s="48" t="str">
        <x:v>1. Identify this as a feed-disturbance response. The system itself has not changed; first compare performance before and after the salinity disturbance rather than replacing the membrane or redesigning membrane area.</x:v>
      </x:c>
    </x:row>
    <x:row r="22" ht="42" customHeight="1">
      <x:c r="A22" s="42" t="str">
        <x:v>Model</x:v>
      </x:c>
      <x:c r="B22" s="42" t="str">
        <x:v>Concentration polarization / mass-transfer coefficient</x:v>
      </x:c>
      <x:c r="C22" s="42" t="str">
        <x:v>calculated</x:v>
      </x:c>
      <x:c r="D22" s="42" t="str">
        <x:v>WaterTAP calculated</x:v>
      </x:c>
      <x:c r="F22" s="48" t="str">
        <x:v>2. Use simulate_ro to establish the normal 0.030 / 52 bar / 4.073 kg/s baseline and then evaluate the 0.033 disturbance at the same setpoint.</x:v>
      </x:c>
      <x:c r="G22" s="48" t="str">
        <x:v>2. Use simulate_ro to establish the normal 0.030 / 52 bar / 4.073 kg/s baseline and then evaluate the 0.033 disturbance at the same setpoint.</x:v>
      </x:c>
      <x:c r="H22" s="48" t="str">
        <x:v>2. Use simulate_ro to establish the normal 0.030 / 52 bar / 4.073 kg/s baseline and then evaluate the 0.033 disturbance at the same setpoint.</x:v>
      </x:c>
    </x:row>
    <x:row r="23" ht="42" customHeight="1">
      <x:c r="F23" s="48" t="str">
        <x:v>3. For the 0.033 moderate disturbance, adjust pressure only and use multiple simulate_ro calls to identify the minimum pressure satisfying all constraints.</x:v>
      </x:c>
      <x:c r="G23" s="48" t="str">
        <x:v>3. For the 0.033 moderate disturbance, adjust pressure only and use multiple simulate_ro calls to identify the minimum pressure satisfying all constraints.</x:v>
      </x:c>
      <x:c r="H23" s="48" t="str">
        <x:v>3. For the 0.033 moderate disturbance, adjust pressure only and use multiple simulate_ro calls to identify the minimum pressure satisfying all constraints.</x:v>
      </x:c>
    </x:row>
    <x:row r="24" ht="42" customHeight="1">
      <x:c r="F24" s="48" t="str">
        <x:v>4. Increase salinity further to 0.035. First test whether the moderate-disturbance pressure strategy still works; then determine whether pressure-only control can satisfy all constraints within the 58 bar upper limit.</x:v>
      </x:c>
      <x:c r="G24" s="48" t="str">
        <x:v>4. Increase salinity further to 0.035. First test whether the moderate-disturbance pressure strategy still works; then determine whether pressure-only control can satisfy all constraints within the 58 bar upper limit.</x:v>
      </x:c>
      <x:c r="H24" s="48" t="str">
        <x:v>4. Increase salinity further to 0.035. First test whether the moderate-disturbance pressure strategy still works; then determine whether pressure-only control can satisfy all constraints within the 58 bar upper limit.</x:v>
      </x:c>
    </x:row>
    <x:row r="25" ht="42" customHeight="1">
      <x:c r="A25"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B25"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C25"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D25"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F25" s="48" t="str">
        <x:v>5. If pressure-only control fails, increase feed flow to 4.50 kg/s and use multiple tool calls to determine the minimum pressure satisfying all constraints.</x:v>
      </x:c>
      <x:c r="G25" s="48" t="str">
        <x:v>5. If pressure-only control fails, increase feed flow to 4.50 kg/s and use multiple tool calls to determine the minimum pressure satisfying all constraints.</x:v>
      </x:c>
      <x:c r="H25" s="48" t="str">
        <x:v>5. If pressure-only control fails, increase feed flow to 4.50 kg/s and use multiple tool calls to determine the minimum pressure satisfying all constraints.</x:v>
      </x:c>
    </x:row>
    <x:row r="26" ht="42" customHeight="1">
      <x:c r="A26"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B26"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C26"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D26"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F26" s="48" t="str">
        <x:v>6. Provide staged Pressure–Flow recommendations for normal, moderate, and severe salinity conditions.</x:v>
      </x:c>
      <x:c r="G26" s="48" t="str">
        <x:v>6. Provide staged Pressure–Flow recommendations for normal, moderate, and severe salinity conditions.</x:v>
      </x:c>
      <x:c r="H26" s="48" t="str">
        <x:v>6. Provide staged Pressure–Flow recommendations for normal, moderate, and severe salinity conditions.</x:v>
      </x:c>
    </x:row>
    <x:row r="27">
      <x:c r="A27"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B27"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C27"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D27"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row>
    <x:row r="28">
      <x:c r="A28"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B28"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C28"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D28"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row>
    <x:row r="29">
      <x:c r="A29"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B29"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C29"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c r="D29" s="55" t="str">
        <x:v>Task boundary: the trigger for 2a is feed salinity disturbance. The first action must therefore observe how performance changes at the same setpoint before choosing a response. This differs from 2b, where feed conditions are normal and the abnormality originates from the current Pressure–Flow setpoint itself.</x:v>
      </x:c>
    </x:row>
  </x:sheetData>
  <x:mergeCells>
    <x:mergeCell ref="A1:H1"/>
    <x:mergeCell ref="A4:H5"/>
    <x:mergeCell ref="A8:D8"/>
    <x:mergeCell ref="F8:H8"/>
    <x:mergeCell ref="F20:H20"/>
    <x:mergeCell ref="F21:H21"/>
    <x:mergeCell ref="F22:H22"/>
    <x:mergeCell ref="F23:H23"/>
    <x:mergeCell ref="F24:H24"/>
    <x:mergeCell ref="F25:H25"/>
    <x:mergeCell ref="F26:H26"/>
    <x:mergeCell ref="A25:D29"/>
  </x:mergeCells>
  <x:pageMargins left="0.7" right="0.7" top="0.75" bottom="0.75" header="0.3" footer="0.3"/>
</x:worksheet>
</file>

<file path=xl/worksheets/sheet2.xml><?xml version="1.0" encoding="utf-8"?>
<x:worksheet xmlns:x="http://schemas.openxmlformats.org/spreadsheetml/2006/main">
  <x:sheetFormatPr defaultRowHeight="15"/>
  <x:cols>
    <x:col min="1" max="1" width="19" hidden="0" customWidth="1"/>
    <x:col min="2" max="2" width="12" hidden="0" customWidth="1"/>
    <x:col min="3" max="3" width="13" hidden="0" customWidth="1"/>
    <x:col min="4" max="4" width="12" hidden="0" customWidth="1"/>
    <x:col min="5" max="5" width="14" hidden="0" customWidth="1"/>
    <x:col min="6" max="6" width="13" hidden="0" customWidth="1"/>
    <x:col min="7" max="7" width="13" hidden="0" customWidth="1"/>
    <x:col min="8" max="8" width="13" hidden="0" customWidth="1"/>
    <x:col min="9" max="9" width="13" hidden="0" customWidth="1"/>
    <x:col min="10" max="10" width="14" hidden="0" customWidth="1"/>
    <x:col min="11" max="11" width="12" hidden="0" customWidth="1"/>
    <x:col min="12" max="12" width="14" hidden="0" customWidth="1"/>
    <x:col min="13" max="13" width="13" hidden="0" customWidth="1"/>
    <x:col min="14" max="14" width="13" hidden="0" customWidth="1"/>
  </x:cols>
  <x:sheetData>
    <x:row r="1" ht="34" customHeight="1">
      <x:c r="A1" s="6" t="str">
        <x:v>D2-2a: Gold Answer — Salinity-Disturbance Diagnosis and Staged Operating Response</x:v>
      </x:c>
      <x:c r="B1" s="6" t="str">
        <x:v>D2-2a: Gold Answer — Salinity-Disturbance Diagnosis and Staged Operating Response</x:v>
      </x:c>
      <x:c r="C1" s="6" t="str">
        <x:v>D2-2a: Gold Answer — Salinity-Disturbance Diagnosis and Staged Operating Response</x:v>
      </x:c>
      <x:c r="D1" s="6" t="str">
        <x:v>D2-2a: Gold Answer — Salinity-Disturbance Diagnosis and Staged Operating Response</x:v>
      </x:c>
      <x:c r="E1" s="6" t="str">
        <x:v>D2-2a: Gold Answer — Salinity-Disturbance Diagnosis and Staged Operating Response</x:v>
      </x:c>
      <x:c r="F1" s="6" t="str">
        <x:v>D2-2a: Gold Answer — Salinity-Disturbance Diagnosis and Staged Operating Response</x:v>
      </x:c>
      <x:c r="G1" s="6" t="str">
        <x:v>D2-2a: Gold Answer — Salinity-Disturbance Diagnosis and Staged Operating Response</x:v>
      </x:c>
      <x:c r="H1" s="6" t="str">
        <x:v>D2-2a: Gold Answer — Salinity-Disturbance Diagnosis and Staged Operating Response</x:v>
      </x:c>
      <x:c r="I1" s="6" t="str">
        <x:v>D2-2a: Gold Answer — Salinity-Disturbance Diagnosis and Staged Operating Response</x:v>
      </x:c>
      <x:c r="J1" s="6" t="str">
        <x:v>D2-2a: Gold Answer — Salinity-Disturbance Diagnosis and Staged Operating Response</x:v>
      </x:c>
      <x:c r="K1" s="6" t="str">
        <x:v>D2-2a: Gold Answer — Salinity-Disturbance Diagnosis and Staged Operating Response</x:v>
      </x:c>
      <x:c r="L1" s="6" t="str">
        <x:v>D2-2a: Gold Answer — Salinity-Disturbance Diagnosis and Staged Operating Response</x:v>
      </x:c>
      <x:c r="M1" s="6" t="str">
        <x:v>D2-2a: Gold Answer — Salinity-Disturbance Diagnosis and Staged Operating Response</x:v>
      </x:c>
    </x:row>
    <x:row r="4">
      <x:c r="A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B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C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D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E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F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G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H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I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J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K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L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c r="M4" s="62" t="str">
        <x:v>Reference efficient trajectory: ~8 simulate_ro calls: normal baseline → 0.033 at unchanged setpoint → 54/54.5 bar to recover the moderate case → test 0.035 using the previous strategy → 58 bar to prove the pressure-only upper limit still fails permeate quality → increase feed flow and use 56.5/56.75 bar to locate the feasible boundary.</x:v>
      </x:c>
    </x:row>
    <x:row r="7">
      <x:c r="A7" s="23" t="str">
        <x:v>Human View: Continuous Reasoning Trajectory</x:v>
      </x:c>
      <x:c r="B7" s="23" t="str">
        <x:v>Human View: Continuous Reasoning Trajectory</x:v>
      </x:c>
      <x:c r="C7" s="23" t="str">
        <x:v>Human View: Continuous Reasoning Trajectory</x:v>
      </x:c>
      <x:c r="D7" s="23" t="str">
        <x:v>Human View: Continuous Reasoning Trajectory</x:v>
      </x:c>
      <x:c r="E7" s="23" t="str">
        <x:v>Human View: Continuous Reasoning Trajectory</x:v>
      </x:c>
      <x:c r="F7" s="23" t="str">
        <x:v>Human View: Continuous Reasoning Trajectory</x:v>
      </x:c>
      <x:c r="G7" s="23" t="str">
        <x:v>Human View: Continuous Reasoning Trajectory</x:v>
      </x:c>
      <x:c r="H7" s="23" t="str">
        <x:v>Human View: Continuous Reasoning Trajectory</x:v>
      </x:c>
      <x:c r="I7" s="23" t="str">
        <x:v>Human View: Continuous Reasoning Trajectory</x:v>
      </x:c>
      <x:c r="J7" s="23" t="str">
        <x:v>Human View: Continuous Reasoning Trajectory</x:v>
      </x:c>
      <x:c r="K7" s="23" t="str">
        <x:v>Human View: Continuous Reasoning Trajectory</x:v>
      </x:c>
      <x:c r="L7" s="23" t="str">
        <x:v>Human View: Continuous Reasoning Trajectory</x:v>
      </x:c>
      <x:c r="M7" s="23" t="str">
        <x:v>Human View: Continuous Reasoning Trajectory</x:v>
      </x:c>
    </x:row>
    <x:row r="8">
      <x:c r="A8" s="33" t="str">
        <x:v>Step</x:v>
      </x:c>
      <x:c r="B8" s="33" t="str">
        <x:v>What the engineer does</x:v>
      </x:c>
      <x:c r="C8" s="33" t="str">
        <x:v>Inputs</x:v>
      </x:c>
      <x:c r="D8" s="33" t="str">
        <x:v>Tool call / action</x:v>
      </x:c>
      <x:c r="E8" s="33" t="str">
        <x:v>Key output</x:v>
      </x:c>
      <x:c r="F8" s="33" t="str">
        <x:v>How it informs the next step</x:v>
      </x:c>
      <x:c r="G8" s="33" t="str">
        <x:v>Primary rubric</x:v>
      </x:c>
    </x:row>
    <x:row r="9" ht="54" customHeight="1">
      <x:c r="A9" s="42" t="n">
        <x:v>1</x:v>
      </x:c>
      <x:c r="B9" s="42" t="str">
        <x:v>Establish the normal operating baseline</x:v>
      </x:c>
      <x:c r="C9" s="42" t="str">
        <x:v>NaCl 0.030; 52 bar; 4.073 kg/s</x:v>
      </x:c>
      <x:c r="D9" s="42" t="str">
        <x:v>simulate_ro #1</x:v>
      </x:c>
      <x:c r="E9" s="42" t="str">
        <x:v>Qp≈6.594 m³/h; Recovery≈45.98%; Flux≈16.48; NaCl≈356.7 mg/L; all constraints pass</x:v>
      </x:c>
      <x:c r="F9" s="42" t="str">
        <x:v>Reference for all disturbance comparisons</x:v>
      </x:c>
      <x:c r="G9" s="42" t="str">
        <x:v>First tool call</x:v>
      </x:c>
    </x:row>
    <x:row r="10" ht="54" customHeight="1">
      <x:c r="A10" s="42" t="n">
        <x:v>2</x:v>
      </x:c>
      <x:c r="B10" s="42" t="str">
        <x:v>Keep the setpoint unchanged and increase salinity only</x:v>
      </x:c>
      <x:c r="C10" s="42" t="str">
        <x:v>NaCl 0.033; 52 bar; 4.073 kg/s</x:v>
      </x:c>
      <x:c r="D10" s="42" t="str">
        <x:v>simulate_ro #2</x:v>
      </x:c>
      <x:c r="E10" s="42" t="str">
        <x:v>Qp falls to ≈5.855 and NaCl rises to ≈413.8 mg/L; production and quality both fail</x:v>
      </x:c>
      <x:c r="F10" s="42" t="str">
        <x:v>Confirms a feed-salinity disturbance requiring compensation</x:v>
      </x:c>
      <x:c r="G10" s="42" t="str">
        <x:v>Diagnosis / multi-run comparison</x:v>
      </x:c>
    </x:row>
    <x:row r="11" ht="54" customHeight="1">
      <x:c r="A11" s="42" t="n">
        <x:v>3</x:v>
      </x:c>
      <x:c r="B11" s="42" t="str">
        <x:v>Use pressure first for the moderate disturbance</x:v>
      </x:c>
      <x:c r="C11" s="42" t="str">
        <x:v>0.033; 54→54.5 bar; flow fixed</x:v>
      </x:c>
      <x:c r="D11" s="42" t="str">
        <x:v>simulate_ro #3–#4</x:v>
      </x:c>
      <x:c r="E11" s="42" t="str">
        <x:v>54 bar still gives Qp≈6.223 and NaCl≈401.8; at 54.5 bar Qp≈6.313 and NaCl≈399.1, all constraints pass</x:v>
      </x:c>
      <x:c r="F11" s="42" t="str">
        <x:v>Recommend 54.5 bar for the moderate case; no flow change needed</x:v>
      </x:c>
      <x:c r="G11" s="42" t="str">
        <x:v>Planning / multi-run comparison</x:v>
      </x:c>
    </x:row>
    <x:row r="12" ht="54" customHeight="1">
      <x:c r="A12" s="42" t="n">
        <x:v>4</x:v>
      </x:c>
      <x:c r="B12" s="42" t="str">
        <x:v>Test the more severe 0.035 disturbance</x:v>
      </x:c>
      <x:c r="C12" s="42" t="str">
        <x:v>0.035; keep 54.5 bar / 4.073 kg/s</x:v>
      </x:c>
      <x:c r="D12" s="42" t="str">
        <x:v>simulate_ro #5</x:v>
      </x:c>
      <x:c r="E12" s="42" t="str">
        <x:v>Qp≈5.839 and NaCl≈439.2; clearly fails</x:v>
      </x:c>
      <x:c r="F12" s="42" t="str">
        <x:v>The moderate strategy does not cover the severe case</x:v>
      </x:c>
      <x:c r="G12" s="42" t="str">
        <x:v>Multi-run comparison</x:v>
      </x:c>
    </x:row>
    <x:row r="13" ht="54" customHeight="1">
      <x:c r="A13" s="42" t="n">
        <x:v>5</x:v>
      </x:c>
      <x:c r="B13" s="42" t="str">
        <x:v>Test whether pressure-only control can work</x:v>
      </x:c>
      <x:c r="C13" s="42" t="str">
        <x:v>0.035; 58 bar; 4.073 kg/s</x:v>
      </x:c>
      <x:c r="D13" s="42" t="str">
        <x:v>simulate_ro #6</x:v>
      </x:c>
      <x:c r="E13" s="42" t="str">
        <x:v>Qp≈6.453 and Recovery≈45.17% pass, but NaCl≈418.6 mg/L still fails</x:v>
      </x:c>
      <x:c r="F13" s="42" t="str">
        <x:v>Pressure-only control is infeasible within the pressure limit; add feed-flow control</x:v>
      </x:c>
      <x:c r="G13" s="42" t="str">
        <x:v>Planning / multi-run comparison</x:v>
      </x:c>
    </x:row>
    <x:row r="14" ht="54" customHeight="1">
      <x:c r="A14" s="42" t="n">
        <x:v>6</x:v>
      </x:c>
      <x:c r="B14" s="42" t="str">
        <x:v>Increase feed flow and locate the minimum feasible pressure</x:v>
      </x:c>
      <x:c r="C14" s="42" t="str">
        <x:v>0.035; flow 4.50; 56.5→56.75 bar</x:v>
      </x:c>
      <x:c r="D14" s="42" t="str">
        <x:v>simulate_ro #7–#8</x:v>
      </x:c>
      <x:c r="E14" s="42" t="str">
        <x:v>At 56.5 bar NaCl≈401.2 fails; at 56.75 bar Qp≈6.563, NaCl≈399.84, Recovery≈41.58%; all constraints pass</x:v>
      </x:c>
      <x:c r="F14" s="42" t="str">
        <x:v>Defines the severe-case minimum feasible coupled setpoint</x:v>
      </x:c>
      <x:c r="G14" s="42" t="str">
        <x:v>Multi-run comparison / final decision</x:v>
      </x:c>
    </x:row>
    <x:row r="17">
      <x:c r="A17" s="23" t="str">
        <x:v>Direct simulate_ro Results</x:v>
      </x:c>
      <x:c r="B17" s="23" t="str">
        <x:v>Direct simulate_ro Results</x:v>
      </x:c>
      <x:c r="C17" s="23" t="str">
        <x:v>Direct simulate_ro Results</x:v>
      </x:c>
      <x:c r="D17" s="23" t="str">
        <x:v>Direct simulate_ro Results</x:v>
      </x:c>
      <x:c r="E17" s="23" t="str">
        <x:v>Direct simulate_ro Results</x:v>
      </x:c>
      <x:c r="F17" s="23" t="str">
        <x:v>Direct simulate_ro Results</x:v>
      </x:c>
      <x:c r="G17" s="23" t="str">
        <x:v>Direct simulate_ro Results</x:v>
      </x:c>
      <x:c r="H17" s="23" t="str">
        <x:v>Direct simulate_ro Results</x:v>
      </x:c>
      <x:c r="I17" s="23" t="str">
        <x:v>Direct simulate_ro Results</x:v>
      </x:c>
      <x:c r="J17" s="23" t="str">
        <x:v>Direct simulate_ro Results</x:v>
      </x:c>
      <x:c r="K17" s="23" t="str">
        <x:v>Direct simulate_ro Results</x:v>
      </x:c>
      <x:c r="L17" s="23" t="str">
        <x:v>Direct simulate_ro Results</x:v>
      </x:c>
      <x:c r="M17" s="23" t="str">
        <x:v>Direct simulate_ro Results</x:v>
      </x:c>
    </x:row>
    <x:row r="18">
      <x:c r="A18" s="33" t="str">
        <x:v>Scenario</x:v>
      </x:c>
      <x:c r="B18" s="33" t="str">
        <x:v>NaCl frac</x:v>
      </x:c>
      <x:c r="C18" s="33" t="str">
        <x:v>Pressure bar</x:v>
      </x:c>
      <x:c r="D18" s="33" t="str">
        <x:v>Feed kg/s</x:v>
      </x:c>
      <x:c r="E18" s="33" t="str">
        <x:v>Permeate kg/s</x:v>
      </x:c>
      <x:c r="F18" s="33" t="str">
        <x:v>Qp m³/h</x:v>
      </x:c>
      <x:c r="G18" s="33" t="str">
        <x:v>Flux LMH</x:v>
      </x:c>
      <x:c r="H18" s="33" t="str">
        <x:v>Recovery %</x:v>
      </x:c>
      <x:c r="I18" s="33" t="str">
        <x:v>Rejection %</x:v>
      </x:c>
      <x:c r="J18" s="33" t="str">
        <x:v>NaCl mg/L</x:v>
      </x:c>
      <x:c r="K18" s="33" t="str">
        <x:v>Production</x:v>
      </x:c>
      <x:c r="L18" s="33" t="str">
        <x:v>Water quality</x:v>
      </x:c>
      <x:c r="M18" s="33" t="str">
        <x:v>Overall</x:v>
      </x:c>
    </x:row>
    <x:row r="19">
      <x:c r="A19" s="42" t="str">
        <x:v>Normal baseline</x:v>
      </x:c>
      <x:c r="B19" s="66" t="n">
        <x:v>0.03</x:v>
      </x:c>
      <x:c r="C19" s="66" t="n">
        <x:v>52</x:v>
      </x:c>
      <x:c r="D19" s="66" t="n">
        <x:v>4.073</x:v>
      </x:c>
      <x:c r="E19" s="66" t="n">
        <x:v>1.8317024077875053</x:v>
      </x:c>
      <x:c r="F19" s="66" t="n">
        <x:v>6.594128668035019</x:v>
      </x:c>
      <x:c r="G19" s="66" t="n">
        <x:v>16.479440695464636</x:v>
      </x:c>
      <x:c r="H19" s="66" t="n">
        <x:v>45.9844466906034</x:v>
      </x:c>
      <x:c r="I19" s="66" t="n">
        <x:v>98.83705234864722</x:v>
      </x:c>
      <x:c r="J19" s="66" t="n">
        <x:v>356.7400588598959</x:v>
      </x:c>
      <x:c r="K19" s="42" t="str">
        <x:v>PASS</x:v>
      </x:c>
      <x:c r="L19" s="42" t="str">
        <x:v>PASS</x:v>
      </x:c>
      <x:c r="M19" s="42" t="str">
        <x:v>PASS</x:v>
      </x:c>
    </x:row>
    <x:row r="20">
      <x:c r="A20" s="42" t="str">
        <x:v>Moderate disturbance, unchanged</x:v>
      </x:c>
      <x:c r="B20" s="66" t="n">
        <x:v>0.033</x:v>
      </x:c>
      <x:c r="C20" s="66" t="n">
        <x:v>52</x:v>
      </x:c>
      <x:c r="D20" s="66" t="n">
        <x:v>4.073</x:v>
      </x:c>
      <x:c r="E20" s="66" t="n">
        <x:v>1.626461009388229</x:v>
      </x:c>
      <x:c r="F20" s="66" t="n">
        <x:v>5.855259633797624</x:v>
      </x:c>
      <x:c r="G20" s="66" t="n">
        <x:v>14.632092311640347</x:v>
      </x:c>
      <x:c r="H20" s="66" t="n">
        <x:v>40.92113629871129</x:v>
      </x:c>
      <x:c r="I20" s="66" t="n">
        <x:v>98.77644712289644</x:v>
      </x:c>
      <x:c r="J20" s="66" t="n">
        <x:v>413.7663046574956</x:v>
      </x:c>
      <x:c r="K20" s="42" t="str">
        <x:v>FAIL</x:v>
      </x:c>
      <x:c r="L20" s="42" t="str">
        <x:v>FAIL</x:v>
      </x:c>
      <x:c r="M20" s="42" t="str">
        <x:v>FAIL</x:v>
      </x:c>
    </x:row>
    <x:row r="21">
      <x:c r="A21" s="42" t="str">
        <x:v>Moderate: 54 bar</x:v>
      </x:c>
      <x:c r="B21" s="66" t="n">
        <x:v>0.033</x:v>
      </x:c>
      <x:c r="C21" s="66" t="n">
        <x:v>54</x:v>
      </x:c>
      <x:c r="D21" s="66" t="n">
        <x:v>4.073</x:v>
      </x:c>
      <x:c r="E21" s="66" t="n">
        <x:v>1.728720440314135</x:v>
      </x:c>
      <x:c r="F21" s="66" t="n">
        <x:v>6.223393585130886</x:v>
      </x:c>
      <x:c r="G21" s="66" t="n">
        <x:v>15.55223320384493</x:v>
      </x:c>
      <x:c r="H21" s="66" t="n">
        <x:v>43.49434111471497</x:v>
      </x:c>
      <x:c r="I21" s="66" t="n">
        <x:v>98.8119652661832</x:v>
      </x:c>
      <x:c r="J21" s="66" t="n">
        <x:v>401.7588729864681</x:v>
      </x:c>
      <x:c r="K21" s="42" t="str">
        <x:v>FAIL</x:v>
      </x:c>
      <x:c r="L21" s="42" t="str">
        <x:v>FAIL</x:v>
      </x:c>
      <x:c r="M21" s="42" t="str">
        <x:v>FAIL</x:v>
      </x:c>
    </x:row>
    <x:row r="22">
      <x:c r="A22" s="42" t="str">
        <x:v>Moderate recommended</x:v>
      </x:c>
      <x:c r="B22" s="66" t="n">
        <x:v>0.033</x:v>
      </x:c>
      <x:c r="C22" s="66" t="n">
        <x:v>54.5</x:v>
      </x:c>
      <x:c r="D22" s="66" t="n">
        <x:v>4.073</x:v>
      </x:c>
      <x:c r="E22" s="66" t="n">
        <x:v>1.7536519332679432</x:v>
      </x:c>
      <x:c r="F22" s="66" t="n">
        <x:v>6.3131469597645955</x:v>
      </x:c>
      <x:c r="G22" s="66" t="n">
        <x:v>15.776567828546561</x:v>
      </x:c>
      <x:c r="H22" s="66" t="n">
        <x:v>44.121701426590576</x:v>
      </x:c>
      <x:c r="I22" s="66" t="n">
        <x:v>98.81971237160553</x:v>
      </x:c>
      <x:c r="J22" s="66" t="n">
        <x:v>399.13982076271947</x:v>
      </x:c>
      <x:c r="K22" s="42" t="str">
        <x:v>PASS</x:v>
      </x:c>
      <x:c r="L22" s="42" t="str">
        <x:v>PASS</x:v>
      </x:c>
      <x:c r="M22" s="42" t="str">
        <x:v>PASS</x:v>
      </x:c>
    </x:row>
    <x:row r="23">
      <x:c r="A23" s="42" t="str">
        <x:v>Severe: reuse moderate strategy</x:v>
      </x:c>
      <x:c r="B23" s="66" t="n">
        <x:v>0.035</x:v>
      </x:c>
      <x:c r="C23" s="66" t="n">
        <x:v>54.5</x:v>
      </x:c>
      <x:c r="D23" s="66" t="n">
        <x:v>4.073</x:v>
      </x:c>
      <x:c r="E23" s="66" t="n">
        <x:v>1.6220346890456887</x:v>
      </x:c>
      <x:c r="F23" s="66" t="n">
        <x:v>5.8393248805644795</x:v>
      </x:c>
      <x:c r="G23" s="66" t="n">
        <x:v>14.59190054815452</x:v>
      </x:c>
      <x:c r="H23" s="66" t="n">
        <x:v>40.869479650543816</x:v>
      </x:c>
      <x:c r="I23" s="66" t="n">
        <x:v>98.77722667654687</x:v>
      </x:c>
      <x:c r="J23" s="66" t="n">
        <x:v>439.2051059201027</x:v>
      </x:c>
      <x:c r="K23" s="42" t="str">
        <x:v>FAIL</x:v>
      </x:c>
      <x:c r="L23" s="42" t="str">
        <x:v>FAIL</x:v>
      </x:c>
      <x:c r="M23" s="42" t="str">
        <x:v>FAIL</x:v>
      </x:c>
    </x:row>
    <x:row r="24">
      <x:c r="A24" s="42" t="str">
        <x:v>Severe: pressure-only upper limit</x:v>
      </x:c>
      <x:c r="B24" s="66" t="n">
        <x:v>0.035</x:v>
      </x:c>
      <x:c r="C24" s="66" t="n">
        <x:v>58</x:v>
      </x:c>
      <x:c r="D24" s="66" t="n">
        <x:v>4.073</x:v>
      </x:c>
      <x:c r="E24" s="66" t="n">
        <x:v>1.7926301402641371</x:v>
      </x:c>
      <x:c r="F24" s="66" t="n">
        <x:v>6.4534685049508935</x:v>
      </x:c>
      <x:c r="G24" s="66" t="n">
        <x:v>16.126917276324818</x:v>
      </x:c>
      <x:c r="H24" s="66" t="n">
        <x:v>45.168581585165526</x:v>
      </x:c>
      <x:c r="I24" s="66" t="n">
        <x:v>98.83453632294696</x:v>
      </x:c>
      <x:c r="J24" s="66" t="n">
        <x:v>418.6267305549969</x:v>
      </x:c>
      <x:c r="K24" s="42" t="str">
        <x:v>PASS</x:v>
      </x:c>
      <x:c r="L24" s="42" t="str">
        <x:v>FAIL</x:v>
      </x:c>
      <x:c r="M24" s="42" t="str">
        <x:v>FAIL</x:v>
      </x:c>
    </x:row>
    <x:row r="25">
      <x:c r="A25" s="42" t="str">
        <x:v>Severe coupled: 56.5 bar</x:v>
      </x:c>
      <x:c r="B25" s="66" t="n">
        <x:v>0.035</x:v>
      </x:c>
      <x:c r="C25" s="66" t="n">
        <x:v>56.5</x:v>
      </x:c>
      <x:c r="D25" s="66" t="n">
        <x:v>4.5</x:v>
      </x:c>
      <x:c r="E25" s="66" t="n">
        <x:v>1.8102931464223464</x:v>
      </x:c>
      <x:c r="F25" s="66" t="n">
        <x:v>6.517055327120447</x:v>
      </x:c>
      <x:c r="G25" s="66" t="n">
        <x:v>16.28610148678221</x:v>
      </x:c>
      <x:c r="H25" s="66" t="n">
        <x:v>41.2859522790045</x:v>
      </x:c>
      <x:c r="I25" s="66" t="n">
        <x:v>98.88302903374311</x:v>
      </x:c>
      <x:c r="J25" s="66" t="n">
        <x:v>401.2137808131104</x:v>
      </x:c>
      <x:c r="K25" s="42" t="str">
        <x:v>PASS</x:v>
      </x:c>
      <x:c r="L25" s="42" t="str">
        <x:v>FAIL</x:v>
      </x:c>
      <x:c r="M25" s="42" t="str">
        <x:v>FAIL</x:v>
      </x:c>
    </x:row>
    <x:row r="26">
      <x:c r="A26" s="42" t="str">
        <x:v>Severe coupled recommended</x:v>
      </x:c>
      <x:c r="B26" s="66" t="n">
        <x:v>0.035</x:v>
      </x:c>
      <x:c r="C26" s="66" t="n">
        <x:v>56.75</x:v>
      </x:c>
      <x:c r="D26" s="66" t="n">
        <x:v>4.5</x:v>
      </x:c>
      <x:c r="E26" s="66" t="n">
        <x:v>1.8231902440204897</x:v>
      </x:c>
      <x:c r="F26" s="66" t="n">
        <x:v>6.563484878473763</x:v>
      </x:c>
      <x:c r="G26" s="66" t="n">
        <x:v>16.402151353685234</x:v>
      </x:c>
      <x:c r="H26" s="66" t="n">
        <x:v>41.58012980556124</x:v>
      </x:c>
      <x:c r="I26" s="66" t="n">
        <x:v>98.88685765568269</x:v>
      </x:c>
      <x:c r="J26" s="66" t="n">
        <x:v>399.83896485796515</x:v>
      </x:c>
      <x:c r="K26" s="42" t="str">
        <x:v>PASS</x:v>
      </x:c>
      <x:c r="L26" s="42" t="str">
        <x:v>PASS</x:v>
      </x:c>
      <x:c r="M26" s="42" t="str">
        <x:v>PASS</x:v>
      </x:c>
    </x:row>
    <x:row r="29">
      <x:c r="A29" s="23" t="str">
        <x:v>Staged Operating Response</x:v>
      </x:c>
      <x:c r="B29" s="23" t="str">
        <x:v>Staged Operating Response</x:v>
      </x:c>
      <x:c r="C29" s="23" t="str">
        <x:v>Staged Operating Response</x:v>
      </x:c>
      <x:c r="D29" s="23" t="str">
        <x:v>Staged Operating Response</x:v>
      </x:c>
      <x:c r="E29" s="23" t="str">
        <x:v>Staged Operating Response</x:v>
      </x:c>
      <x:c r="F29" s="23" t="str">
        <x:v>Staged Operating Response</x:v>
      </x:c>
      <x:c r="H29"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I29"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J29"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K29"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L29"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M29"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row>
    <x:row r="30">
      <x:c r="A30" s="33" t="str">
        <x:v>Feed state</x:v>
      </x:c>
      <x:c r="B30" s="33" t="str">
        <x:v>Recommended pressure</x:v>
      </x:c>
      <x:c r="C30" s="33" t="str">
        <x:v>Recommended feed flow</x:v>
      </x:c>
      <x:c r="D30" s="33" t="str">
        <x:v>Key evidence</x:v>
      </x:c>
      <x:c r="E30" s="33" t="str">
        <x:v>Decision</x:v>
      </x:c>
      <x:c r="F30" s="33" t="str">
        <x:v>Note</x:v>
      </x:c>
      <x:c r="H30"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I30"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J30"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K30"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L30"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M30"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row>
    <x:row r="31">
      <x:c r="A31" s="42" t="str">
        <x:v>Normal 0.030</x:v>
      </x:c>
      <x:c r="B31" s="42" t="str">
        <x:v>52.0 bar</x:v>
      </x:c>
      <x:c r="C31" s="42" t="str">
        <x:v>4.073 kg/s</x:v>
      </x:c>
      <x:c r="D31" s="42" t="str">
        <x:v>Baseline passes all constraints</x:v>
      </x:c>
      <x:c r="E31" s="42" t="str">
        <x:v>Keep current operation</x:v>
      </x:c>
      <x:c r="F31" s="42" t="str">
        <x:v>No compensation required</x:v>
      </x:c>
      <x:c r="H31"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I31"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J31"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K31"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L31"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M31"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row>
    <x:row r="32">
      <x:c r="A32" s="42" t="str">
        <x:v>Moderate 0.033</x:v>
      </x:c>
      <x:c r="B32" s="42" t="str">
        <x:v>54.5 bar</x:v>
      </x:c>
      <x:c r="C32" s="42" t="str">
        <x:v>4.073 kg/s</x:v>
      </x:c>
      <x:c r="D32" s="42" t="str">
        <x:v>54 bar still misses production/NaCl; 54.5 bar passes all constraints</x:v>
      </x:c>
      <x:c r="E32" s="42" t="str">
        <x:v>Pressure increase only</x:v>
      </x:c>
      <x:c r="F32" s="42" t="str">
        <x:v>No feed-flow change needed</x:v>
      </x:c>
      <x:c r="H32"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I32"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J32"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K32"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L32"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M32"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row>
    <x:row r="33">
      <x:c r="A33" s="42" t="str">
        <x:v>Severe 0.035</x:v>
      </x:c>
      <x:c r="B33" s="42" t="str">
        <x:v>56.75 bar</x:v>
      </x:c>
      <x:c r="C33" s="42" t="str">
        <x:v>4.50 kg/s</x:v>
      </x:c>
      <x:c r="D33" s="42" t="str">
        <x:v>58 bar pressure-only still has NaCl&gt;400; 56.75/4.50 is the first coupled point passing all constraints</x:v>
      </x:c>
      <x:c r="E33" s="42" t="str">
        <x:v>Pressure–Flow coupling</x:v>
      </x:c>
      <x:c r="F33" s="42" t="str">
        <x:v>Permeate quality is controlling</x:v>
      </x:c>
      <x:c r="H33"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I33"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J33"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K33"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L33"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M33"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row>
    <x:row r="34">
      <x:c r="H34"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I34"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J34"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K34"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L34"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c r="M34" s="68" t="str">
        <x:v>Final conclusion
As salinity rises from 0.030 to 0.033, the unchanged 52 bar setpoint fails both Qp and permeate salinity. Increasing pressure to 54.5 bar restores all constraints. At 0.035 salinity, even 58 bar gives permeate NaCl of about 418.6 mg/L, proving pressure-only control insufficient. After increasing feed flow to 4.50 kg/s, 56.5 bar still fails at about 401.2 mg/L NaCl, while 56.75 bar restores all constraints. A staged response is therefore required rather than using one setpoint for every salinity disturbance.</x:v>
      </x:c>
    </x:row>
  </x:sheetData>
  <x:mergeCells>
    <x:mergeCell ref="A1:M1"/>
    <x:mergeCell ref="A4:M4"/>
    <x:mergeCell ref="A7:M7"/>
    <x:mergeCell ref="A17:M17"/>
    <x:mergeCell ref="A29:F29"/>
    <x:mergeCell ref="H29:M34"/>
  </x:mergeCells>
  <x:conditionalFormatting sqref="K19:K26">
    <x:cfRule type="cellIs" dxfId="0" priority="1">
      <x:formula>"PASS"</x:formula>
    </x:cfRule>
    <x:cfRule type="cellIs" dxfId="1" priority="2">
      <x:formula>"FAIL"</x:formula>
    </x:cfRule>
  </x:conditionalFormatting>
  <x:conditionalFormatting sqref="L19:L26">
    <x:cfRule type="cellIs" dxfId="2" priority="3">
      <x:formula>"PASS"</x:formula>
    </x:cfRule>
    <x:cfRule type="cellIs" dxfId="3" priority="4">
      <x:formula>"FAIL"</x:formula>
    </x:cfRule>
  </x:conditionalFormatting>
  <x:conditionalFormatting sqref="M19:M26">
    <x:cfRule type="cellIs" dxfId="4" priority="5">
      <x:formula>"PASS"</x:formula>
    </x:cfRule>
    <x:cfRule type="cellIs" dxfId="5" priority="6">
      <x:formula>"FAIL"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30" hidden="0" customWidth="1"/>
    <x:col min="3" max="3" width="42" hidden="0" customWidth="1"/>
    <x:col min="4" max="4" width="34" hidden="0" customWidth="1"/>
    <x:col min="5" max="5" width="36" hidden="0" customWidth="1"/>
    <x:col min="6" max="6" width="10" hidden="0" customWidth="1"/>
    <x:col min="7" max="7" width="10" hidden="0" customWidth="1"/>
  </x:cols>
  <x:sheetData>
    <x:row r="1" ht="34" customHeight="1">
      <x:c r="A1" s="6" t="str">
        <x:v>D2-2a: Trajectory Quality Rubric (100 points)</x:v>
      </x:c>
      <x:c r="B1" s="6" t="str">
        <x:v>D2-2a: Trajectory Quality Rubric (100 points)</x:v>
      </x:c>
      <x:c r="C1" s="6" t="str">
        <x:v>D2-2a: Trajectory Quality Rubric (100 points)</x:v>
      </x:c>
      <x:c r="D1" s="6" t="str">
        <x:v>D2-2a: Trajectory Quality Rubric (100 points)</x:v>
      </x:c>
      <x:c r="E1" s="6" t="str">
        <x:v>D2-2a: Trajectory Quality Rubric (100 points)</x:v>
      </x:c>
      <x:c r="F1" s="6" t="str">
        <x:v>D2-2a: Trajectory Quality Rubric (100 points)</x:v>
      </x:c>
      <x:c r="G1" s="6" t="str">
        <x:v>D2-2a: Trajectory Quality Rubric (100 points)</x:v>
      </x:c>
    </x:row>
    <x:row r="4">
      <x:c r="A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B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C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D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E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F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G4"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row>
    <x:row r="5">
      <x:c r="A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B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C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D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E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F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c r="G5" s="70" t="str">
        <x:v>Trajectory Quality totals 100 points. Evaluate the complete state → plan → action/tool call → observation → update → next action → stop/decision trajectory. Exact duplication of the reference path is not required. Different but reasonable tool-call orders are acceptable if each next action is supported by prior evidence and the final engineering decision is coherent and verifiable. Tool-usage efficiency is scored separately.</x:v>
      </x:c>
    </x:row>
    <x:row r="8">
      <x:c r="A8" s="33" t="str">
        <x:v>Trajectory dimension</x:v>
      </x:c>
      <x:c r="B8" s="33" t="str">
        <x:v>Focus</x:v>
      </x:c>
      <x:c r="C8" s="33" t="str">
        <x:v>Full-credit evidence</x:v>
      </x:c>
      <x:c r="D8" s="33" t="str">
        <x:v>Partial credit</x:v>
      </x:c>
      <x:c r="E8" s="33" t="str">
        <x:v>Critical failure mode</x:v>
      </x:c>
      <x:c r="F8" s="33" t="str">
        <x:v>Weight</x:v>
      </x:c>
      <x:c r="G8" s="33" t="str">
        <x:v>Score</x:v>
      </x:c>
    </x:row>
    <x:row r="9" ht="58" customHeight="1">
      <x:c r="A9" s="42" t="str">
        <x:v>TQ1 Problem representation and state understanding</x:v>
      </x:c>
      <x:c r="B9" s="42" t="str">
        <x:v>Recognize a feed disturbance rather than system redesign or membrane degradation</x:v>
      </x:c>
      <x:c r="C9" s="42" t="str">
        <x:v>The change is NaCl 0.030→0.033/0.035; system/membrane fixed; begin with same-setpoint before/after comparison</x:v>
      </x:c>
      <x:c r="D9" s="42" t="str">
        <x:v>Salinity disturbance recognized but distinction from 2b or one hard constraint is unclear</x:v>
      </x:c>
      <x:c r="E9" s="42" t="str">
        <x:v>Redesign Area/A/B or omit disturbance baseline</x:v>
      </x:c>
      <x:c r="F9" s="42" t="n">
        <x:v>15</x:v>
      </x:c>
      <x:c r="G9" s="42"/>
    </x:row>
    <x:row r="10" ht="58" customHeight="1">
      <x:c r="A10" s="42" t="str">
        <x:v>TQ2 Planning and decomposition</x:v>
      </x:c>
      <x:c r="B10" s="42" t="str">
        <x:v>Escalate control freedom with disturbance severity</x:v>
      </x:c>
      <x:c r="C10" s="42" t="str">
        <x:v>Normal baseline → 0.033 same-setpoint diagnosis → pressure-only recovery → 0.035 verification → pressure-only upper-limit test → pressure+flow if needed</x:v>
      </x:c>
      <x:c r="D10" s="42" t="str">
        <x:v>Overall staged plan reasonable but one verify-before-escalate step missing</x:v>
      </x:c>
      <x:c r="E10" s="42" t="str">
        <x:v>Starts with a full 2D grid or uses the same setpoint for all salinity levels</x:v>
      </x:c>
      <x:c r="F10" s="42" t="n">
        <x:v>15</x:v>
      </x:c>
      <x:c r="G10" s="42"/>
    </x:row>
    <x:row r="11" ht="58" customHeight="1">
      <x:c r="A11" s="42" t="str">
        <x:v>TQ3 Action / tool-call correctness</x:v>
      </x:c>
      <x:c r="B11" s="42" t="str">
        <x:v>Keep causal comparisons and correct parameters</x:v>
      </x:c>
      <x:c r="C11" s="42" t="str">
        <x:v>Same-setpoint salinity comparison; response stage changes only allowed pressure/flow; correct units, thresholds, and key outputs</x:v>
      </x:c>
      <x:c r="D11" s="42" t="str">
        <x:v>Most calls correct with minor parameter/unit errors</x:v>
      </x:c>
      <x:c r="E11" s="42" t="str">
        <x:v>Changes several non-allowed variables, destroying attribution</x:v>
      </x:c>
      <x:c r="F11" s="42" t="n">
        <x:v>20</x:v>
      </x:c>
      <x:c r="G11" s="42"/>
    </x:row>
    <x:row r="12" ht="58" customHeight="1">
      <x:c r="A12" s="42" t="str">
        <x:v>TQ4 Observation interpretation and state update</x:v>
      </x:c>
      <x:c r="B12" s="42" t="str">
        <x:v>Identify failure modes and update strategy correctly</x:v>
      </x:c>
      <x:c r="C12" s="42" t="str">
        <x:v>At 0.033/52 bar Qp and NaCl fail; 54.5 bar restores; at 0.035/58 bar Qp passes but NaCl still fails → pressure-only infeasible</x:v>
      </x:c>
      <x:c r="D12" s="42" t="str">
        <x:v>Main state judgments correct but one limiting mechanism omitted</x:v>
      </x:c>
      <x:c r="E12" s="42" t="str">
        <x:v>Looks only at Qp or Recovery and incorrectly calls 58 bar successful</x:v>
      </x:c>
      <x:c r="F12" s="42" t="n">
        <x:v>20</x:v>
      </x:c>
      <x:c r="G12" s="42"/>
    </x:row>
    <x:row r="13" ht="58" customHeight="1">
      <x:c r="A13" s="42" t="str">
        <x:v>TQ5 Adaptive comparison and replanning</x:v>
      </x:c>
      <x:c r="B13" s="42" t="str">
        <x:v>Escalate control only when evidence requires it</x:v>
      </x:c>
      <x:c r="C13" s="42" t="str">
        <x:v>Stop after pressure solves the moderate case; introduce feed flow only after pressure-only is disproved in the severe case</x:v>
      </x:c>
      <x:c r="D13" s="42" t="str">
        <x:v>Strategy adapts but includes redundant calls or early multi-variable control</x:v>
      </x:c>
      <x:c r="E13" s="42" t="str">
        <x:v>Does not change plan after tool evidence; keeps exploring failed branches</x:v>
      </x:c>
      <x:c r="F13" s="42" t="n">
        <x:v>20</x:v>
      </x:c>
      <x:c r="G13" s="42"/>
    </x:row>
    <x:row r="14" ht="58" customHeight="1">
      <x:c r="A14" s="42" t="str">
        <x:v>TQ6 Stopping and final engineering decision</x:v>
      </x:c>
      <x:c r="B14" s="42" t="str">
        <x:v>Provide the correct staged response</x:v>
      </x:c>
      <x:c r="C14" s="42" t="str">
        <x:v>Normal 52/4.073; 0.033→54.5/4.073; 0.035→56.75/4.50, with different controlling mechanisms explained</x:v>
      </x:c>
      <x:c r="D14" s="42" t="str">
        <x:v>Final setpoints mostly correct but one stage explanation missing</x:v>
      </x:c>
      <x:c r="E14" s="42" t="str">
        <x:v>No staged response, or severe case still recommends pressure-only</x:v>
      </x:c>
      <x:c r="F14" s="42" t="n">
        <x:v>10</x:v>
      </x:c>
      <x:c r="G14" s="42"/>
    </x:row>
    <x:row r="16">
      <x:c r="E16" s="72" t="str">
        <x:v>Trajectory Quality total</x:v>
      </x:c>
      <x:c r="F16" s="72" t="n">
        <x:v>100</x:v>
      </x:c>
      <x:c r="G16" s="72"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8" hidden="0" customWidth="1"/>
    <x:col min="4" max="4" width="32" hidden="0" customWidth="1"/>
    <x:col min="5" max="5" width="34" hidden="0" customWidth="1"/>
    <x:col min="6" max="6" width="36" hidden="0" customWidth="1"/>
    <x:col min="7" max="7" width="10" hidden="0" customWidth="1"/>
  </x:cols>
  <x:sheetData>
    <x:row r="1" ht="34" customHeight="1">
      <x:c r="A1" s="6" t="str">
        <x:v>D2-2a: Tool Usage Efficiency (100 points)</x:v>
      </x:c>
      <x:c r="B1" s="6" t="str">
        <x:v>D2-2a: Tool Usage Efficiency (100 points)</x:v>
      </x:c>
      <x:c r="C1" s="6" t="str">
        <x:v>D2-2a: Tool Usage Efficiency (100 points)</x:v>
      </x:c>
      <x:c r="D1" s="6" t="str">
        <x:v>D2-2a: Tool Usage Efficiency (100 points)</x:v>
      </x:c>
      <x:c r="E1" s="6" t="str">
        <x:v>D2-2a: Tool Usage Efficiency (100 points)</x:v>
      </x:c>
      <x:c r="F1" s="6" t="str">
        <x:v>D2-2a: Tool Usage Efficiency (100 points)</x:v>
      </x:c>
      <x:c r="G1" s="6" t="str">
        <x:v>D2-2a: Tool Usage Efficiency (100 points)</x:v>
      </x:c>
    </x:row>
    <x:row r="4">
      <x:c r="A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B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C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D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E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F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G4"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row>
    <x:row r="5">
      <x:c r="A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B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C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D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E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F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c r="G5" s="70" t="str">
        <x:v>Tool usage efficiency is scored separately out of 100 and is not included in Trajectory Quality. The primary scientific tool is simulate_ro. A strong reference trajectory uses approximately 8 scientific calls. Call count is only a secondary signal; the key criteria are information gain, adaptive next-step selection, pruning, and stopping once sufficient evidence has been obtained.</x:v>
      </x:c>
    </x:row>
    <x:row r="8">
      <x:c r="A8" s="33" t="str">
        <x:v>Efficiency dimension</x:v>
      </x:c>
      <x:c r="B8" s="33" t="str">
        <x:v>Focus</x:v>
      </x:c>
      <x:c r="C8" s="33" t="str">
        <x:v>Full-credit performance</x:v>
      </x:c>
      <x:c r="D8" s="33" t="str">
        <x:v>Moderate performance</x:v>
      </x:c>
      <x:c r="E8" s="33" t="str">
        <x:v>Low performance</x:v>
      </x:c>
      <x:c r="F8" s="33" t="str">
        <x:v>Item-specific evidence</x:v>
      </x:c>
      <x:c r="G8" s="33" t="str">
        <x:v>Points</x:v>
      </x:c>
    </x:row>
    <x:row r="9" ht="55" customHeight="1">
      <x:c r="A9" s="42" t="str">
        <x:v>E1 Tool choice and necessity</x:v>
      </x:c>
      <x:c r="B9" s="42" t="str">
        <x:v>Choose the correct tool and avoid irrelevant tools</x:v>
      </x:c>
      <x:c r="C9" s="42" t="str">
        <x:v>Scientific calculations primarily use simulate_ro and every call supports the current decision</x:v>
      </x:c>
      <x:c r="D9" s="42" t="str">
        <x:v>A few unnecessary metadata/probing calls</x:v>
      </x:c>
      <x:c r="E9" s="42" t="str">
        <x:v>Wrong tool or many irrelevant calls</x:v>
      </x:c>
      <x:c r="F9" s="42" t="str">
        <x:v>Use simulate_ro for before/after disturbance comparison and response</x:v>
      </x:c>
      <x:c r="G9" s="42" t="n">
        <x:v>20</x:v>
      </x:c>
    </x:row>
    <x:row r="10" ht="55" customHeight="1">
      <x:c r="A10" s="42" t="str">
        <x:v>E2 Information gain and ordering</x:v>
      </x:c>
      <x:c r="B10" s="42" t="str">
        <x:v>Acquire the most discriminating information first</x:v>
      </x:c>
      <x:c r="C10" s="42" t="str">
        <x:v>Baseline/screening/coarse interval first, then refine uncertainty</x:v>
      </x:c>
      <x:c r="D10" s="42" t="str">
        <x:v>Generally reasonable but includes low-information calls</x:v>
      </x:c>
      <x:c r="E10" s="42" t="str">
        <x:v>Dense grid scan from the start</x:v>
      </x:c>
      <x:c r="F10" s="42" t="str">
        <x:v>Normal baseline and same-setpoint disturbance comparison precede compensation</x:v>
      </x:c>
      <x:c r="G10" s="42" t="n">
        <x:v>20</x:v>
      </x:c>
    </x:row>
    <x:row r="11" ht="55" customHeight="1">
      <x:c r="A11" s="42" t="str">
        <x:v>E3 Adaptive iteration</x:v>
      </x:c>
      <x:c r="B11" s="42" t="str">
        <x:v>Let each call depend on prior observation</x:v>
      </x:c>
      <x:c r="C11" s="42" t="str">
        <x:v>Select the next input from fail/pass, shortlist, or risk type</x:v>
      </x:c>
      <x:c r="D11" s="42" t="str">
        <x:v>Partly adaptive with some preset enumeration</x:v>
      </x:c>
      <x:c r="E11" s="42" t="str">
        <x:v>Call sequence largely independent of prior results</x:v>
      </x:c>
      <x:c r="F11" s="42" t="str">
        <x:v>Moderate result determines pressure action; only the 58 bar severe failure triggers feed-flow control</x:v>
      </x:c>
      <x:c r="G11" s="42" t="n">
        <x:v>20</x:v>
      </x:c>
    </x:row>
    <x:row r="12" ht="55" customHeight="1">
      <x:c r="A12" s="42" t="str">
        <x:v>E4 Pruning and redundancy control</x:v>
      </x:c>
      <x:c r="B12" s="42" t="str">
        <x:v>Stop failed branches and avoid repetition</x:v>
      </x:c>
      <x:c r="C12" s="42" t="str">
        <x:v>Stop once a branch is resolved; do not repeat equivalent inputs</x:v>
      </x:c>
      <x:c r="D12" s="42" t="str">
        <x:v>Minor repetition</x:v>
      </x:c>
      <x:c r="E12" s="42" t="str">
        <x:v>Continues testing eliminated options or brute-forces combinations</x:v>
      </x:c>
      <x:c r="F12" s="42" t="str">
        <x:v>No unnecessary 2D scan after the moderate case is solved; switch after pressure-only is disproved</x:v>
      </x:c>
      <x:c r="G12" s="42" t="n">
        <x:v>20</x:v>
      </x:c>
    </x:row>
    <x:row r="13" ht="55" customHeight="1">
      <x:c r="A13" s="42" t="str">
        <x:v>E5 Convergence and stopping</x:v>
      </x:c>
      <x:c r="B13" s="42" t="str">
        <x:v>Obtain sufficient evidence within a reasonable budget</x:v>
      </x:c>
      <x:c r="C13" s="42" t="str">
        <x:v>About 7–9 calls with complete evidence and little redundancy</x:v>
      </x:c>
      <x:c r="D13" s="42" t="str">
        <x:v>About 10–12 calls with some redundancy</x:v>
      </x:c>
      <x:c r="E13" s="42" t="str">
        <x:v>&gt;12 calls with broad repetition, or too few calls to support the decision</x:v>
      </x:c>
      <x:c r="F13" s="42" t="str">
        <x:v>Reference trajectory ≈8 calls; other adaptive trajectories can score equally well</x:v>
      </x:c>
      <x:c r="G13" s="42" t="n">
        <x:v>20</x:v>
      </x:c>
    </x:row>
    <x:row r="15">
      <x:c r="E15" s="72" t="str">
        <x:v>Tool-efficiency total</x:v>
      </x:c>
      <x:c r="F15" s="72" t="n">
        <x:v>100</x:v>
      </x:c>
      <x:c r="G15" s="72" t="n">
        <x:f>SUM(G9:G13)</x:f>
        <x:v>100</x:v>
      </x:c>
    </x:row>
  </x:sheetData>
  <x:mergeCells>
    <x:mergeCell ref="A1:G1"/>
    <x:mergeCell ref="A4:G5"/>
  </x:mergeCells>
  <x:pageMargins left="0.7" right="0.7" top="0.75" bottom="0.75" header="0.3" footer="0.3"/>
</x:worksheet>
</file>