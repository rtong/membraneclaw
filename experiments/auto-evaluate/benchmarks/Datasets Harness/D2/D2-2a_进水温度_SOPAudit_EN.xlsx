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c49e36ce0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e16e16b43f80414a"/>
    <x:sheet xmlns:r="http://schemas.openxmlformats.org/officeDocument/2006/relationships" name="Gold_Answer" sheetId="2" r:id="R6cb294001dff45e4"/>
    <x:sheet xmlns:r="http://schemas.openxmlformats.org/officeDocument/2006/relationships" name="Trajectory_Rubric" sheetId="3" r:id="Rc85593d9080d4784"/>
    <x:sheet xmlns:r="http://schemas.openxmlformats.org/officeDocument/2006/relationships" name="Tool_Efficiency" sheetId="4" r:id="R01212f714fb3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14">
    <x:font>
      <x:sz val="11"/>
      <x:name val="Carlito"/>
    </x:font>
    <x:font>
      <x:b/>
      <x:sz val="15"/>
      <x:color rgb="FFFFFFFF"/>
      <x:name val="Carlito"/>
    </x:font>
    <x:font>
      <x:sz val="10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Aptos"/>
    </x:font>
    <x:font>
      <x:sz val="11"/>
      <x:name val="Aptos"/>
    </x:font>
    <x:font>
      <x:sz val="10"/>
      <x:name val="Aptos"/>
    </x:font>
    <x:font>
      <x:b/>
      <x:sz val="11"/>
      <x:color rgb="FF1F1F1F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4"/>
      <x:color rgb="FFFFFFFF"/>
      <x:name val="Carlito"/>
    </x:font>
    <x:font>
      <x:b/>
      <x:sz val="14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BFF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/>
    </x:xf>
    <x:xf numFmtId="0" fontId="1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efdcba415410a" /><Relationship Type="http://schemas.openxmlformats.org/officeDocument/2006/relationships/theme" Target="/xl/theme/theme1.xml" Id="Rda4b9f4b10e447af" /><Relationship Type="http://schemas.openxmlformats.org/officeDocument/2006/relationships/sharedStrings" Target="/xl/sharedStrings.xml" Id="Reeb4b0f01b7e4953" /><Relationship Type="http://schemas.openxmlformats.org/officeDocument/2006/relationships/worksheet" Target="/xl/worksheets/sheet1.xml" Id="Re16e16b43f80414a" /><Relationship Type="http://schemas.openxmlformats.org/officeDocument/2006/relationships/worksheet" Target="/xl/worksheets/sheet2.xml" Id="R6cb294001dff45e4" /><Relationship Type="http://schemas.openxmlformats.org/officeDocument/2006/relationships/worksheet" Target="/xl/worksheets/sheet3.xml" Id="Rc85593d9080d4784" /><Relationship Type="http://schemas.openxmlformats.org/officeDocument/2006/relationships/worksheet" Target="/xl/worksheets/sheet4.xml" Id="R01212f714fb3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20" hidden="0" customWidth="1"/>
    <x:col min="5" max="5" width="3" hidden="0" customWidth="1"/>
    <x:col min="6" max="6" width="20" hidden="0" customWidth="1"/>
    <x:col min="7" max="7" width="28" hidden="0" customWidth="1"/>
    <x:col min="8" max="8" width="25" hidden="0" customWidth="1"/>
  </x:cols>
  <x:sheetData>
    <x:row r="1" ht="28" customHeight="1">
      <x:c r="A1" s="51" t="str">
        <x:v>D2-2a: Boundary Audit of a Temperature-Response SOP</x:v>
      </x:c>
      <x:c r="B1" s="51"/>
      <x:c r="C1" s="51"/>
      <x:c r="D1" s="51"/>
      <x:c r="E1" s="51"/>
      <x:c r="F1" s="51"/>
      <x:c r="G1" s="51"/>
      <x:c r="H1" s="51"/>
    </x:row>
    <x:row r="2">
      <x:c r="A2" s="52"/>
      <x:c r="B2" s="52"/>
      <x:c r="C2" s="52"/>
      <x:c r="D2" s="52"/>
      <x:c r="E2" s="52"/>
      <x:c r="F2" s="52"/>
      <x:c r="G2" s="52"/>
      <x:c r="H2" s="52"/>
    </x:row>
    <x:row r="3">
      <x:c r="A3" s="53" t="str">
        <x:v>The operations team has drafted a temperature-response SOP: 52.00 bar / 4.073 kg/s at 32°C; 52.22 bar / 4.073 kg/s at 38°C; and 50.50 bar / 4.080 kg/s at 18°C. Before release, the quality team suspects near-boundary errors where a setpoint looks acceptable but still violates a hard constraint. Do not redesign the whole strategy. Use simulate_ro to audit each line, identify noncompliant setpoints, and apply the smallest allowed correction.</x:v>
      </x:c>
      <x:c r="B3" s="53"/>
      <x:c r="C3" s="53"/>
      <x:c r="D3" s="53"/>
      <x:c r="E3" s="53"/>
      <x:c r="F3" s="53"/>
      <x:c r="G3" s="53"/>
      <x:c r="H3" s="53"/>
    </x:row>
    <x:row r="4">
      <x:c r="A4" s="53"/>
      <x:c r="B4" s="53"/>
      <x:c r="C4" s="53"/>
      <x:c r="D4" s="53"/>
      <x:c r="E4" s="53"/>
      <x:c r="F4" s="53"/>
      <x:c r="G4" s="53"/>
      <x:c r="H4" s="53"/>
    </x:row>
    <x:row r="5">
      <x:c r="A5" s="53"/>
      <x:c r="B5" s="53"/>
      <x:c r="C5" s="53"/>
      <x:c r="D5" s="53"/>
      <x:c r="E5" s="53"/>
      <x:c r="F5" s="53"/>
      <x:c r="G5" s="53"/>
      <x:c r="H5" s="53"/>
    </x:row>
    <x:row r="6">
      <x:c r="A6" s="52"/>
      <x:c r="B6" s="52"/>
      <x:c r="C6" s="52"/>
      <x:c r="D6" s="52"/>
      <x:c r="E6" s="52"/>
      <x:c r="F6" s="52"/>
      <x:c r="G6" s="52"/>
      <x:c r="H6" s="52"/>
    </x:row>
    <x:row r="7">
      <x:c r="A7" s="54" t="str">
        <x:v>Fixed system parameters</x:v>
      </x:c>
      <x:c r="B7" s="54"/>
      <x:c r="C7" s="54"/>
      <x:c r="D7" s="54"/>
      <x:c r="E7" s="52"/>
      <x:c r="F7" s="55" t="str">
        <x:v>Disturbance and operating constraints</x:v>
      </x:c>
      <x:c r="G7" s="55"/>
      <x:c r="H7" s="55"/>
    </x:row>
    <x:row r="8">
      <x:c r="A8" s="56" t="str">
        <x:v>Category</x:v>
      </x:c>
      <x:c r="B8" s="56" t="str">
        <x:v>Parameter</x:v>
      </x:c>
      <x:c r="C8" s="56" t="str">
        <x:v>Value</x:v>
      </x:c>
      <x:c r="D8" s="56" t="str">
        <x:v>Unit / note</x:v>
      </x:c>
      <x:c r="E8" s="52"/>
      <x:c r="F8" s="56" t="str">
        <x:v>Item</x:v>
      </x:c>
      <x:c r="G8" s="56" t="str">
        <x:v>Requirement / value</x:v>
      </x:c>
      <x:c r="H8" s="56" t="str">
        <x:v>Note</x:v>
      </x:c>
    </x:row>
    <x:row r="9">
      <x:c r="A9" s="57" t="str">
        <x:v>Feed</x:v>
      </x:c>
      <x:c r="B9" s="57" t="str">
        <x:v>NaCl mass fraction</x:v>
      </x:c>
      <x:c r="C9" s="57" t="n">
        <x:v>0.03</x:v>
      </x:c>
      <x:c r="D9" s="57" t="str">
        <x:v>WaterTAP equivalent</x:v>
      </x:c>
      <x:c r="E9" s="52"/>
      <x:c r="F9" s="57" t="str">
        <x:v>Proposed SOP</x:v>
      </x:c>
      <x:c r="G9" s="57" t="str">
        <x:v>32/38/18°C</x:v>
      </x:c>
      <x:c r="H9" s="57" t="str">
        <x:v>Audit each line</x:v>
      </x:c>
    </x:row>
    <x:row r="10">
      <x:c r="A10" s="57" t="str">
        <x:v>Normal setpoint</x:v>
      </x:c>
      <x:c r="B10" s="57" t="str">
        <x:v>Feed pressure</x:v>
      </x:c>
      <x:c r="C10" s="57" t="n">
        <x:v>52</x:v>
      </x:c>
      <x:c r="D10" s="57" t="str">
        <x:v>bar</x:v>
      </x:c>
      <x:c r="E10" s="52"/>
      <x:c r="F10" s="57" t="str">
        <x:v>Audit rule</x:v>
      </x:c>
      <x:c r="G10" s="57" t="str">
        <x:v>Audit the proposed SOP; make minimal corrections only; hot branch uses pressure, cold branch may trim flow at 50.5 bar</x:v>
      </x:c>
      <x:c r="H10" s="57" t="str"/>
    </x:row>
    <x:row r="11">
      <x:c r="A11" s="57" t="str">
        <x:v>Normal setpoint</x:v>
      </x:c>
      <x:c r="B11" s="57" t="str">
        <x:v>Feed mass flow</x:v>
      </x:c>
      <x:c r="C11" s="57" t="n">
        <x:v>4.073</x:v>
      </x:c>
      <x:c r="D11" s="57" t="str">
        <x:v>kg/s</x:v>
      </x:c>
      <x:c r="E11" s="52"/>
      <x:c r="F11" s="57" t="str">
        <x:v>Permeate flow</x:v>
      </x:c>
      <x:c r="G11" s="57" t="str">
        <x:v>≥ 6.50 m³/h</x:v>
      </x:c>
      <x:c r="H11" s="57" t="str">
        <x:v>Hard constraint</x:v>
      </x:c>
    </x:row>
    <x:row r="12">
      <x:c r="A12" s="57" t="str">
        <x:v>Feed</x:v>
      </x:c>
      <x:c r="B12" s="57" t="str">
        <x:v>Normal temperature</x:v>
      </x:c>
      <x:c r="C12" s="57" t="n">
        <x:v>32</x:v>
      </x:c>
      <x:c r="D12" s="57" t="str">
        <x:v>°C</x:v>
      </x:c>
      <x:c r="E12" s="52"/>
      <x:c r="F12" s="57" t="str">
        <x:v>Recovery</x:v>
      </x:c>
      <x:c r="G12" s="57" t="str">
        <x:v>≤ 46.5%</x:v>
      </x:c>
      <x:c r="H12" s="57" t="str">
        <x:v>Hard constraint</x:v>
      </x:c>
    </x:row>
    <x:row r="13">
      <x:c r="A13" s="57" t="str">
        <x:v>Membrane</x:v>
      </x:c>
      <x:c r="B13" s="57" t="str">
        <x:v>Effective membrane area</x:v>
      </x:c>
      <x:c r="C13" s="57" t="n">
        <x:v>400</x:v>
      </x:c>
      <x:c r="D13" s="57" t="str">
        <x:v>m², fixed</x:v>
      </x:c>
      <x:c r="E13" s="52"/>
      <x:c r="F13" s="57" t="str">
        <x:v>Flux</x:v>
      </x:c>
      <x:c r="G13" s="57" t="str">
        <x:v>≤ 18.0 LMH</x:v>
      </x:c>
      <x:c r="H13" s="57" t="str">
        <x:v>Operating limit</x:v>
      </x:c>
    </x:row>
    <x:row r="14">
      <x:c r="A14" s="57" t="str">
        <x:v>Membrane</x:v>
      </x:c>
      <x:c r="B14" s="57" t="str">
        <x:v>A_comp</x:v>
      </x:c>
      <x:c r="C14" s="57" t="n">
        <x:v>4.2e-12</x:v>
      </x:c>
      <x:c r="D14" s="57" t="str">
        <x:v>m/s/Pa, fixed</x:v>
      </x:c>
      <x:c r="E14" s="52"/>
      <x:c r="F14" s="57" t="str">
        <x:v>Salt rejection</x:v>
      </x:c>
      <x:c r="G14" s="57" t="str">
        <x:v>≥ 98.7%</x:v>
      </x:c>
      <x:c r="H14" s="57" t="str">
        <x:v>Quality</x:v>
      </x:c>
    </x:row>
    <x:row r="15">
      <x:c r="A15" s="57" t="str">
        <x:v>Membrane</x:v>
      </x:c>
      <x:c r="B15" s="57" t="str">
        <x:v>B_comp</x:v>
      </x:c>
      <x:c r="C15" s="57" t="n">
        <x:v>3.4e-8</x:v>
      </x:c>
      <x:c r="D15" s="57" t="str">
        <x:v>m/s, fixed</x:v>
      </x:c>
      <x:c r="E15" s="52"/>
      <x:c r="F15" s="57" t="str">
        <x:v>Permeate NaCl</x:v>
      </x:c>
      <x:c r="G15" s="57" t="str">
        <x:v>≤ 400 mg/L</x:v>
      </x:c>
      <x:c r="H15" s="57" t="str">
        <x:v>Quality</x:v>
      </x:c>
    </x:row>
    <x:row r="16">
      <x:c r="A16" s="57" t="str">
        <x:v>Hydraulics</x:v>
      </x:c>
      <x:c r="B16" s="57" t="str">
        <x:v>Permeate pressure</x:v>
      </x:c>
      <x:c r="C16" s="57" t="n">
        <x:v>1.013</x:v>
      </x:c>
      <x:c r="D16" s="57" t="str">
        <x:v>bar</x:v>
      </x:c>
      <x:c r="E16" s="52"/>
      <x:c r="F16" s="52"/>
      <x:c r="G16" s="52"/>
      <x:c r="H16" s="52"/>
    </x:row>
    <x:row r="17">
      <x:c r="A17" s="57" t="str">
        <x:v>Hydraulics</x:v>
      </x:c>
      <x:c r="B17" s="57" t="str">
        <x:v>Module pressure drop</x:v>
      </x:c>
      <x:c r="C17" s="57" t="n">
        <x:v>0.653</x:v>
      </x:c>
      <x:c r="D17" s="57" t="str">
        <x:v>bar</x:v>
      </x:c>
      <x:c r="E17" s="52"/>
      <x:c r="F17" s="52"/>
      <x:c r="G17" s="52"/>
      <x:c r="H17" s="52"/>
    </x:row>
    <x:row r="18">
      <x:c r="A18" s="57" t="str">
        <x:v>Channel</x:v>
      </x:c>
      <x:c r="B18" s="57" t="str">
        <x:v>Channel height</x:v>
      </x:c>
      <x:c r="C18" s="57" t="n">
        <x:v>0.002</x:v>
      </x:c>
      <x:c r="D18" s="57" t="str">
        <x:v>m</x:v>
      </x:c>
      <x:c r="E18" s="52"/>
      <x:c r="F18" s="52"/>
      <x:c r="G18" s="52"/>
      <x:c r="H18" s="52"/>
    </x:row>
    <x:row r="19">
      <x:c r="A19" s="57" t="str">
        <x:v>Channel</x:v>
      </x:c>
      <x:c r="B19" s="57" t="str">
        <x:v>Spacer porosity</x:v>
      </x:c>
      <x:c r="C19" s="57" t="n">
        <x:v>0.75</x:v>
      </x:c>
      <x:c r="D19" s="57" t="str">
        <x:v>-</x:v>
      </x:c>
      <x:c r="E19" s="52"/>
      <x:c r="F19" s="52"/>
      <x:c r="G19" s="52"/>
      <x:c r="H19" s="52"/>
    </x:row>
    <x:row r="20">
      <x:c r="A20" s="57" t="str">
        <x:v>Channel</x:v>
      </x:c>
      <x:c r="B20" s="57" t="str">
        <x:v>Equivalent channel length</x:v>
      </x:c>
      <x:c r="C20" s="57" t="n">
        <x:v>20</x:v>
      </x:c>
      <x:c r="D20" s="57" t="str">
        <x:v>m</x:v>
      </x:c>
      <x:c r="E20" s="52"/>
      <x:c r="F20" s="52"/>
      <x:c r="G20" s="52"/>
      <x:c r="H20" s="52"/>
    </x:row>
    <x:row r="21">
      <x:c r="A21" s="57" t="str">
        <x:v>Model</x:v>
      </x:c>
      <x:c r="B21" s="57" t="str">
        <x:v>CP / mass-transfer coefficient</x:v>
      </x:c>
      <x:c r="C21" s="57" t="str">
        <x:v>calculated</x:v>
      </x:c>
      <x:c r="D21" s="57" t="str">
        <x:v>WaterTAP calculated</x:v>
      </x:c>
      <x:c r="E21" s="52"/>
      <x:c r="F21" s="52"/>
      <x:c r="G21" s="52"/>
      <x:c r="H21" s="52"/>
    </x:row>
    <x:row r="22">
      <x:c r="A22" s="52"/>
      <x:c r="B22" s="52"/>
      <x:c r="C22" s="52"/>
      <x:c r="D22" s="52"/>
      <x:c r="E22" s="52"/>
      <x:c r="F22" s="52"/>
      <x:c r="G22" s="52"/>
      <x:c r="H22" s="52"/>
    </x:row>
    <x:row r="23">
      <x:c r="A23" s="52"/>
      <x:c r="B23" s="52"/>
      <x:c r="C23" s="52"/>
      <x:c r="D23" s="52"/>
      <x:c r="E23" s="52"/>
      <x:c r="F23" s="52"/>
      <x:c r="G23" s="52"/>
      <x:c r="H23" s="52"/>
    </x:row>
    <x:row r="24" ht="24" customHeight="1">
      <x:c r="A24" s="58" t="str">
        <x:v>Task boundary: the disturbance source is feed temperature. The membrane and system design remain fixed. The benchmark evaluates same-setpoint causal comparison followed by evidence-driven pressure or Pressure–Flow response.</x:v>
      </x:c>
      <x:c r="B24" s="58"/>
      <x:c r="C24" s="58"/>
      <x:c r="D24" s="58"/>
      <x:c r="E24" s="52"/>
      <x:c r="F24" s="55" t="str">
        <x:v>Required tasks</x:v>
      </x:c>
      <x:c r="G24" s="55"/>
      <x:c r="H24" s="55"/>
    </x:row>
    <x:row r="25" ht="24" customHeight="1">
      <x:c r="A25" s="58"/>
      <x:c r="B25" s="58"/>
      <x:c r="C25" s="58"/>
      <x:c r="D25" s="58"/>
      <x:c r="E25" s="52"/>
      <x:c r="F25" s="59" t="str">
        <x:v>1. Verify each proposed 32/38/18°C SOP line; do not treat a near-threshold value as a pass without simulation evidence.</x:v>
      </x:c>
      <x:c r="G25" s="59"/>
      <x:c r="H25" s="59"/>
    </x:row>
    <x:row r="26" ht="24" customHeight="1">
      <x:c r="A26" s="58"/>
      <x:c r="B26" s="58"/>
      <x:c r="C26" s="58"/>
      <x:c r="D26" s="58"/>
      <x:c r="E26" s="52"/>
      <x:c r="F26" s="59" t="str">
        <x:v>2. At 38°C, audit whether 52.22 bar truly satisfies Qp ≥ 6.50 m³/h and find the minimum pressure correction if it fails.</x:v>
      </x:c>
      <x:c r="G26" s="59"/>
      <x:c r="H26" s="59"/>
    </x:row>
    <x:row r="27" ht="24" customHeight="1">
      <x:c r="A27" s="58"/>
      <x:c r="B27" s="58"/>
      <x:c r="C27" s="58"/>
      <x:c r="D27" s="58"/>
      <x:c r="E27" s="52"/>
      <x:c r="F27" s="59" t="str">
        <x:v>3. At 18°C, audit whether 50.50 bar / 4.080 kg/s truly satisfies Recovery ≤ 46.5% and find the minimum flow correction if it fails.</x:v>
      </x:c>
      <x:c r="G27" s="59"/>
      <x:c r="H27" s="59"/>
    </x:row>
    <x:row r="28" ht="24" customHeight="1">
      <x:c r="A28" s="58"/>
      <x:c r="B28" s="58"/>
      <x:c r="C28" s="58"/>
      <x:c r="D28" s="58"/>
      <x:c r="E28" s="52"/>
      <x:c r="F28" s="59" t="str">
        <x:v>4. Corrections must be local and minimal; do not raise pressure or flow across all temperature states for convenience.</x:v>
      </x:c>
      <x:c r="G28" s="59"/>
      <x:c r="H28" s="59"/>
    </x:row>
    <x:row r="29" ht="24" customHeight="1">
      <x:c r="A29" s="58"/>
      <x:c r="B29" s="58"/>
      <x:c r="C29" s="58"/>
      <x:c r="D29" s="58"/>
      <x:c r="E29" s="52"/>
      <x:c r="F29" s="59" t="str">
        <x:v>5. Provide a before/after SOP table and identify the hard constraint that invalidates each erroneous line.</x:v>
      </x:c>
      <x:c r="G29" s="59"/>
      <x:c r="H29" s="59"/>
    </x:row>
    <x:row r="30" ht="36" customHeight="1">
      <x:c r="A30" s="52"/>
      <x:c r="B30" s="52"/>
      <x:c r="C30" s="52"/>
      <x:c r="D30" s="52"/>
      <x:c r="E30" s="52"/>
      <x:c r="F30" s="59" t="str">
        <x:v>6. Explain why near-pass points such as 52.22 bar and 4.080 kg/s are still FAILs and why premature stopping creates operating risk.</x:v>
      </x:c>
      <x:c r="G30" s="59"/>
      <x:c r="H30" s="59"/>
    </x:row>
    <x:row r="31">
      <x:c r="A31" s="52"/>
      <x:c r="B31" s="52"/>
      <x:c r="C31" s="52"/>
      <x:c r="D31" s="52"/>
      <x:c r="E31" s="52"/>
      <x:c r="F31" s="52"/>
      <x:c r="G31" s="52"/>
      <x:c r="H31" s="52"/>
    </x:row>
    <x:row r="32">
      <x:c r="A32" s="52"/>
      <x:c r="B32" s="52"/>
      <x:c r="C32" s="52"/>
      <x:c r="D32" s="52"/>
      <x:c r="E32" s="52"/>
      <x:c r="F32" s="52"/>
      <x:c r="G32" s="52"/>
      <x:c r="H32" s="52"/>
    </x:row>
  </x:sheetData>
  <x:mergeCells>
    <x:mergeCell ref="A1:H1"/>
    <x:mergeCell ref="A3:H5"/>
    <x:mergeCell ref="A7:D7"/>
    <x:mergeCell ref="F7:H7"/>
    <x:mergeCell ref="F24:H24"/>
    <x:mergeCell ref="F25:H25"/>
    <x:mergeCell ref="F26:H26"/>
    <x:mergeCell ref="F27:H27"/>
    <x:mergeCell ref="F28:H28"/>
    <x:mergeCell ref="F29:H29"/>
    <x:mergeCell ref="F30:H30"/>
    <x:mergeCell ref="A24:D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81" t="str">
        <x:v>D2-2a: Gold Answer — SOPAudit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</x:row>
    <x:row r="3">
      <x:c r="A3" s="82" t="str">
        <x:v>Reference efficient trajectory: about 5–7 simulate_ro calls. Preserve the feed-temperature causal comparison and stop once boundary evidence is sufficient.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</x:row>
    <x:row r="4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</x:row>
    <x:row r="6">
      <x:c r="A6" s="55" t="str">
        <x:v>Human-view reasoning trajectory</x:v>
      </x:c>
      <x:c r="B6" s="55"/>
      <x:c r="C6" s="55"/>
      <x:c r="D6" s="55"/>
      <x:c r="E6" s="55"/>
      <x:c r="F6" s="55"/>
      <x:c r="G6" s="55"/>
      <x:c r="H6" s="52"/>
      <x:c r="I6" s="52"/>
      <x:c r="J6" s="52"/>
      <x:c r="K6" s="52"/>
      <x:c r="L6" s="52"/>
      <x:c r="M6" s="52"/>
      <x:c r="N6" s="52"/>
    </x:row>
    <x:row r="7">
      <x:c r="A7" s="56" t="str">
        <x:v>Step</x:v>
      </x:c>
      <x:c r="B7" s="56" t="str">
        <x:v>Human action</x:v>
      </x:c>
      <x:c r="C7" s="56" t="str">
        <x:v>Input</x:v>
      </x:c>
      <x:c r="D7" s="56" t="str">
        <x:v>Tool call / action</x:v>
      </x:c>
      <x:c r="E7" s="56" t="str">
        <x:v>Key output</x:v>
      </x:c>
      <x:c r="F7" s="56" t="str">
        <x:v>How it informs next step</x:v>
      </x:c>
      <x:c r="G7" s="56" t="str">
        <x:v>Primary criterion</x:v>
      </x:c>
      <x:c r="H7" s="52"/>
      <x:c r="I7" s="52"/>
      <x:c r="J7" s="52"/>
      <x:c r="K7" s="52"/>
      <x:c r="L7" s="52"/>
      <x:c r="M7" s="52"/>
      <x:c r="N7" s="52"/>
    </x:row>
    <x:row r="8" ht="36" customHeight="1">
      <x:c r="A8" s="57" t="n">
        <x:v>1</x:v>
      </x:c>
      <x:c r="B8" s="57" t="str">
        <x:v>Verify normal SOP line</x:v>
      </x:c>
      <x:c r="C8" s="57" t="str">
        <x:v>32°C; 52.00 bar; 4.073 kg/s</x:v>
      </x:c>
      <x:c r="D8" s="57" t="str">
        <x:v>simulate_ro #1</x:v>
      </x:c>
      <x:c r="E8" s="57" t="str">
        <x:v>All constraints pass</x:v>
      </x:c>
      <x:c r="F8" s="57" t="str">
        <x:v>Keep this line</x:v>
      </x:c>
      <x:c r="G8" s="57" t="str"/>
      <x:c r="H8" s="52"/>
      <x:c r="I8" s="52"/>
      <x:c r="J8" s="52"/>
      <x:c r="K8" s="52"/>
      <x:c r="L8" s="52"/>
      <x:c r="M8" s="52"/>
      <x:c r="N8" s="52"/>
    </x:row>
    <x:row r="9" ht="36" customHeight="1">
      <x:c r="A9" s="57" t="n">
        <x:v>2</x:v>
      </x:c>
      <x:c r="B9" s="57" t="str">
        <x:v>Audit hot SOP line</x:v>
      </x:c>
      <x:c r="C9" s="57" t="str">
        <x:v>38°C; 52.22 bar; 4.073 kg/s</x:v>
      </x:c>
      <x:c r="D9" s="57" t="str">
        <x:v>simulate_ro #2</x:v>
      </x:c>
      <x:c r="E9" s="57" t="str">
        <x:v>Qp≈6.4991 &lt; 6.50</x:v>
      </x:c>
      <x:c r="F9" s="57" t="str">
        <x:v>FAIL; minimum pressure increase required</x:v>
      </x:c>
      <x:c r="G9" s="57" t="str"/>
      <x:c r="H9" s="52"/>
      <x:c r="I9" s="52"/>
      <x:c r="J9" s="52"/>
      <x:c r="K9" s="52"/>
      <x:c r="L9" s="52"/>
      <x:c r="M9" s="52"/>
      <x:c r="N9" s="52"/>
    </x:row>
    <x:row r="10" ht="36" customHeight="1">
      <x:c r="A10" s="57" t="n">
        <x:v>3</x:v>
      </x:c>
      <x:c r="B10" s="57" t="str">
        <x:v>Verify minimum hot correction</x:v>
      </x:c>
      <x:c r="C10" s="57" t="str">
        <x:v>38°C; 52.23 bar; 4.073 kg/s</x:v>
      </x:c>
      <x:c r="D10" s="57" t="str">
        <x:v>simulate_ro #3</x:v>
      </x:c>
      <x:c r="E10" s="57" t="str">
        <x:v>Qp≈6.5010; all pass</x:v>
      </x:c>
      <x:c r="F10" s="57" t="str">
        <x:v>Revise to 52.23 bar</x:v>
      </x:c>
      <x:c r="G10" s="57" t="str"/>
      <x:c r="H10" s="52"/>
      <x:c r="I10" s="52"/>
      <x:c r="J10" s="52"/>
      <x:c r="K10" s="52"/>
      <x:c r="L10" s="52"/>
      <x:c r="M10" s="52"/>
      <x:c r="N10" s="52"/>
    </x:row>
    <x:row r="11" ht="36" customHeight="1">
      <x:c r="A11" s="57" t="n">
        <x:v>4</x:v>
      </x:c>
      <x:c r="B11" s="57" t="str">
        <x:v>Audit cold SOP line</x:v>
      </x:c>
      <x:c r="C11" s="57" t="str">
        <x:v>18°C; 50.50 bar; 4.080 kg/s</x:v>
      </x:c>
      <x:c r="D11" s="57" t="str">
        <x:v>simulate_ro #4</x:v>
      </x:c>
      <x:c r="E11" s="57" t="str">
        <x:v>Recovery≈46.525% &gt; 46.5%</x:v>
      </x:c>
      <x:c r="F11" s="57" t="str">
        <x:v>FAIL; minimum flow increase required</x:v>
      </x:c>
      <x:c r="G11" s="57" t="str"/>
      <x:c r="H11" s="52"/>
      <x:c r="I11" s="52"/>
      <x:c r="J11" s="52"/>
      <x:c r="K11" s="52"/>
      <x:c r="L11" s="52"/>
      <x:c r="M11" s="52"/>
      <x:c r="N11" s="52"/>
    </x:row>
    <x:row r="12" ht="36" customHeight="1">
      <x:c r="A12" s="57" t="n">
        <x:v>5</x:v>
      </x:c>
      <x:c r="B12" s="57" t="str">
        <x:v>Verify minimum cold correction</x:v>
      </x:c>
      <x:c r="C12" s="57" t="str">
        <x:v>18°C; 50.50 bar; 4.085 kg/s</x:v>
      </x:c>
      <x:c r="D12" s="57" t="str">
        <x:v>simulate_ro #5</x:v>
      </x:c>
      <x:c r="E12" s="57" t="str">
        <x:v>Recovery≈46.496%; all pass</x:v>
      </x:c>
      <x:c r="F12" s="57" t="str">
        <x:v>Revise to 4.085 kg/s</x:v>
      </x:c>
      <x:c r="G12" s="57" t="str"/>
      <x:c r="H12" s="52"/>
      <x:c r="I12" s="52"/>
      <x:c r="J12" s="52"/>
      <x:c r="K12" s="52"/>
      <x:c r="L12" s="52"/>
      <x:c r="M12" s="52"/>
      <x:c r="N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</x:row>
    <x:row r="15">
      <x:c r="A15" s="55" t="str">
        <x:v>Direct simulate_ro results</x:v>
      </x:c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</x:row>
    <x:row r="16">
      <x:c r="A16" s="56" t="str">
        <x:v>Scenario</x:v>
      </x:c>
      <x:c r="B16" s="56" t="str">
        <x:v>T °C</x:v>
      </x:c>
      <x:c r="C16" s="56" t="str">
        <x:v>Pressure bar</x:v>
      </x:c>
      <x:c r="D16" s="56" t="str">
        <x:v>Feed kg/s</x:v>
      </x:c>
      <x:c r="E16" s="56" t="str">
        <x:v>Permeate kg/s</x:v>
      </x:c>
      <x:c r="F16" s="56" t="str">
        <x:v>Qp m³/h</x:v>
      </x:c>
      <x:c r="G16" s="56" t="str">
        <x:v>Flux LMH</x:v>
      </x:c>
      <x:c r="H16" s="56" t="str">
        <x:v>Recovery %</x:v>
      </x:c>
      <x:c r="I16" s="56" t="str">
        <x:v>Rejection %</x:v>
      </x:c>
      <x:c r="J16" s="56" t="str">
        <x:v>NaCl mg/L</x:v>
      </x:c>
      <x:c r="K16" s="56" t="str">
        <x:v>Production</x:v>
      </x:c>
      <x:c r="L16" s="56" t="str">
        <x:v>Recovery</x:v>
      </x:c>
      <x:c r="M16" s="56" t="str">
        <x:v>Quality</x:v>
      </x:c>
      <x:c r="N16" s="56" t="str">
        <x:v>Overall</x:v>
      </x:c>
    </x:row>
    <x:row r="17">
      <x:c r="A17" s="57" t="str">
        <x:v>Normal baseline</x:v>
      </x:c>
      <x:c r="B17" s="57" t="n">
        <x:v>32</x:v>
      </x:c>
      <x:c r="C17" s="83" t="n">
        <x:v>52</x:v>
      </x:c>
      <x:c r="D17" s="84" t="n">
        <x:v>4.073</x:v>
      </x:c>
      <x:c r="E17" s="84" t="n">
        <x:v>1.8317024077875053</x:v>
      </x:c>
      <x:c r="F17" s="84" t="n">
        <x:v>6.594128668035019</x:v>
      </x:c>
      <x:c r="G17" s="84" t="n">
        <x:v>16.479440695464636</x:v>
      </x:c>
      <x:c r="H17" s="84" t="n">
        <x:v>45.9844466906034</x:v>
      </x:c>
      <x:c r="I17" s="84" t="n">
        <x:v>98.83705234864722</x:v>
      </x:c>
      <x:c r="J17" s="84" t="n">
        <x:v>356.7400588598959</x:v>
      </x:c>
      <x:c r="K17" s="57" t="str">
        <x:v>PASS</x:v>
      </x:c>
      <x:c r="L17" s="57" t="str">
        <x:v>PASS</x:v>
      </x:c>
      <x:c r="M17" s="57" t="str">
        <x:v>PASS</x:v>
      </x:c>
      <x:c r="N17" s="57" t="str">
        <x:v>PASS</x:v>
      </x:c>
    </x:row>
    <x:row r="18">
      <x:c r="A18" s="57" t="str">
        <x:v>38°C boundary: 52.22 bar</x:v>
      </x:c>
      <x:c r="B18" s="57" t="n">
        <x:v>38</x:v>
      </x:c>
      <x:c r="C18" s="83" t="n">
        <x:v>52.22</x:v>
      </x:c>
      <x:c r="D18" s="84" t="n">
        <x:v>4.073</x:v>
      </x:c>
      <x:c r="E18" s="84" t="n">
        <x:v>1.805318117379592</x:v>
      </x:c>
      <x:c r="F18" s="84" t="n">
        <x:v>6.499145222566532</x:v>
      </x:c>
      <x:c r="G18" s="84" t="n">
        <x:v>16.247863056416328</x:v>
      </x:c>
      <x:c r="H18" s="84" t="n">
        <x:v>45.32146690287848</x:v>
      </x:c>
      <x:c r="I18" s="84" t="n">
        <x:v>98.83139039297932</x:v>
      </x:c>
      <x:c r="J18" s="84" t="n">
        <x:v>358.4677584659749</x:v>
      </x:c>
      <x:c r="K18" s="57" t="str">
        <x:v>FAIL</x:v>
      </x:c>
      <x:c r="L18" s="57" t="str">
        <x:v>PASS</x:v>
      </x:c>
      <x:c r="M18" s="57" t="str">
        <x:v>PASS</x:v>
      </x:c>
      <x:c r="N18" s="57" t="str">
        <x:v>FAIL</x:v>
      </x:c>
    </x:row>
    <x:row r="19">
      <x:c r="A19" s="57" t="str">
        <x:v>38°C recommended: 52.23 bar</x:v>
      </x:c>
      <x:c r="B19" s="57" t="n">
        <x:v>38</x:v>
      </x:c>
      <x:c r="C19" s="83" t="n">
        <x:v>52.23</x:v>
      </x:c>
      <x:c r="D19" s="84" t="n">
        <x:v>4.073</x:v>
      </x:c>
      <x:c r="E19" s="84" t="n">
        <x:v>1.8058371863543485</x:v>
      </x:c>
      <x:c r="F19" s="84" t="n">
        <x:v>6.501013870875655</x:v>
      </x:c>
      <x:c r="G19" s="84" t="n">
        <x:v>16.252534677189136</x:v>
      </x:c>
      <x:c r="H19" s="84" t="n">
        <x:v>45.33449538194405</x:v>
      </x:c>
      <x:c r="I19" s="84" t="n">
        <x:v>98.83154211921692</x:v>
      </x:c>
      <x:c r="J19" s="84" t="n">
        <x:v>358.4211274664824</x:v>
      </x:c>
      <x:c r="K19" s="57" t="str">
        <x:v>PASS</x:v>
      </x:c>
      <x:c r="L19" s="57" t="str">
        <x:v>PASS</x:v>
      </x:c>
      <x:c r="M19" s="57" t="str">
        <x:v>PASS</x:v>
      </x:c>
      <x:c r="N19" s="57" t="str">
        <x:v>PASS</x:v>
      </x:c>
    </x:row>
    <x:row r="20">
      <x:c r="A20" s="57" t="str">
        <x:v>18°C coupled: 4.080 kg/s</x:v>
      </x:c>
      <x:c r="B20" s="57" t="n">
        <x:v>18</x:v>
      </x:c>
      <x:c r="C20" s="83" t="n">
        <x:v>50.5</x:v>
      </x:c>
      <x:c r="D20" s="84" t="n">
        <x:v>4.08</x:v>
      </x:c>
      <x:c r="E20" s="84" t="n">
        <x:v>1.8562702477247033</x:v>
      </x:c>
      <x:c r="F20" s="84" t="n">
        <x:v>6.682572891808932</x:v>
      </x:c>
      <x:c r="G20" s="84" t="n">
        <x:v>16.706432229522328</x:v>
      </x:c>
      <x:c r="H20" s="84" t="n">
        <x:v>46.525310328417184</x:v>
      </x:c>
      <x:c r="I20" s="84" t="n">
        <x:v>98.85752255488407</x:v>
      </x:c>
      <x:c r="J20" s="84" t="n">
        <x:v>350.3472232682191</x:v>
      </x:c>
      <x:c r="K20" s="57" t="str">
        <x:v>PASS</x:v>
      </x:c>
      <x:c r="L20" s="57" t="str">
        <x:v>FAIL</x:v>
      </x:c>
      <x:c r="M20" s="57" t="str">
        <x:v>PASS</x:v>
      </x:c>
      <x:c r="N20" s="57" t="str">
        <x:v>FAIL</x:v>
      </x:c>
    </x:row>
    <x:row r="21">
      <x:c r="A21" s="57" t="str">
        <x:v>18°C coupled recommended: 4.085 kg/s</x:v>
      </x:c>
      <x:c r="B21" s="57" t="n">
        <x:v>18</x:v>
      </x:c>
      <x:c r="C21" s="83" t="n">
        <x:v>50.5</x:v>
      </x:c>
      <x:c r="D21" s="84" t="n">
        <x:v>4.085</x:v>
      </x:c>
      <x:c r="E21" s="84" t="n">
        <x:v>1.8573737482350585</x:v>
      </x:c>
      <x:c r="F21" s="84" t="n">
        <x:v>6.686545493646211</x:v>
      </x:c>
      <x:c r="G21" s="84" t="n">
        <x:v>16.71636373411553</x:v>
      </x:c>
      <x:c r="H21" s="84" t="n">
        <x:v>46.49647555546742</x:v>
      </x:c>
      <x:c r="I21" s="84" t="n">
        <x:v>98.85833164161593</x:v>
      </x:c>
      <x:c r="J21" s="84" t="n">
        <x:v>350.0981775703142</x:v>
      </x:c>
      <x:c r="K21" s="57" t="str">
        <x:v>PASS</x:v>
      </x:c>
      <x:c r="L21" s="57" t="str">
        <x:v>PASS</x:v>
      </x:c>
      <x:c r="M21" s="57" t="str">
        <x:v>PASS</x:v>
      </x:c>
      <x:c r="N21" s="57" t="str">
        <x:v>PASS</x:v>
      </x:c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</x:row>
    <x:row r="23">
      <x:c r="A23" s="55" t="str">
        <x:v>Final operating recommendation</x:v>
      </x:c>
      <x:c r="B23" s="55"/>
      <x:c r="C23" s="55"/>
      <x:c r="D23" s="55"/>
      <x:c r="E23" s="55"/>
      <x:c r="F23" s="55"/>
      <x:c r="G23" s="52"/>
      <x:c r="H23" s="52"/>
      <x:c r="I23" s="52"/>
      <x:c r="J23" s="52"/>
      <x:c r="K23" s="52"/>
      <x:c r="L23" s="52"/>
      <x:c r="M23" s="52"/>
      <x:c r="N23" s="52"/>
    </x:row>
    <x:row r="24" ht="32" customHeight="1">
      <x:c r="A24" s="56" t="str">
        <x:v>Temperature</x:v>
      </x:c>
      <x:c r="B24" s="56" t="str">
        <x:v>Proposed SOP</x:v>
      </x:c>
      <x:c r="C24" s="56" t="str">
        <x:v>Audit result</x:v>
      </x:c>
      <x:c r="D24" s="56" t="str">
        <x:v>Revised SOP</x:v>
      </x:c>
      <x:c r="E24" s="52"/>
      <x:c r="F24" s="85" t="str">
        <x:v>The proposed SOP contains two near-boundary errors. At 38°C, 52.22 bar gives Qp≈6.4991 m³/h, still below 6.50; the minimum correction is 52.23 bar. At 18°C, 50.50 bar / 4.080 kg/s gives Recovery≈46.525%, still above 46.5%; the minimum correction is 4.085 kg/s. The 32°C line remains unchanged.</x:v>
      </x:c>
      <x:c r="G24" s="85"/>
      <x:c r="H24" s="85"/>
      <x:c r="I24" s="85"/>
      <x:c r="J24" s="85"/>
      <x:c r="K24" s="85"/>
      <x:c r="L24" s="85"/>
      <x:c r="M24" s="85"/>
      <x:c r="N24" s="85"/>
    </x:row>
    <x:row r="25" ht="32" customHeight="1">
      <x:c r="A25" s="57" t="str">
        <x:v>32°C</x:v>
      </x:c>
      <x:c r="B25" s="57" t="str">
        <x:v>52.00 bar / 4.073 kg/s</x:v>
      </x:c>
      <x:c r="C25" s="57" t="str">
        <x:v>PASS</x:v>
      </x:c>
      <x:c r="D25" s="57" t="str">
        <x:v>No change</x:v>
      </x:c>
      <x:c r="E25" s="52"/>
      <x:c r="F25" s="85"/>
      <x:c r="G25" s="85"/>
      <x:c r="H25" s="85"/>
      <x:c r="I25" s="85"/>
      <x:c r="J25" s="85"/>
      <x:c r="K25" s="85"/>
      <x:c r="L25" s="85"/>
      <x:c r="M25" s="85"/>
      <x:c r="N25" s="85"/>
    </x:row>
    <x:row r="26" ht="32" customHeight="1">
      <x:c r="A26" s="57" t="str">
        <x:v>38°C</x:v>
      </x:c>
      <x:c r="B26" s="57" t="str">
        <x:v>52.22 bar / 4.073 kg/s</x:v>
      </x:c>
      <x:c r="C26" s="57" t="str">
        <x:v>FAIL: Qp</x:v>
      </x:c>
      <x:c r="D26" s="57" t="str">
        <x:v>52.23 bar / 4.073 kg/s</x:v>
      </x:c>
      <x:c r="E26" s="52"/>
      <x:c r="F26" s="85"/>
      <x:c r="G26" s="85"/>
      <x:c r="H26" s="85"/>
      <x:c r="I26" s="85"/>
      <x:c r="J26" s="85"/>
      <x:c r="K26" s="85"/>
      <x:c r="L26" s="85"/>
      <x:c r="M26" s="85"/>
      <x:c r="N26" s="85"/>
    </x:row>
    <x:row r="27" ht="32" customHeight="1">
      <x:c r="A27" s="57" t="str">
        <x:v>18°C</x:v>
      </x:c>
      <x:c r="B27" s="57" t="str">
        <x:v>50.50 bar / 4.080 kg/s</x:v>
      </x:c>
      <x:c r="C27" s="57" t="str">
        <x:v>FAIL: Recovery</x:v>
      </x:c>
      <x:c r="D27" s="57" t="str">
        <x:v>50.50 bar / 4.085 kg/s</x:v>
      </x:c>
      <x:c r="E27" s="52"/>
      <x:c r="F27" s="85"/>
      <x:c r="G27" s="85"/>
      <x:c r="H27" s="85"/>
      <x:c r="I27" s="85"/>
      <x:c r="J27" s="85"/>
      <x:c r="K27" s="85"/>
      <x:c r="L27" s="85"/>
      <x:c r="M27" s="85"/>
      <x:c r="N27" s="85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</x:row>
  </x:sheetData>
  <x:mergeCells>
    <x:mergeCell ref="A1:N1"/>
    <x:mergeCell ref="A3:N4"/>
    <x:mergeCell ref="A6:G6"/>
    <x:mergeCell ref="A15:N15"/>
    <x:mergeCell ref="A23:F23"/>
    <x:mergeCell ref="F24:N27"/>
  </x:mergeCells>
  <x:conditionalFormatting sqref="N17:N21">
    <x:cfRule type="expression" dxfId="0" priority="1">
      <x:formula>N17="PASS"</x:formula>
    </x:cfRule>
    <x:cfRule type="expression" dxfId="1" priority="2">
      <x:formula>N17="FAIL"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2" hidden="0" customWidth="1"/>
    <x:col min="4" max="4" width="28" hidden="0" customWidth="1"/>
    <x:col min="5" max="5" width="30" hidden="0" customWidth="1"/>
    <x:col min="6" max="6" width="10" hidden="0" customWidth="1"/>
    <x:col min="7" max="7" width="10" hidden="0" customWidth="1"/>
  </x:cols>
  <x:sheetData>
    <x:row r="1">
      <x:c r="A1" s="95" t="str">
        <x:v>D2-2a: Trajectory Quality Rubric (100 points)</x:v>
      </x:c>
      <x:c r="B1" s="95"/>
      <x:c r="C1" s="95"/>
      <x:c r="D1" s="95"/>
      <x:c r="E1" s="95"/>
      <x:c r="F1" s="95"/>
      <x:c r="G1" s="95"/>
    </x:row>
    <x:row r="2">
      <x:c r="A2" s="52"/>
      <x:c r="B2" s="52"/>
      <x:c r="C2" s="52"/>
      <x:c r="D2" s="52"/>
      <x:c r="E2" s="52"/>
      <x:c r="F2" s="52"/>
      <x:c r="G2" s="52"/>
    </x:row>
    <x:row r="3">
      <x:c r="A3" s="82" t="str">
        <x:v>Evaluate the full State → Plan → Tool call → Observation → Update → Next action → Stop/Decision trajectory. Alternative reasonable call orders are allowed, but the feed-temperature causal comparison and evidence-driven replanning must be preserved.</x:v>
      </x:c>
      <x:c r="B3" s="82"/>
      <x:c r="C3" s="82"/>
      <x:c r="D3" s="82"/>
      <x:c r="E3" s="82"/>
      <x:c r="F3" s="82"/>
      <x:c r="G3" s="82"/>
    </x:row>
    <x:row r="4">
      <x:c r="A4" s="82"/>
      <x:c r="B4" s="82"/>
      <x:c r="C4" s="82"/>
      <x:c r="D4" s="82"/>
      <x:c r="E4" s="82"/>
      <x:c r="F4" s="82"/>
      <x:c r="G4" s="82"/>
    </x:row>
    <x:row r="5">
      <x:c r="A5" s="52"/>
      <x:c r="B5" s="52"/>
      <x:c r="C5" s="52"/>
      <x:c r="D5" s="52"/>
      <x:c r="E5" s="52"/>
      <x:c r="F5" s="52"/>
      <x:c r="G5" s="52"/>
    </x:row>
    <x:row r="6">
      <x:c r="A6" s="52"/>
      <x:c r="B6" s="52"/>
      <x:c r="C6" s="52"/>
      <x:c r="D6" s="52"/>
      <x:c r="E6" s="52"/>
      <x:c r="F6" s="52"/>
      <x:c r="G6" s="52"/>
    </x:row>
    <x:row r="7">
      <x:c r="A7" s="56" t="str">
        <x:v>Trajectory dimension</x:v>
      </x:c>
      <x:c r="B7" s="56" t="str">
        <x:v>Focus</x:v>
      </x:c>
      <x:c r="C7" s="56" t="str">
        <x:v>Full-credit evidence</x:v>
      </x:c>
      <x:c r="D7" s="56" t="str">
        <x:v>Partial credit</x:v>
      </x:c>
      <x:c r="E7" s="56" t="str">
        <x:v>Key failure mode</x:v>
      </x:c>
      <x:c r="F7" s="56" t="str">
        <x:v>Weight</x:v>
      </x:c>
      <x:c r="G7" s="56" t="str">
        <x:v>Score</x:v>
      </x:c>
    </x:row>
    <x:row r="8">
      <x:c r="A8" s="57" t="str">
        <x:v>TQ1 Problem framing</x:v>
      </x:c>
      <x:c r="B8" s="57" t="str">
        <x:v>Recognize SOP audit, not redesign</x:v>
      </x:c>
      <x:c r="C8" s="57" t="str">
        <x:v>Verify each existing setpoint</x:v>
      </x:c>
      <x:c r="D8" s="57" t="str">
        <x:v>Incomplete audit</x:v>
      </x:c>
      <x:c r="E8" s="57" t="str">
        <x:v>Creates a new strategy from scratch</x:v>
      </x:c>
      <x:c r="F8" s="57" t="n">
        <x:v>15</x:v>
      </x:c>
      <x:c r="G8" s="57" t="str"/>
    </x:row>
    <x:row r="9">
      <x:c r="A9" s="57" t="str">
        <x:v>TQ2 Planning</x:v>
      </x:c>
      <x:c r="B9" s="57" t="str">
        <x:v>Prioritize near-boundary verification</x:v>
      </x:c>
      <x:c r="C9" s="57" t="str">
        <x:v>32 baseline → 38 audit → 18 audit</x:v>
      </x:c>
      <x:c r="D9" s="57" t="str">
        <x:v>Reasonable sequence</x:v>
      </x:c>
      <x:c r="E9" s="57" t="str">
        <x:v>Uses rounding instead of simulation</x:v>
      </x:c>
      <x:c r="F9" s="57" t="n">
        <x:v>15</x:v>
      </x:c>
      <x:c r="G9" s="57" t="str"/>
    </x:row>
    <x:row r="10">
      <x:c r="A10" s="57" t="str">
        <x:v>TQ3 Tool-call correctness</x:v>
      </x:c>
      <x:c r="B10" s="57" t="str">
        <x:v>Apply minimal local correction</x:v>
      </x:c>
      <x:c r="C10" s="57" t="str">
        <x:v>52.22→52.23; 4.080→4.085</x:v>
      </x:c>
      <x:c r="D10" s="57" t="str">
        <x:v>Some extra points</x:v>
      </x:c>
      <x:c r="E10" s="57" t="str">
        <x:v>Raises all setpoints broadly</x:v>
      </x:c>
      <x:c r="F10" s="57" t="n">
        <x:v>20</x:v>
      </x:c>
      <x:c r="G10" s="57" t="str"/>
    </x:row>
    <x:row r="11">
      <x:c r="A11" s="57" t="str">
        <x:v>TQ4 Observation interpretation</x:v>
      </x:c>
      <x:c r="B11" s="57" t="str">
        <x:v>Apply hard constraints strictly</x:v>
      </x:c>
      <x:c r="C11" s="57" t="str">
        <x:v>6.4991 is FAIL; 46.525% is FAIL</x:v>
      </x:c>
      <x:c r="D11" s="57" t="str">
        <x:v>Main conclusion correct</x:v>
      </x:c>
      <x:c r="E11" s="57" t="str">
        <x:v>Treats near-pass as PASS</x:v>
      </x:c>
      <x:c r="F11" s="57" t="n">
        <x:v>20</x:v>
      </x:c>
      <x:c r="G11" s="57" t="str"/>
    </x:row>
    <x:row r="12">
      <x:c r="A12" s="57" t="str">
        <x:v>TQ5 Correction strategy</x:v>
      </x:c>
      <x:c r="B12" s="57" t="str">
        <x:v>Fix only erroneous lines</x:v>
      </x:c>
      <x:c r="C12" s="57" t="str">
        <x:v>32 unchanged; minimal fixes at 38/18</x:v>
      </x:c>
      <x:c r="D12" s="57" t="str">
        <x:v>Some redundancy</x:v>
      </x:c>
      <x:c r="E12" s="57" t="str">
        <x:v>Rewrites whole SOP</x:v>
      </x:c>
      <x:c r="F12" s="57" t="n">
        <x:v>20</x:v>
      </x:c>
      <x:c r="G12" s="57" t="str"/>
    </x:row>
    <x:row r="13">
      <x:c r="A13" s="57" t="str">
        <x:v>TQ6 Final audit table</x:v>
      </x:c>
      <x:c r="B13" s="57" t="str">
        <x:v>Clear before/after SOP</x:v>
      </x:c>
      <x:c r="C13" s="57" t="str">
        <x:v>Reports violated constraint and revised value</x:v>
      </x:c>
      <x:c r="D13" s="57" t="str">
        <x:v>Limited explanation</x:v>
      </x:c>
      <x:c r="E13" s="57" t="str">
        <x:v>No final SOP</x:v>
      </x:c>
      <x:c r="F13" s="57" t="n">
        <x:v>10</x:v>
      </x:c>
      <x:c r="G13" s="57" t="str"/>
    </x:row>
    <x:row r="14">
      <x:c r="A14" s="52"/>
      <x:c r="B14" s="52"/>
      <x:c r="C14" s="52"/>
      <x:c r="D14" s="52"/>
      <x:c r="E14" s="52"/>
      <x:c r="F14" s="52"/>
      <x:c r="G14" s="52"/>
    </x:row>
    <x:row r="15">
      <x:c r="A15" s="52"/>
      <x:c r="B15" s="52"/>
      <x:c r="C15" s="52"/>
      <x:c r="D15" s="52"/>
      <x:c r="E15" s="57" t="str">
        <x:v>Trajectory Quality total</x:v>
      </x:c>
      <x:c r="F15" s="57" t="n">
        <x:v>100</x:v>
      </x:c>
      <x:c r="G15" s="57" t="n">
        <x:f>SUM(G8:G13)</x:f>
        <x:v>0</x:v>
      </x:c>
    </x:row>
    <x:row r="16">
      <x:c r="A16" s="52"/>
      <x:c r="B16" s="52"/>
      <x:c r="C16" s="52"/>
      <x:c r="D16" s="52"/>
      <x:c r="E16" s="52"/>
      <x:c r="F16" s="52"/>
      <x:c r="G16" s="52"/>
    </x:row>
    <x:row r="17">
      <x:c r="A17" s="52"/>
      <x:c r="B17" s="52"/>
      <x:c r="C17" s="52"/>
      <x:c r="D17" s="52"/>
      <x:c r="E17" s="52"/>
      <x:c r="F17" s="52"/>
      <x:c r="G17" s="52"/>
    </x:row>
    <x:row r="18">
      <x:c r="A18" s="52"/>
      <x:c r="B18" s="52"/>
      <x:c r="C18" s="52"/>
      <x:c r="D18" s="52"/>
      <x:c r="E18" s="52"/>
      <x:c r="F18" s="52"/>
      <x:c r="G18" s="52"/>
    </x:row>
    <x:row r="19">
      <x:c r="A19" s="52"/>
      <x:c r="B19" s="52"/>
      <x:c r="C19" s="52"/>
      <x:c r="D19" s="52"/>
      <x:c r="E19" s="52"/>
      <x:c r="F19" s="52"/>
      <x:c r="G19" s="52"/>
    </x:row>
    <x:row r="20">
      <x:c r="A20" s="52"/>
      <x:c r="B20" s="52"/>
      <x:c r="C20" s="52"/>
      <x:c r="D20" s="52"/>
      <x:c r="E20" s="52"/>
      <x:c r="F20" s="52"/>
      <x:c r="G20" s="52"/>
    </x:row>
  </x:sheetData>
  <x:mergeCells>
    <x:mergeCell ref="A1:G1"/>
    <x:mergeCell ref="A3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28" hidden="0" customWidth="1"/>
    <x:col min="5" max="5" width="28" hidden="0" customWidth="1"/>
    <x:col min="6" max="6" width="32" hidden="0" customWidth="1"/>
    <x:col min="7" max="7" width="10" hidden="0" customWidth="1"/>
  </x:cols>
  <x:sheetData>
    <x:row r="1">
      <x:c r="A1" s="95" t="str">
        <x:v>D2-2a: Tool Usage Efficiency (100 points)</x:v>
      </x:c>
      <x:c r="B1" s="95"/>
      <x:c r="C1" s="95"/>
      <x:c r="D1" s="95"/>
      <x:c r="E1" s="95"/>
      <x:c r="F1" s="95"/>
      <x:c r="G1" s="95"/>
    </x:row>
    <x:row r="2">
      <x:c r="A2" s="52"/>
      <x:c r="B2" s="52"/>
      <x:c r="C2" s="52"/>
      <x:c r="D2" s="52"/>
      <x:c r="E2" s="52"/>
      <x:c r="F2" s="52"/>
      <x:c r="G2" s="52"/>
    </x:row>
    <x:row r="3">
      <x:c r="A3" s="82" t="str">
        <x:v>Primary scientific tool: simulate_ro. Reference efficient trajectory: about 5–7 calls. Evaluate information gain, adaptive next-step selection, pruning, and stopping once boundary evidence is sufficient.</x:v>
      </x:c>
      <x:c r="B3" s="82"/>
      <x:c r="C3" s="82"/>
      <x:c r="D3" s="82"/>
      <x:c r="E3" s="82"/>
      <x:c r="F3" s="82"/>
      <x:c r="G3" s="82"/>
    </x:row>
    <x:row r="4">
      <x:c r="A4" s="82"/>
      <x:c r="B4" s="82"/>
      <x:c r="C4" s="82"/>
      <x:c r="D4" s="82"/>
      <x:c r="E4" s="82"/>
      <x:c r="F4" s="82"/>
      <x:c r="G4" s="82"/>
    </x:row>
    <x:row r="5">
      <x:c r="A5" s="52"/>
      <x:c r="B5" s="52"/>
      <x:c r="C5" s="52"/>
      <x:c r="D5" s="52"/>
      <x:c r="E5" s="52"/>
      <x:c r="F5" s="52"/>
      <x:c r="G5" s="52"/>
    </x:row>
    <x:row r="6">
      <x:c r="A6" s="52"/>
      <x:c r="B6" s="52"/>
      <x:c r="C6" s="52"/>
      <x:c r="D6" s="52"/>
      <x:c r="E6" s="52"/>
      <x:c r="F6" s="52"/>
      <x:c r="G6" s="52"/>
    </x:row>
    <x:row r="7">
      <x:c r="A7" s="56" t="str">
        <x:v>Efficiency dimension</x:v>
      </x:c>
      <x:c r="B7" s="56" t="str">
        <x:v>Focus</x:v>
      </x:c>
      <x:c r="C7" s="56" t="str">
        <x:v>Full-credit behavior</x:v>
      </x:c>
      <x:c r="D7" s="56" t="str">
        <x:v>Medium behavior</x:v>
      </x:c>
      <x:c r="E7" s="56" t="str">
        <x:v>Low-score behavior</x:v>
      </x:c>
      <x:c r="F7" s="56" t="str">
        <x:v>Task-specific observation</x:v>
      </x:c>
      <x:c r="G7" s="56" t="str">
        <x:v>Score</x:v>
      </x:c>
    </x:row>
    <x:row r="8">
      <x:c r="A8" s="57" t="str">
        <x:v>E1 Tool selection</x:v>
      </x:c>
      <x:c r="B8" s="57" t="str">
        <x:v>Use simulate_ro correctly</x:v>
      </x:c>
      <x:c r="C8" s="57" t="str">
        <x:v>Calls directly support temperature diagnosis/response</x:v>
      </x:c>
      <x:c r="D8" s="57" t="str">
        <x:v>Minor irrelevant calls</x:v>
      </x:c>
      <x:c r="E8" s="57" t="str">
        <x:v>Wrong tool</x:v>
      </x:c>
      <x:c r="F8" s="57" t="str">
        <x:v>Keep system design fixed</x:v>
      </x:c>
      <x:c r="G8" s="57" t="n">
        <x:v>20</x:v>
      </x:c>
    </x:row>
    <x:row r="9">
      <x:c r="A9" s="57" t="str">
        <x:v>E2 Information gain</x:v>
      </x:c>
      <x:c r="B9" s="57" t="str">
        <x:v>High-value diagnosis before refinement</x:v>
      </x:c>
      <x:c r="C9" s="57" t="str">
        <x:v>Same-setpoint diagnosis before boundary search</x:v>
      </x:c>
      <x:c r="D9" s="57" t="str">
        <x:v>A few extra boundary points</x:v>
      </x:c>
      <x:c r="E9" s="57" t="str">
        <x:v>Dense grid from the start</x:v>
      </x:c>
      <x:c r="F9" s="57" t="str">
        <x:v>Call order follows failure mechanism</x:v>
      </x:c>
      <x:c r="G9" s="57" t="n">
        <x:v>20</x:v>
      </x:c>
    </x:row>
    <x:row r="10">
      <x:c r="A10" s="57" t="str">
        <x:v>E3 Adaptive iteration</x:v>
      </x:c>
      <x:c r="B10" s="57" t="str">
        <x:v>Next call depends on prior result</x:v>
      </x:c>
      <x:c r="C10" s="57" t="str">
        <x:v>Change control direction based on Qp/Recovery evidence</x:v>
      </x:c>
      <x:c r="D10" s="57" t="str">
        <x:v>Partly adaptive</x:v>
      </x:c>
      <x:c r="E10" s="57" t="str">
        <x:v>Preset enumeration</x:v>
      </x:c>
      <x:c r="F10" s="57" t="str">
        <x:v>Switch between pressure and flow when justified</x:v>
      </x:c>
      <x:c r="G10" s="57" t="n">
        <x:v>20</x:v>
      </x:c>
    </x:row>
    <x:row r="11">
      <x:c r="A11" s="57" t="str">
        <x:v>E4 Pruning</x:v>
      </x:c>
      <x:c r="B11" s="57" t="str">
        <x:v>Stop resolved branches promptly</x:v>
      </x:c>
      <x:c r="C11" s="57" t="str">
        <x:v>Stop after boundary confirmation</x:v>
      </x:c>
      <x:c r="D11" s="57" t="str">
        <x:v>Minor repetition</x:v>
      </x:c>
      <x:c r="E11" s="57" t="str">
        <x:v>Continues solved branch</x:v>
      </x:c>
      <x:c r="F11" s="57" t="str">
        <x:v>Avoid unnecessary 2D scans</x:v>
      </x:c>
      <x:c r="G11" s="57" t="n">
        <x:v>20</x:v>
      </x:c>
    </x:row>
    <x:row r="12">
      <x:c r="A12" s="57" t="str">
        <x:v>E5 Convergence and stop</x:v>
      </x:c>
      <x:c r="B12" s="57" t="str">
        <x:v>Sufficient evidence within budget</x:v>
      </x:c>
      <x:c r="C12" s="57" t="str">
        <x:v>About 5–7 calls with complete fail/pass evidence</x:v>
      </x:c>
      <x:c r="D12" s="57" t="str">
        <x:v>Some redundancy</x:v>
      </x:c>
      <x:c r="E12" s="57" t="str">
        <x:v>Too many calls or insufficient evidence</x:v>
      </x:c>
      <x:c r="F12" s="57" t="str">
        <x:v>Near-boundary points must be verified</x:v>
      </x:c>
      <x:c r="G12" s="57" t="n">
        <x:v>20</x:v>
      </x:c>
    </x:row>
    <x:row r="13">
      <x:c r="A13" s="52"/>
      <x:c r="B13" s="52"/>
      <x:c r="C13" s="52"/>
      <x:c r="D13" s="52"/>
      <x:c r="E13" s="52"/>
      <x:c r="F13" s="52"/>
      <x:c r="G13" s="52"/>
    </x:row>
    <x:row r="14">
      <x:c r="A14" s="52"/>
      <x:c r="B14" s="52"/>
      <x:c r="C14" s="52"/>
      <x:c r="D14" s="52"/>
      <x:c r="E14" s="57" t="str">
        <x:v>Tool efficiency total</x:v>
      </x:c>
      <x:c r="F14" s="57" t="n">
        <x:v>100</x:v>
      </x:c>
      <x:c r="G14" s="57" t="n">
        <x:f>SUM(G8:G12)</x:f>
        <x:v>100</x:v>
      </x:c>
    </x:row>
    <x:row r="15">
      <x:c r="A15" s="52"/>
      <x:c r="B15" s="52"/>
      <x:c r="C15" s="52"/>
      <x:c r="D15" s="52"/>
      <x:c r="E15" s="52"/>
      <x:c r="F15" s="52"/>
      <x:c r="G15" s="52"/>
    </x:row>
    <x:row r="16">
      <x:c r="A16" s="52"/>
      <x:c r="B16" s="52"/>
      <x:c r="C16" s="52"/>
      <x:c r="D16" s="52"/>
      <x:c r="E16" s="52"/>
      <x:c r="F16" s="52"/>
      <x:c r="G16" s="52"/>
    </x:row>
    <x:row r="17">
      <x:c r="A17" s="52"/>
      <x:c r="B17" s="52"/>
      <x:c r="C17" s="52"/>
      <x:c r="D17" s="52"/>
      <x:c r="E17" s="52"/>
      <x:c r="F17" s="52"/>
      <x:c r="G17" s="52"/>
    </x:row>
    <x:row r="18">
      <x:c r="A18" s="52"/>
      <x:c r="B18" s="52"/>
      <x:c r="C18" s="52"/>
      <x:c r="D18" s="52"/>
      <x:c r="E18" s="52"/>
      <x:c r="F18" s="52"/>
      <x:c r="G18" s="52"/>
    </x:row>
  </x:sheetData>
  <x:mergeCells>
    <x:mergeCell ref="A1:G1"/>
    <x:mergeCell ref="A3:G4"/>
  </x:mergeCells>
  <x:pageMargins left="0.7" right="0.7" top="0.75" bottom="0.75" header="0.3" footer="0.3"/>
</x:worksheet>
</file>