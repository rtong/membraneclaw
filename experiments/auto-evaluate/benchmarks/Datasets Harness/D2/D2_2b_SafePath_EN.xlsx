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db0eaeb48542f4" /></Relationships>
</file>

<file path=xl/workbook.xml><?xml version="1.0" encoding="utf-8"?>
<x:workbook xmlns:x="http://schemas.openxmlformats.org/spreadsheetml/2006/main">
  <x:sheets>
    <x:sheet xmlns:r="http://schemas.openxmlformats.org/officeDocument/2006/relationships" name="Question" sheetId="1" r:id="Rf12527a4e9fb4494"/>
    <x:sheet xmlns:r="http://schemas.openxmlformats.org/officeDocument/2006/relationships" name="Gold_Answer" sheetId="2" r:id="R90eac0a1c0f14b3b"/>
    <x:sheet xmlns:r="http://schemas.openxmlformats.org/officeDocument/2006/relationships" name="Trajectory_Rubric" sheetId="3" r:id="Rc4a506b8f7b64c4e"/>
    <x:sheet xmlns:r="http://schemas.openxmlformats.org/officeDocument/2006/relationships" name="Tool_Efficiency" sheetId="4" r:id="R0904c6b7deac41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c57680d8704d7c" /><Relationship Type="http://schemas.openxmlformats.org/officeDocument/2006/relationships/theme" Target="/xl/theme/theme1.xml" Id="Rd407efd021164ba8" /><Relationship Type="http://schemas.openxmlformats.org/officeDocument/2006/relationships/sharedStrings" Target="/xl/sharedStrings.xml" Id="R5405743e8d504ade" /><Relationship Type="http://schemas.openxmlformats.org/officeDocument/2006/relationships/worksheet" Target="/xl/worksheets/sheet1.xml" Id="Rf12527a4e9fb4494" /><Relationship Type="http://schemas.openxmlformats.org/officeDocument/2006/relationships/worksheet" Target="/xl/worksheets/sheet2.xml" Id="R90eac0a1c0f14b3b" /><Relationship Type="http://schemas.openxmlformats.org/officeDocument/2006/relationships/worksheet" Target="/xl/worksheets/sheet3.xml" Id="Rc4a506b8f7b64c4e" /><Relationship Type="http://schemas.openxmlformats.org/officeDocument/2006/relationships/worksheet" Target="/xl/worksheets/sheet4.xml" Id="R0904c6b7deac41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Safe Setpoint Transition with Step-Size Constraints</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current 53.0 bar / 4.30 kg/s setpoint has a slight Recovery violation. The desired final operating point is the lower-Pressure/lower-flow setpoint 52.65 bar / 4.295 kg/s. The controller imposes step limits: Pressure may decrease by at most 0.25 bar per action, Feed flow may decrease by at most 0.005 kg/s per action, and every intermediate setpoint after the first corrective action must satisfy all operating constraints. Plan and verify a safe transition path, not just the endpoint.</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400</x:v>
      </x:c>
      <x:c r="H15" s="65" t="str">
        <x:v>mg/L</x:v>
      </x:c>
    </x:row>
    <x:row r="16">
      <x:c r="A16" s="65" t="str">
        <x:v>Hydraulics</x:v>
      </x:c>
      <x:c r="B16" s="65" t="str">
        <x:v>Pressure drop</x:v>
      </x:c>
      <x:c r="C16" s="65" t="n">
        <x:v>0.653</x:v>
      </x:c>
      <x:c r="D16" s="65" t="str">
        <x:v>bar</x:v>
      </x:c>
      <x:c r="E16" s="61"/>
      <x:c r="F16" s="65" t="str">
        <x:v>Start</x:v>
      </x:c>
      <x:c r="G16" s="65" t="str">
        <x:v>53.0 / 4.30</x:v>
      </x:c>
      <x:c r="H16" s="65" t="str">
        <x:v>Slight Recovery violation</x:v>
      </x:c>
    </x:row>
    <x:row r="17">
      <x:c r="A17" s="65" t="str">
        <x:v>Channel</x:v>
      </x:c>
      <x:c r="B17" s="65" t="str">
        <x:v>Channel height</x:v>
      </x:c>
      <x:c r="C17" s="65" t="n">
        <x:v>0.002</x:v>
      </x:c>
      <x:c r="D17" s="65" t="str">
        <x:v>m</x:v>
      </x:c>
      <x:c r="E17" s="61"/>
      <x:c r="F17" s="65" t="str">
        <x:v>Target</x:v>
      </x:c>
      <x:c r="G17" s="65" t="str">
        <x:v>52.65 / 4.295</x:v>
      </x:c>
      <x:c r="H17" s="65" t="str">
        <x:v>Must be reached</x:v>
      </x:c>
    </x:row>
    <x:row r="18">
      <x:c r="A18" s="65" t="str">
        <x:v>Channel</x:v>
      </x:c>
      <x:c r="B18" s="65" t="str">
        <x:v>Spacer porosity</x:v>
      </x:c>
      <x:c r="C18" s="65" t="n">
        <x:v>0.75</x:v>
      </x:c>
      <x:c r="D18" s="65" t="str">
        <x:v>-</x:v>
      </x:c>
      <x:c r="E18" s="61"/>
      <x:c r="F18" s="65" t="str">
        <x:v>Pressure step</x:v>
      </x:c>
      <x:c r="G18" s="65" t="str">
        <x:v>Decrease ≤0.25 bar per action</x:v>
      </x:c>
      <x:c r="H18" s="65" t="str">
        <x:v>Direct 53→52.65 is not allowed</x:v>
      </x:c>
    </x:row>
    <x:row r="19">
      <x:c r="A19" s="65" t="str">
        <x:v>Channel</x:v>
      </x:c>
      <x:c r="B19" s="65" t="str">
        <x:v>Equivalent module length</x:v>
      </x:c>
      <x:c r="C19" s="65" t="n">
        <x:v>20</x:v>
      </x:c>
      <x:c r="D19" s="65" t="str">
        <x:v>m</x:v>
      </x:c>
      <x:c r="E19" s="61"/>
      <x:c r="F19" s="65" t="str">
        <x:v>Flow step</x:v>
      </x:c>
      <x:c r="G19" s="65" t="str">
        <x:v>Decrease ≤0.005 kg/s per action</x:v>
      </x:c>
      <x:c r="H19" s="65" t="str">
        <x:v>Intermediate points must PASS</x:v>
      </x:c>
    </x:row>
    <x:row r="20">
      <x:c r="A20" s="65" t="str">
        <x:v>Model</x:v>
      </x:c>
      <x:c r="B20" s="65" t="str">
        <x:v>Concentration polarization / mass transfer</x:v>
      </x:c>
      <x:c r="C20" s="65" t="str">
        <x:v>calculated</x:v>
      </x:c>
      <x:c r="D20" s="65" t="str">
        <x:v>WaterTAP calculated</x:v>
      </x:c>
      <x:c r="E20" s="61"/>
      <x:c r="F20" s="65" t="str">
        <x:v>Safety rule</x:v>
      </x:c>
      <x:c r="G20" s="65" t="str">
        <x:v>Every intermediate point after the first corrective action must satisfy all constraints</x:v>
      </x:c>
      <x:c r="H20" s="65" t="str">
        <x:v>Reject paths through 52.60/4.30 or 52.65/4.290</x:v>
      </x:c>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Verify why the starting point requires correction.</x:v>
      </x:c>
      <x:c r="G23" s="65"/>
      <x:c r="H23" s="65"/>
    </x:row>
    <x:row r="24" ht="34" customHeight="1">
      <x:c r="A24" s="61"/>
      <x:c r="B24" s="61"/>
      <x:c r="C24" s="61"/>
      <x:c r="D24" s="61"/>
      <x:c r="E24" s="61"/>
      <x:c r="F24" s="65" t="str">
        <x:v>2. Recognize that a direct 53→52.65 bar move violates the Pressure step limit.</x:v>
      </x:c>
      <x:c r="G24" s="65"/>
      <x:c r="H24" s="65"/>
    </x:row>
    <x:row r="25" ht="34" customHeight="1">
      <x:c r="A25" s="61"/>
      <x:c r="B25" s="61"/>
      <x:c r="C25" s="61"/>
      <x:c r="D25" s="61"/>
      <x:c r="E25" s="61"/>
      <x:c r="F25" s="65" t="str">
        <x:v>3. Choose and verify a first safe landing point.</x:v>
      </x:c>
      <x:c r="G25" s="65"/>
      <x:c r="H25" s="65"/>
    </x:row>
    <x:row r="26" ht="34" customHeight="1">
      <x:c r="A26" s="61"/>
      <x:c r="B26" s="61"/>
      <x:c r="C26" s="61"/>
      <x:c r="D26" s="61"/>
      <x:c r="E26" s="61"/>
      <x:c r="F26" s="65" t="str">
        <x:v>4. Continue reducing Pressure within the step limit, then reduce flow by 0.005 kg/s to reach the target.</x:v>
      </x:c>
      <x:c r="G26" s="65"/>
      <x:c r="H26" s="65"/>
    </x:row>
    <x:row r="27" ht="34" customHeight="1">
      <x:c r="A27" s="61"/>
      <x:c r="B27" s="61"/>
      <x:c r="C27" s="61"/>
      <x:c r="D27" s="61"/>
      <x:c r="E27" s="61"/>
      <x:c r="F27" s="65" t="str">
        <x:v>5. Explicitly reject paths through 52.60/4.30 or 52.65/4.290 because those points fail Qp.</x:v>
      </x:c>
      <x:c r="G27" s="65"/>
      <x:c r="H27" s="65"/>
    </x:row>
    <x:row r="28">
      <x:c r="A28" s="61"/>
      <x:c r="B28" s="61"/>
      <x:c r="C28" s="61"/>
      <x:c r="D28" s="61"/>
      <x:c r="E28" s="61"/>
      <x:c r="F28" s="61"/>
      <x:c r="G28" s="61"/>
      <x:c r="H28" s="61"/>
    </x:row>
    <x:row r="29">
      <x:c r="A29" s="66" t="str">
        <x:v>Task boundary: In D2-2b, feed conditions, membrane properties, area, and system structure remain fixed. The problem arises from the operating setpoint or the allowed operating envelope. Do not change feed quality, temperature, membrane area, or A/B.</x:v>
      </x:c>
      <x:c r="B29" s="66"/>
      <x:c r="C29" s="66"/>
      <x:c r="D29" s="66"/>
      <x:c r="E29" s="61"/>
      <x:c r="F29" s="61"/>
      <x:c r="G29" s="61"/>
      <x:c r="H29" s="61"/>
    </x:row>
    <x:row r="30">
      <x:c r="A30" s="66"/>
      <x:c r="B30" s="66"/>
      <x:c r="C30" s="66"/>
      <x:c r="D30" s="66"/>
      <x:c r="E30" s="61"/>
      <x:c r="F30" s="61"/>
      <x:c r="G30" s="61"/>
      <x:c r="H30" s="61"/>
    </x:row>
  </x:sheetData>
  <x:mergeCells>
    <x:mergeCell ref="A1:H1"/>
    <x:mergeCell ref="A4:H5"/>
    <x:mergeCell ref="A8:D8"/>
    <x:mergeCell ref="F8:H8"/>
    <x:mergeCell ref="F22:H22"/>
    <x:mergeCell ref="F23:H23"/>
    <x:mergeCell ref="F24:H24"/>
    <x:mergeCell ref="F25:H25"/>
    <x:mergeCell ref="F26:H26"/>
    <x:mergeCell ref="F27:H27"/>
    <x:mergeCell ref="A29:D30"/>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Safe transition: 53.0/4.30 (starting point; slight Recovery failure) → 52.90/4.30 (all constraints pass; ΔP=-0.10) → 52.65/4.30 (all pass; ΔP=-0.25) → 52.65/4.295 (all pass; ΔFlow=-0.005). A direct 53→52.65 move violates the 0.25-bar step limit. Paths through 52.60/4.30 or 52.65/4.290 are unsafe because Qp&lt;6.90.</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400</x:v>
      </x:c>
      <x:c r="Q9" s="77" t="str">
        <x:v>mg/L</x:v>
      </x:c>
    </x:row>
    <x:row r="10" ht="60" customHeight="1">
      <x:c r="A10" s="65" t="str">
        <x:v>Start</x:v>
      </x:c>
      <x:c r="B10" s="65" t="str">
        <x:v>D</x:v>
      </x:c>
      <x:c r="C10" s="65" t="str">
        <x:v>Recovery slightly exceeds the limit</x:v>
      </x:c>
      <x:c r="D10" s="65" t="str">
        <x:v>Correction is required</x:v>
      </x:c>
      <x:c r="E10" s="65" t="str">
        <x:v>The start itself is not safe</x:v>
      </x:c>
      <x:c r="F10" s="65" t="str">
        <x:v>Plan first landing</x:v>
      </x:c>
      <x:c r="G10" s="61"/>
      <x:c r="H10" s="61"/>
      <x:c r="I10" s="61"/>
      <x:c r="J10" s="61"/>
      <x:c r="K10" s="61"/>
      <x:c r="L10" s="61"/>
      <x:c r="M10" s="61"/>
      <x:c r="N10" s="61"/>
      <x:c r="O10" s="61"/>
      <x:c r="P10" s="61"/>
      <x:c r="Q10" s="61"/>
    </x:row>
    <x:row r="11" ht="60" customHeight="1">
      <x:c r="A11" s="65" t="str">
        <x:v>First safe landing</x:v>
      </x:c>
      <x:c r="B11" s="65" t="str">
        <x:v>E</x:v>
      </x:c>
      <x:c r="C11" s="65" t="str">
        <x:v>All constraints pass; ΔP=-0.10 bar</x:v>
      </x:c>
      <x:c r="D11" s="65" t="str">
        <x:v>Enter the safe region</x:v>
      </x:c>
      <x:c r="E11" s="65" t="str">
        <x:v>Step limit is satisfied</x:v>
      </x:c>
      <x:c r="F11" s="65" t="str">
        <x:v>Continue</x:v>
      </x:c>
      <x:c r="G11" s="61"/>
      <x:c r="H11" s="61"/>
      <x:c r="I11" s="61"/>
      <x:c r="J11" s="61"/>
      <x:c r="K11" s="61"/>
      <x:c r="L11" s="61"/>
      <x:c r="M11" s="61"/>
      <x:c r="N11" s="61"/>
      <x:c r="O11" s="61"/>
      <x:c r="P11" s="61"/>
      <x:c r="Q11" s="61"/>
    </x:row>
    <x:row r="12" ht="60" customHeight="1">
      <x:c r="A12" s="65" t="str">
        <x:v>Second safe landing</x:v>
      </x:c>
      <x:c r="B12" s="65" t="str">
        <x:v>G</x:v>
      </x:c>
      <x:c r="C12" s="65" t="str">
        <x:v>All constraints pass; ΔP=-0.25 bar</x:v>
      </x:c>
      <x:c r="D12" s="65" t="str">
        <x:v>Remain inside the safe region</x:v>
      </x:c>
      <x:c r="E12" s="65" t="str">
        <x:v>Maximum allowed Pressure step is respected</x:v>
      </x:c>
      <x:c r="F12" s="65" t="str">
        <x:v>Continue</x:v>
      </x:c>
      <x:c r="G12" s="61"/>
      <x:c r="H12" s="61"/>
      <x:c r="I12" s="61"/>
      <x:c r="J12" s="61"/>
      <x:c r="K12" s="61"/>
      <x:c r="L12" s="61"/>
      <x:c r="M12" s="61"/>
      <x:c r="N12" s="61"/>
      <x:c r="O12" s="61"/>
      <x:c r="P12" s="61"/>
      <x:c r="Q12" s="61"/>
    </x:row>
    <x:row r="13" ht="60" customHeight="1">
      <x:c r="A13" s="65" t="str">
        <x:v>Target</x:v>
      </x:c>
      <x:c r="B13" s="65" t="str">
        <x:v>I</x:v>
      </x:c>
      <x:c r="C13" s="65" t="str">
        <x:v>All constraints pass; ΔFlow=-0.005 kg/s</x:v>
      </x:c>
      <x:c r="D13" s="65" t="str">
        <x:v>Target reached</x:v>
      </x:c>
      <x:c r="E13" s="65" t="str">
        <x:v>Final step is safe</x:v>
      </x:c>
      <x:c r="F13" s="65" t="str">
        <x:v>Stop</x:v>
      </x:c>
      <x:c r="G13" s="61"/>
      <x:c r="H13" s="61"/>
      <x:c r="I13" s="61"/>
      <x:c r="J13" s="61"/>
      <x:c r="K13" s="61"/>
      <x:c r="L13" s="61"/>
      <x:c r="M13" s="61"/>
      <x:c r="N13" s="61"/>
      <x:c r="O13" s="61"/>
      <x:c r="P13" s="61"/>
      <x:c r="Q13" s="61"/>
    </x:row>
    <x:row r="14" ht="60" customHeight="1">
      <x:c r="A14" s="65" t="str">
        <x:v>Forbidden path 1</x:v>
      </x:c>
      <x:c r="B14" s="65" t="str">
        <x:v>F</x:v>
      </x:c>
      <x:c r="C14" s="65" t="str">
        <x:v>Qp fails</x:v>
      </x:c>
      <x:c r="D14" s="65" t="str">
        <x:v>Reject this intermediate state</x:v>
      </x:c>
      <x:c r="E14" s="65" t="str">
        <x:v>Unsafe intermediate point</x:v>
      </x:c>
      <x:c r="F14" s="65" t="str">
        <x:v>Prune</x:v>
      </x:c>
      <x:c r="G14" s="61"/>
      <x:c r="H14" s="61"/>
      <x:c r="I14" s="61"/>
      <x:c r="J14" s="61"/>
      <x:c r="K14" s="61"/>
      <x:c r="L14" s="61"/>
      <x:c r="M14" s="61"/>
      <x:c r="N14" s="61"/>
      <x:c r="O14" s="61"/>
      <x:c r="P14" s="61"/>
      <x:c r="Q14" s="61"/>
    </x:row>
    <x:row r="15" ht="60" customHeight="1">
      <x:c r="A15" s="65" t="str">
        <x:v>Forbidden path 2</x:v>
      </x:c>
      <x:c r="B15" s="65" t="str">
        <x:v>H</x:v>
      </x:c>
      <x:c r="C15" s="65" t="str">
        <x:v>Qp fails</x:v>
      </x:c>
      <x:c r="D15" s="65" t="str">
        <x:v>Reject this intermediate state</x:v>
      </x:c>
      <x:c r="E15" s="65" t="str">
        <x:v>Unsafe intermediate point</x:v>
      </x:c>
      <x:c r="F15" s="65" t="str">
        <x:v>Prune</x:v>
      </x:c>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53 / 4.30</x:v>
      </x:c>
      <x:c r="B21" s="77" t="n">
        <x:v>53</x:v>
      </x:c>
      <x:c r="C21" s="77" t="n">
        <x:v>4.3</x:v>
      </x:c>
      <x:c r="D21" s="77" t="n">
        <x:v>1.936389470542942</x:v>
      </x:c>
      <x:c r="E21" s="77" t="n">
        <x:v>6.971002093954592</x:v>
      </x:c>
      <x:c r="F21" s="77" t="n">
        <x:v>17.42157007973964</x:v>
      </x:c>
      <x:c r="G21" s="77" t="n">
        <x:v>46.04686341611642</x:v>
      </x:c>
      <x:c r="H21" s="77" t="n">
        <x:v>98.88980362822365</x:v>
      </x:c>
      <x:c r="I21" s="77" t="n">
        <x:v>340.5625226813322</x:v>
      </x:c>
      <x:c r="J21" s="61" t="str">
        <x:f>IF(AND(E21&gt;=$P$4,E21&lt;=$P$5),"PASS","FAIL")</x:f>
        <x:v>PASS</x:v>
      </x:c>
      <x:c r="K21" s="61" t="str">
        <x:f>IF(G21&lt;=$P$6,"PASS","FAIL")</x:f>
        <x:v>FAIL</x:v>
      </x:c>
      <x:c r="L21" s="61" t="str">
        <x:f>IF(F21&lt;=$P$7,"PASS","FAIL")</x:f>
        <x:v>PASS</x:v>
      </x:c>
      <x:c r="M21" s="61" t="str">
        <x:f>IF(AND(H21&gt;=$P$8,I21&lt;=$P$9),"PASS","FAIL")</x:f>
        <x:v>PASS</x:v>
      </x:c>
      <x:c r="N21" s="61" t="str">
        <x:f>IF(AND(J21="PASS",K21="PASS",L21="PASS",M21="PASS"),"PASS","FAIL")</x:f>
        <x:v>FAIL</x:v>
      </x:c>
      <x:c r="O21" s="61"/>
      <x:c r="P21" s="61"/>
      <x:c r="Q21" s="61"/>
    </x:row>
    <x:row r="22">
      <x:c r="A22" s="61" t="str">
        <x:v>52.90 / 4.30</x:v>
      </x:c>
      <x:c r="B22" s="77" t="n">
        <x:v>52.9</x:v>
      </x:c>
      <x:c r="C22" s="77" t="n">
        <x:v>4.3</x:v>
      </x:c>
      <x:c r="D22" s="77" t="n">
        <x:v>1.9312051679303568</x:v>
      </x:c>
      <x:c r="E22" s="77" t="n">
        <x:v>6.9523386045492845</x:v>
      </x:c>
      <x:c r="F22" s="77" t="n">
        <x:v>17.374921034588446</x:v>
      </x:c>
      <x:c r="G22" s="77" t="n">
        <x:v>45.92356951296811</x:v>
      </x:c>
      <x:c r="H22" s="77" t="n">
        <x:v>98.88863825382515</x:v>
      </x:c>
      <x:c r="I22" s="77" t="n">
        <x:v>340.91991899743056</x:v>
      </x:c>
      <x:c r="J22" s="61" t="str">
        <x:f>IF(AND(E22&gt;=$P$4,E22&lt;=$P$5),"PASS","FAIL")</x:f>
        <x:v>PASS</x:v>
      </x:c>
      <x:c r="K22" s="61" t="str">
        <x:f>IF(G22&lt;=$P$6,"PASS","FAIL")</x:f>
        <x:v>PASS</x:v>
      </x:c>
      <x:c r="L22" s="61" t="str">
        <x:f>IF(F22&lt;=$P$7,"PASS","FAIL")</x:f>
        <x:v>PASS</x:v>
      </x:c>
      <x:c r="M22" s="61" t="str">
        <x:f>IF(AND(H22&gt;=$P$8,I22&lt;=$P$9),"PASS","FAIL")</x:f>
        <x:v>PASS</x:v>
      </x:c>
      <x:c r="N22" s="61" t="str">
        <x:f>IF(AND(J22="PASS",K22="PASS",L22="PASS",M22="PASS"),"PASS","FAIL")</x:f>
        <x:v>PASS</x:v>
      </x:c>
      <x:c r="O22" s="61"/>
      <x:c r="P22" s="61"/>
      <x:c r="Q22" s="61"/>
    </x:row>
    <x:row r="23">
      <x:c r="A23" s="61" t="str">
        <x:v>52.65 / 4.30</x:v>
      </x:c>
      <x:c r="B23" s="77" t="n">
        <x:v>52.65</x:v>
      </x:c>
      <x:c r="C23" s="77" t="n">
        <x:v>4.3</x:v>
      </x:c>
      <x:c r="D23" s="77" t="n">
        <x:v>1.9181949349895129</x:v>
      </x:c>
      <x:c r="E23" s="77" t="n">
        <x:v>6.905501765962247</x:v>
      </x:c>
      <x:c r="F23" s="77" t="n">
        <x:v>17.257853105822207</x:v>
      </x:c>
      <x:c r="G23" s="77" t="n">
        <x:v>45.614157857364695</x:v>
      </x:c>
      <x:c r="H23" s="77" t="n">
        <x:v>98.8856631802543</x:v>
      </x:c>
      <x:c r="I23" s="77" t="n">
        <x:v>341.8323118819894</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t="str">
        <x:v>52.65 / 4.295</x:v>
      </x:c>
      <x:c r="B24" s="77" t="n">
        <x:v>52.65</x:v>
      </x:c>
      <x:c r="C24" s="77" t="n">
        <x:v>4.295</x:v>
      </x:c>
      <x:c r="D24" s="77" t="n">
        <x:v>1.917031086827258</x:v>
      </x:c>
      <x:c r="E24" s="77" t="n">
        <x:v>6.901311912578129</x:v>
      </x:c>
      <x:c r="F24" s="77" t="n">
        <x:v>17.247377528991624</x:v>
      </x:c>
      <x:c r="G24" s="77" t="n">
        <x:v>45.639542017473474</x:v>
      </x:c>
      <x:c r="H24" s="77" t="n">
        <x:v>98.88480818986883</x:v>
      </x:c>
      <x:c r="I24" s="77" t="n">
        <x:v>342.09451932985843</x:v>
      </x:c>
      <x:c r="J24" s="61" t="str">
        <x:f>IF(AND(E24&gt;=$P$4,E24&lt;=$P$5),"PASS","FAIL")</x:f>
        <x:v>PASS</x:v>
      </x:c>
      <x:c r="K24" s="61" t="str">
        <x:f>IF(G24&lt;=$P$6,"PASS","FAIL")</x:f>
        <x:v>PASS</x:v>
      </x:c>
      <x:c r="L24" s="61" t="str">
        <x:f>IF(F24&lt;=$P$7,"PASS","FAIL")</x:f>
        <x:v>PASS</x:v>
      </x:c>
      <x:c r="M24" s="61" t="str">
        <x:f>IF(AND(H24&gt;=$P$8,I24&lt;=$P$9),"PASS","FAIL")</x:f>
        <x:v>PASS</x:v>
      </x:c>
      <x:c r="N24" s="61" t="str">
        <x:f>IF(AND(J24="PASS",K24="PASS",L24="PASS",M24="PASS"),"PASS","FAIL")</x:f>
        <x:v>PASS</x:v>
      </x:c>
      <x:c r="O24" s="61"/>
      <x:c r="P24" s="61"/>
      <x:c r="Q24" s="61"/>
    </x:row>
    <x:row r="25">
      <x:c r="A25" s="61" t="str">
        <x:v>52.60 / 4.30</x:v>
      </x:c>
      <x:c r="B25" s="77" t="n">
        <x:v>52.6</x:v>
      </x:c>
      <x:c r="C25" s="77" t="n">
        <x:v>4.3</x:v>
      </x:c>
      <x:c r="D25" s="77" t="n">
        <x:v>1.9155843724036783</x:v>
      </x:c>
      <x:c r="E25" s="77" t="n">
        <x:v>6.896103740653242</x:v>
      </x:c>
      <x:c r="F25" s="77" t="n">
        <x:v>17.23436287120762</x:v>
      </x:c>
      <x:c r="G25" s="77" t="n">
        <x:v>45.55207295574172</x:v>
      </x:c>
      <x:c r="H25" s="77" t="n">
        <x:v>98.88505743429093</x:v>
      </x:c>
      <x:c r="I25" s="77" t="n">
        <x:v>342.01808135382356</x:v>
      </x:c>
      <x:c r="J25" s="61" t="str">
        <x:f>IF(AND(E25&gt;=$P$4,E25&lt;=$P$5),"PASS","FAIL")</x:f>
        <x:v>FAIL</x:v>
      </x:c>
      <x:c r="K25" s="61" t="str">
        <x:f>IF(G25&lt;=$P$6,"PASS","FAIL")</x:f>
        <x:v>PASS</x:v>
      </x:c>
      <x:c r="L25" s="61" t="str">
        <x:f>IF(F25&lt;=$P$7,"PASS","FAIL")</x:f>
        <x:v>PASS</x:v>
      </x:c>
      <x:c r="M25" s="61" t="str">
        <x:f>IF(AND(H25&gt;=$P$8,I25&lt;=$P$9),"PASS","FAIL")</x:f>
        <x:v>PASS</x:v>
      </x:c>
      <x:c r="N25" s="61" t="str">
        <x:f>IF(AND(J25="PASS",K25="PASS",L25="PASS",M25="PASS"),"PASS","FAIL")</x:f>
        <x:v>FAIL</x:v>
      </x:c>
      <x:c r="O25" s="61"/>
      <x:c r="P25" s="61"/>
      <x:c r="Q25" s="61"/>
    </x:row>
    <x:row r="26">
      <x:c r="A26" s="61" t="str">
        <x:v>52.65 / 4.290</x:v>
      </x:c>
      <x:c r="B26" s="77" t="n">
        <x:v>52.65</x:v>
      </x:c>
      <x:c r="C26" s="77" t="n">
        <x:v>4.29</x:v>
      </x:c>
      <x:c r="D26" s="77" t="n">
        <x:v>1.9158664047452718</x:v>
      </x:c>
      <x:c r="E26" s="77" t="n">
        <x:v>6.897119057082978</x:v>
      </x:c>
      <x:c r="F26" s="77" t="n">
        <x:v>17.23689444644789</x:v>
      </x:c>
      <x:c r="G26" s="77" t="n">
        <x:v>45.66496546547411</x:v>
      </x:c>
      <x:c r="H26" s="77" t="n">
        <x:v>98.88395159208689</x:v>
      </x:c>
      <x:c r="I26" s="77" t="n">
        <x:v>342.35721962747334</x:v>
      </x:c>
      <x:c r="J26" s="61" t="str">
        <x:f>IF(AND(E26&gt;=$P$4,E26&lt;=$P$5),"PASS","FAIL")</x:f>
        <x:v>FAIL</x:v>
      </x:c>
      <x:c r="K26" s="61" t="str">
        <x:f>IF(G26&lt;=$P$6,"PASS","FAIL")</x:f>
        <x:v>PASS</x:v>
      </x:c>
      <x:c r="L26" s="61" t="str">
        <x:f>IF(F26&lt;=$P$7,"PASS","FAIL")</x:f>
        <x:v>PASS</x:v>
      </x:c>
      <x:c r="M26" s="61" t="str">
        <x:f>IF(AND(H26&gt;=$P$8,I26&lt;=$P$9),"PASS","FAIL")</x:f>
        <x:v>PASS</x:v>
      </x:c>
      <x:c r="N26" s="61" t="str">
        <x:f>IF(AND(J26="PASS",K26="PASS",L26="PASS",M26="PASS"),"PASS","FAIL")</x:f>
        <x:v>FAIL</x:v>
      </x:c>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Safe transition: 53.0/4.30 (starting point; slight Recovery failure) → 52.90/4.30 (all constraints pass; ΔP=-0.10) → 52.65/4.30 (all pass; ΔP=-0.25) → 52.65/4.295 (all pass; ΔFlow=-0.005). A direct 53→52.65 move violates the 0.25-bar step limit. Paths through 52.60/4.30 or 52.65/4.290 are unsafe because Qp&lt;6.90.</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6">
    <x:cfRule type="expression" dxfId="0" priority="1">
      <x:formula>J21="PASS"</x:formula>
    </x:cfRule>
    <x:cfRule type="expression" dxfId="1" priority="2">
      <x:formula>J21="FAIL"</x:formula>
    </x:cfRule>
  </x:conditionalFormatting>
  <x:conditionalFormatting sqref="K21:K26">
    <x:cfRule type="expression" dxfId="2" priority="3">
      <x:formula>K21="PASS"</x:formula>
    </x:cfRule>
    <x:cfRule type="expression" dxfId="3" priority="4">
      <x:formula>K21="FAIL"</x:formula>
    </x:cfRule>
  </x:conditionalFormatting>
  <x:conditionalFormatting sqref="L21:L26">
    <x:cfRule type="expression" dxfId="4" priority="5">
      <x:formula>L21="PASS"</x:formula>
    </x:cfRule>
    <x:cfRule type="expression" dxfId="5" priority="6">
      <x:formula>L21="FAIL"</x:formula>
    </x:cfRule>
  </x:conditionalFormatting>
  <x:conditionalFormatting sqref="M21:M26">
    <x:cfRule type="expression" dxfId="6" priority="7">
      <x:formula>M21="PASS"</x:formula>
    </x:cfRule>
    <x:cfRule type="expression" dxfId="7" priority="8">
      <x:formula>M21="FAIL"</x:formula>
    </x:cfRule>
  </x:conditionalFormatting>
  <x:conditionalFormatting sqref="N21:N26">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Validate both endpoint and safe intermediate path;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Safe transition: 53.0/4.30 (starting point; slight Recovery failure) → 52.90/4.30 (all constraints pass; ΔP=-0.10) → 52.65/4.30 (a</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Validate both endpoint and safe intermediate path;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(all pass; ΔFlow=-0.005). A direct 53→52.65 move violates the 0.25-bar step limit. Paths through 52.60/4.30 or 52.65/4.290 are unsafe because Qp&lt;6.90.</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Path planning requires both constraint checks and transition-step checks; unsafe intermediate states must be pruned.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Path planning requires both constraint checks and transition-step checks; unsafe intermediate states must be pruned.</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Path planning requires both constraint checks and transition-step checks; unsafe intermediate states must be pruned.</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Path planning requires both constraint checks and transition-step checks; unsafe intermediate states must be pruned.</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Path planning requires both constraint checks and transition-step checks; unsafe intermediate states must be pruned.</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Path planning requires both constraint checks and transition-step checks; unsafe intermediate states must be pruned.</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