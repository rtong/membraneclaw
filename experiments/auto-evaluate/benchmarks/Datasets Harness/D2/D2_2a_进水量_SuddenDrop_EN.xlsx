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ec3dbb10d49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" sheetId="1" r:id="R075eecbcf30242d5"/>
    <x:sheet xmlns:r="http://schemas.openxmlformats.org/officeDocument/2006/relationships" name="Gold_Answer" sheetId="2" r:id="R705d6b63dad445f7"/>
    <x:sheet xmlns:r="http://schemas.openxmlformats.org/officeDocument/2006/relationships" name="Trajectory_Rubric" sheetId="3" r:id="R17bfc2bc2475435a"/>
    <x:sheet xmlns:r="http://schemas.openxmlformats.org/officeDocument/2006/relationships" name="Tool_Efficiency" sheetId="4" r:id="Raefc4f801dcf43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1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5"/>
      <x:color rgb="FFFFFFFF"/>
      <x:name val="Carlito"/>
    </x:font>
    <x:font>
      <x:b/>
      <x:sz val="11"/>
      <x:color rgb="FF385723"/>
      <x:name val="Carlito"/>
    </x:font>
    <x:font>
      <x:sz val="11"/>
      <x:color rgb="FF17365D"/>
      <x:name val="Carlito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b/>
      <x:sz val="15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/>
    <x:xf numFmtId="0" fontId="8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 wrapText="1"/>
    </x:xf>
    <x:xf numFmtId="0" fontId="9" fillId="0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wrapText="1"/>
    </x:xf>
    <x:xf numFmtId="200" fontId="9" fillId="0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/>
    <x:xf numFmtId="0" fontId="10" fillId="2" borderId="0" xfId="0" applyNumberFormat="1" applyFont="1" applyFill="1" applyBorder="1" applyAlignment="1">
      <x:alignment horizontal="center" vertical="center"/>
    </x:xf>
    <x:xf numFmtId="0" fontId="10" fillId="2" borderId="1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 applyAlignment="1">
      <x:alignment horizontal="center" wrapText="1"/>
    </x:xf>
    <x:xf numFmtId="0" fontId="11" fillId="4" borderId="1" xfId="0" applyNumberFormat="1" applyFont="1" applyFill="1" applyBorder="1" applyAlignment="1">
      <x:alignment horizontal="center" wrapText="1"/>
    </x:xf>
    <x:xf numFmtId="0" fontId="12" fillId="2" borderId="0" xfId="0" applyNumberFormat="1" applyFont="1" applyFill="1" applyBorder="1" applyAlignment="1">
      <x:alignment horizontal="center"/>
    </x:xf>
    <x:xf numFmtId="0" fontId="12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2a636a60243e3" /><Relationship Type="http://schemas.openxmlformats.org/officeDocument/2006/relationships/theme" Target="/xl/theme/theme1.xml" Id="R3a467bdf28714d7b" /><Relationship Type="http://schemas.openxmlformats.org/officeDocument/2006/relationships/sharedStrings" Target="/xl/sharedStrings.xml" Id="R1357f30a5164426a" /><Relationship Type="http://schemas.openxmlformats.org/officeDocument/2006/relationships/worksheet" Target="/xl/worksheets/sheet1.xml" Id="R075eecbcf30242d5" /><Relationship Type="http://schemas.openxmlformats.org/officeDocument/2006/relationships/worksheet" Target="/xl/worksheets/sheet2.xml" Id="R705d6b63dad445f7" /><Relationship Type="http://schemas.openxmlformats.org/officeDocument/2006/relationships/worksheet" Target="/xl/worksheets/sheet3.xml" Id="R17bfc2bc2475435a" /><Relationship Type="http://schemas.openxmlformats.org/officeDocument/2006/relationships/worksheet" Target="/xl/worksheets/sheet4.xml" Id="Raefc4f801dcf43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7" hidden="0" customWidth="1"/>
    <x:col min="3" max="3" width="17" hidden="0" customWidth="1"/>
    <x:col min="4" max="4" width="24" hidden="0" customWidth="1"/>
    <x:col min="5" max="5" width="3" hidden="0" customWidth="1"/>
    <x:col min="6" max="6" width="29" hidden="0" customWidth="1"/>
    <x:col min="7" max="7" width="25" hidden="0" customWidth="1"/>
    <x:col min="8" max="8" width="31" hidden="0" customWidth="1"/>
  </x:cols>
  <x:sheetData>
    <x:row r="1" ht="30" customHeight="1">
      <x:c r="A1" s="84" t="str">
        <x:v>D2-2a: Pressure Feasibility Window after a Sudden Feed-Flow Drop</x:v>
      </x:c>
      <x:c r="B1" s="84"/>
      <x:c r="C1" s="84"/>
      <x:c r="D1" s="84"/>
      <x:c r="E1" s="84"/>
      <x:c r="F1" s="84"/>
      <x:c r="G1" s="84"/>
      <x:c r="H1" s="84"/>
    </x:row>
    <x:row r="2">
      <x:c r="A2" s="57"/>
      <x:c r="B2" s="57"/>
      <x:c r="C2" s="57"/>
      <x:c r="D2" s="57"/>
      <x:c r="E2" s="57"/>
      <x:c r="F2" s="57"/>
      <x:c r="G2" s="57"/>
      <x:c r="H2" s="57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 ht="38" customHeight="1">
      <x:c r="A4" s="58" t="str">
        <x:v>An intake-pump derating event abruptly reduces SWRO feed mass flow from 4.073 to 3.95 kg/s while membrane properties, temperature, and salinity remain unchanged. Operators propose simply lowering pressure to reduce Recovery. Determine whether that action creates a production failure and identify the full feasible pressure window, not just one feasible point.</x:v>
      </x:c>
      <x:c r="B4" s="58"/>
      <x:c r="C4" s="58"/>
      <x:c r="D4" s="58"/>
      <x:c r="E4" s="58"/>
      <x:c r="F4" s="58"/>
      <x:c r="G4" s="58"/>
      <x:c r="H4" s="58"/>
    </x:row>
    <x:row r="5" ht="38" customHeight="1">
      <x:c r="A5" s="58"/>
      <x:c r="B5" s="58"/>
      <x:c r="C5" s="58"/>
      <x:c r="D5" s="58"/>
      <x:c r="E5" s="58"/>
      <x:c r="F5" s="58"/>
      <x:c r="G5" s="58"/>
      <x:c r="H5" s="58"/>
    </x:row>
    <x:row r="6">
      <x:c r="A6" s="57"/>
      <x:c r="B6" s="57"/>
      <x:c r="C6" s="57"/>
      <x:c r="D6" s="57"/>
      <x:c r="E6" s="57"/>
      <x:c r="F6" s="57"/>
      <x:c r="G6" s="57"/>
      <x:c r="H6" s="57"/>
    </x:row>
    <x:row r="7">
      <x:c r="A7" s="57"/>
      <x:c r="B7" s="57"/>
      <x:c r="C7" s="57"/>
      <x:c r="D7" s="57"/>
      <x:c r="E7" s="57"/>
      <x:c r="F7" s="57"/>
      <x:c r="G7" s="57"/>
      <x:c r="H7" s="57"/>
    </x:row>
    <x:row r="8">
      <x:c r="A8" s="59" t="str">
        <x:v>Fixed System Parameters and Normal Operating Point</x:v>
      </x:c>
      <x:c r="B8" s="59"/>
      <x:c r="C8" s="59"/>
      <x:c r="D8" s="59"/>
      <x:c r="E8" s="57"/>
      <x:c r="F8" s="59" t="str">
        <x:v>Disturbance Scenario, Constraints, and Control Ranges</x:v>
      </x:c>
      <x:c r="G8" s="59"/>
      <x:c r="H8" s="59"/>
    </x:row>
    <x:row r="9">
      <x:c r="A9" s="86" t="str">
        <x:v>Category</x:v>
      </x:c>
      <x:c r="B9" s="86" t="str">
        <x:v>Parameter</x:v>
      </x:c>
      <x:c r="C9" s="86" t="str">
        <x:v>Value</x:v>
      </x:c>
      <x:c r="D9" s="86" t="str">
        <x:v>Unit / Note</x:v>
      </x:c>
      <x:c r="E9" s="57"/>
      <x:c r="F9" s="86" t="str">
        <x:v>Item</x:v>
      </x:c>
      <x:c r="G9" s="86" t="str">
        <x:v>Requirement / Value</x:v>
      </x:c>
      <x:c r="H9" s="86" t="str">
        <x:v>Note</x:v>
      </x:c>
    </x:row>
    <x:row r="10">
      <x:c r="A10" s="61" t="str">
        <x:v>Normal feed</x:v>
      </x:c>
      <x:c r="B10" s="61" t="str">
        <x:v>NaCl mass fraction</x:v>
      </x:c>
      <x:c r="C10" s="61" t="n">
        <x:v>0.03</x:v>
      </x:c>
      <x:c r="D10" s="61" t="str">
        <x:v>WaterTAP equivalent</x:v>
      </x:c>
      <x:c r="E10" s="57"/>
      <x:c r="F10" s="61" t="str">
        <x:v>Disturbed feed flow</x:v>
      </x:c>
      <x:c r="G10" s="61" t="n">
        <x:v>3.95</x:v>
      </x:c>
      <x:c r="H10" s="61" t="str">
        <x:v>kg/s; all other conditions unchanged</x:v>
      </x:c>
    </x:row>
    <x:row r="11">
      <x:c r="A11" s="61" t="str">
        <x:v>Normal setpoint</x:v>
      </x:c>
      <x:c r="B11" s="61" t="str">
        <x:v>Feed pressure</x:v>
      </x:c>
      <x:c r="C11" s="61" t="n">
        <x:v>52</x:v>
      </x:c>
      <x:c r="D11" s="61" t="str">
        <x:v>bar</x:v>
      </x:c>
      <x:c r="E11" s="57"/>
      <x:c r="F11" s="61" t="str">
        <x:v>Permeate flow</x:v>
      </x:c>
      <x:c r="G11" s="61" t="str">
        <x:v>≥ 6.30 m³/h</x:v>
      </x:c>
      <x:c r="H11" s="61" t="str">
        <x:v>Hard constraint</x:v>
      </x:c>
    </x:row>
    <x:row r="12">
      <x:c r="A12" s="61" t="str">
        <x:v>Normal setpoint</x:v>
      </x:c>
      <x:c r="B12" s="61" t="str">
        <x:v>Feed mass flow</x:v>
      </x:c>
      <x:c r="C12" s="61" t="n">
        <x:v>4.073</x:v>
      </x:c>
      <x:c r="D12" s="61" t="str">
        <x:v>kg/s</x:v>
      </x:c>
      <x:c r="E12" s="57"/>
      <x:c r="F12" s="61" t="str">
        <x:v>Recovery</x:v>
      </x:c>
      <x:c r="G12" s="61" t="str">
        <x:v>≤ 46.5%</x:v>
      </x:c>
      <x:c r="H12" s="61" t="str">
        <x:v>Operating limit</x:v>
      </x:c>
    </x:row>
    <x:row r="13">
      <x:c r="A13" s="61" t="str">
        <x:v>Feed</x:v>
      </x:c>
      <x:c r="B13" s="61" t="str">
        <x:v>Temperature</x:v>
      </x:c>
      <x:c r="C13" s="61" t="n">
        <x:v>32</x:v>
      </x:c>
      <x:c r="D13" s="61" t="str">
        <x:v>°C, fixed</x:v>
      </x:c>
      <x:c r="E13" s="57"/>
      <x:c r="F13" s="61" t="str">
        <x:v>Flux</x:v>
      </x:c>
      <x:c r="G13" s="61" t="str">
        <x:v>≤ 18.0 LMH</x:v>
      </x:c>
      <x:c r="H13" s="61" t="str">
        <x:v>Operating limit</x:v>
      </x:c>
    </x:row>
    <x:row r="14">
      <x:c r="A14" s="61" t="str">
        <x:v>Membrane</x:v>
      </x:c>
      <x:c r="B14" s="61" t="str">
        <x:v>Effective membrane area</x:v>
      </x:c>
      <x:c r="C14" s="61" t="n">
        <x:v>400</x:v>
      </x:c>
      <x:c r="D14" s="61" t="str">
        <x:v>m², fixed</x:v>
      </x:c>
      <x:c r="E14" s="57"/>
      <x:c r="F14" s="61" t="str">
        <x:v>Salt rejection</x:v>
      </x:c>
      <x:c r="G14" s="61" t="str">
        <x:v>≥ 98.7%</x:v>
      </x:c>
      <x:c r="H14" s="61" t="str">
        <x:v>Water-quality requirement</x:v>
      </x:c>
    </x:row>
    <x:row r="15">
      <x:c r="A15" s="61" t="str">
        <x:v>Membrane</x:v>
      </x:c>
      <x:c r="B15" s="61" t="str">
        <x:v>A_comp</x:v>
      </x:c>
      <x:c r="C15" s="61" t="n">
        <x:v>4.2e-12</x:v>
      </x:c>
      <x:c r="D15" s="61" t="str">
        <x:v>m/s/Pa, fixed</x:v>
      </x:c>
      <x:c r="E15" s="57"/>
      <x:c r="F15" s="61" t="str">
        <x:v>Permeate NaCl</x:v>
      </x:c>
      <x:c r="G15" s="61" t="str">
        <x:v>≤ 380 mg/L</x:v>
      </x:c>
      <x:c r="H15" s="61" t="str">
        <x:v>Water-quality requirement</x:v>
      </x:c>
    </x:row>
    <x:row r="16">
      <x:c r="A16" s="61" t="str">
        <x:v>Membrane</x:v>
      </x:c>
      <x:c r="B16" s="61" t="str">
        <x:v>B_comp</x:v>
      </x:c>
      <x:c r="C16" s="61" t="n">
        <x:v>3.4e-8</x:v>
      </x:c>
      <x:c r="D16" s="61" t="str">
        <x:v>m/s, fixed</x:v>
      </x:c>
      <x:c r="E16" s="57"/>
      <x:c r="F16" s="61" t="str">
        <x:v>Pressure-search resolution</x:v>
      </x:c>
      <x:c r="G16" s="61" t="str">
        <x:v>0.01 bar</x:v>
      </x:c>
      <x:c r="H16" s="61" t="str">
        <x:v>Both boundaries must be located</x:v>
      </x:c>
    </x:row>
    <x:row r="17">
      <x:c r="A17" s="61" t="str">
        <x:v>Hydraulics</x:v>
      </x:c>
      <x:c r="B17" s="61" t="str">
        <x:v>Permeate pressure</x:v>
      </x:c>
      <x:c r="C17" s="61" t="n">
        <x:v>1.013</x:v>
      </x:c>
      <x:c r="D17" s="61" t="str">
        <x:v>bar</x:v>
      </x:c>
      <x:c r="E17" s="57"/>
      <x:c r="F17" s="61" t="str">
        <x:v>Allowed control</x:v>
      </x:c>
      <x:c r="G17" s="61" t="str">
        <x:v>Pressure only</x:v>
      </x:c>
      <x:c r="H17" s="61" t="str">
        <x:v>Feed flow is the external disturbance and cannot be restored</x:v>
      </x:c>
    </x:row>
    <x:row r="18">
      <x:c r="A18" s="61" t="str">
        <x:v>Hydraulics</x:v>
      </x:c>
      <x:c r="B18" s="61" t="str">
        <x:v>Pressure drop</x:v>
      </x:c>
      <x:c r="C18" s="61" t="n">
        <x:v>0.653</x:v>
      </x:c>
      <x:c r="D18" s="61" t="str">
        <x:v>bar</x:v>
      </x:c>
      <x:c r="E18" s="57"/>
      <x:c r="F18" s="57"/>
      <x:c r="G18" s="57"/>
      <x:c r="H18" s="57"/>
    </x:row>
    <x:row r="19">
      <x:c r="A19" s="61" t="str">
        <x:v>Channel</x:v>
      </x:c>
      <x:c r="B19" s="61" t="str">
        <x:v>Channel height</x:v>
      </x:c>
      <x:c r="C19" s="61" t="n">
        <x:v>0.002</x:v>
      </x:c>
      <x:c r="D19" s="61" t="str">
        <x:v>m</x:v>
      </x:c>
      <x:c r="E19" s="57"/>
      <x:c r="F19" s="57"/>
      <x:c r="G19" s="57"/>
      <x:c r="H19" s="57"/>
    </x:row>
    <x:row r="20">
      <x:c r="A20" s="61" t="str">
        <x:v>Channel</x:v>
      </x:c>
      <x:c r="B20" s="61" t="str">
        <x:v>Spacer porosity</x:v>
      </x:c>
      <x:c r="C20" s="61" t="n">
        <x:v>0.75</x:v>
      </x:c>
      <x:c r="D20" s="61" t="str">
        <x:v>-</x:v>
      </x:c>
      <x:c r="E20" s="57"/>
      <x:c r="F20" s="59" t="str">
        <x:v>Required Tasks</x:v>
      </x:c>
      <x:c r="G20" s="59"/>
      <x:c r="H20" s="59"/>
    </x:row>
    <x:row r="21" ht="42" customHeight="1">
      <x:c r="A21" s="61" t="str">
        <x:v>Channel</x:v>
      </x:c>
      <x:c r="B21" s="61" t="str">
        <x:v>Equivalent channel length</x:v>
      </x:c>
      <x:c r="C21" s="61" t="n">
        <x:v>20</x:v>
      </x:c>
      <x:c r="D21" s="61" t="str">
        <x:v>m</x:v>
      </x:c>
      <x:c r="E21" s="57"/>
      <x:c r="F21" s="61" t="str">
        <x:v>1. Establish the 4.073 kg/s, 52-bar baseline; then change only feed flow to 3.95 kg/s at the same pressure.</x:v>
      </x:c>
      <x:c r="G21" s="61"/>
      <x:c r="H21" s="61"/>
    </x:row>
    <x:row r="22" ht="42" customHeight="1">
      <x:c r="A22" s="61" t="str">
        <x:v>Model</x:v>
      </x:c>
      <x:c r="B22" s="61" t="str">
        <x:v>Concentration polarization / mass transfer</x:v>
      </x:c>
      <x:c r="C22" s="61" t="str">
        <x:v>calculated</x:v>
      </x:c>
      <x:c r="D22" s="61" t="str">
        <x:v>WaterTAP calculated</x:v>
      </x:c>
      <x:c r="E22" s="57"/>
      <x:c r="F22" s="61" t="str">
        <x:v>2. Identify the violated metric at the same setpoint and explain why pressure reduction is not monotonically safe.</x:v>
      </x:c>
      <x:c r="G22" s="61"/>
      <x:c r="H22" s="61"/>
    </x:row>
    <x:row r="23" ht="42" customHeight="1">
      <x:c r="A23" s="57"/>
      <x:c r="B23" s="57"/>
      <x:c r="C23" s="57"/>
      <x:c r="D23" s="57"/>
      <x:c r="E23" s="57"/>
      <x:c r="F23" s="61" t="str">
        <x:v>3. Use simulate_ro to locate the Qp-controlled lower pressure boundary: 50.94 bar FAIL and 50.95 bar PASS.</x:v>
      </x:c>
      <x:c r="G23" s="61"/>
      <x:c r="H23" s="61"/>
    </x:row>
    <x:row r="24" ht="42" customHeight="1">
      <x:c r="A24" s="57"/>
      <x:c r="B24" s="57"/>
      <x:c r="C24" s="57"/>
      <x:c r="D24" s="57"/>
      <x:c r="E24" s="57"/>
      <x:c r="F24" s="61" t="str">
        <x:v>4. Locate the Recovery-controlled upper boundary: 51.85 bar PASS and 51.86 bar FAIL.</x:v>
      </x:c>
      <x:c r="G24" s="61"/>
      <x:c r="H24" s="61"/>
    </x:row>
    <x:row r="25" ht="42" customHeight="1">
      <x:c r="A25" s="57"/>
      <x:c r="B25" s="57"/>
      <x:c r="C25" s="57"/>
      <x:c r="D25" s="57"/>
      <x:c r="E25" s="57"/>
      <x:c r="F25" s="61" t="str">
        <x:v>5. Report the full feasible pressure window and recommend a setpoint with margin to both boundaries rather than boundary operation.</x:v>
      </x:c>
      <x:c r="G25" s="61"/>
      <x:c r="H25" s="61"/>
    </x:row>
    <x:row r="26" ht="42" customHeight="1">
      <x:c r="A26" s="57"/>
      <x:c r="B26" s="57"/>
      <x:c r="C26" s="57"/>
      <x:c r="D26" s="57"/>
      <x:c r="E26" s="57"/>
      <x:c r="F26" s="61" t="str">
        <x:v>6. State explicitly that the window is jointly defined by the Qp lower limit and Recovery upper limit.</x:v>
      </x:c>
      <x:c r="G26" s="61"/>
      <x:c r="H26" s="61"/>
    </x:row>
    <x:row r="27">
      <x:c r="A27" s="57"/>
      <x:c r="B27" s="57"/>
      <x:c r="C27" s="57"/>
      <x:c r="D27" s="57"/>
      <x:c r="E27" s="57"/>
      <x:c r="F27" s="57"/>
      <x:c r="G27" s="57"/>
      <x:c r="H27" s="57"/>
    </x:row>
    <x:row r="28">
      <x:c r="A28" s="62" t="str">
        <x:v>Task boundary: D2-2a is triggered by a feed-flow disturbance. Membrane, area, salinity, and temperature remain fixed. Pressure is the primary operating variable; feed-flow restoration is enabled only after pressure-only control is disproved.</x:v>
      </x:c>
      <x:c r="B28" s="62"/>
      <x:c r="C28" s="62"/>
      <x:c r="D28" s="62"/>
      <x:c r="E28" s="57"/>
      <x:c r="F28" s="57"/>
      <x:c r="G28" s="57"/>
      <x:c r="H28" s="57"/>
    </x:row>
    <x:row r="29">
      <x:c r="A29" s="62"/>
      <x:c r="B29" s="62"/>
      <x:c r="C29" s="62"/>
      <x:c r="D29" s="62"/>
      <x:c r="E29" s="57"/>
      <x:c r="F29" s="57"/>
      <x:c r="G29" s="57"/>
      <x:c r="H29" s="57"/>
    </x:row>
    <x:row r="30">
      <x:c r="A30" s="62"/>
      <x:c r="B30" s="62"/>
      <x:c r="C30" s="62"/>
      <x:c r="D30" s="62"/>
      <x:c r="E30" s="57"/>
      <x:c r="F30" s="57"/>
      <x:c r="G30" s="57"/>
      <x:c r="H30" s="57"/>
    </x:row>
  </x:sheetData>
  <x:mergeCells>
    <x:mergeCell ref="A1:H1"/>
    <x:mergeCell ref="A4:H5"/>
    <x:mergeCell ref="A8:D8"/>
    <x:mergeCell ref="F8:H8"/>
    <x:mergeCell ref="F20:H20"/>
    <x:mergeCell ref="F21:H21"/>
    <x:mergeCell ref="F22:H22"/>
    <x:mergeCell ref="F23:H23"/>
    <x:mergeCell ref="F24:H24"/>
    <x:mergeCell ref="F25:H25"/>
    <x:mergeCell ref="F26:H26"/>
    <x:mergeCell ref="A28:D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9" hidden="0" customWidth="1"/>
    <x:col min="3" max="3" width="18" hidden="0" customWidth="1"/>
    <x:col min="4" max="4" width="21" hidden="0" customWidth="1"/>
    <x:col min="5" max="5" width="21" hidden="0" customWidth="1"/>
    <x:col min="6" max="6" width="22" hidden="0" customWidth="1"/>
    <x:col min="7" max="7" width="18" hidden="0" customWidth="1"/>
    <x:col min="8" max="8" width="15" hidden="0" customWidth="1"/>
    <x:col min="9" max="9" width="1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88" t="str">
        <x:v>D2-2a: Gold Answer — Feed-Flow Disturbance Response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</x:row>
    <x:row r="2">
      <x:c r="A2" s="57"/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</x:row>
    <x:row r="4" ht="30" customHeight="1">
      <x:c r="A4" s="71" t="str">
        <x:v>Efficient reference path: ~6 simulate_ro calls: baseline → same-setpoint disturbance → Qp lower-bound fail/pass → Recovery upper-bound pass/fail.</x:v>
      </x:c>
      <x:c r="B4" s="71"/>
      <x:c r="C4" s="71"/>
      <x:c r="D4" s="71"/>
      <x:c r="E4" s="71"/>
      <x:c r="F4" s="71"/>
      <x:c r="G4" s="71"/>
      <x:c r="H4" s="71"/>
      <x:c r="I4" s="71"/>
      <x:c r="J4" s="71"/>
      <x:c r="K4" s="71"/>
      <x:c r="L4" s="71"/>
      <x:c r="M4" s="71"/>
      <x:c r="N4" s="71"/>
    </x:row>
    <x:row r="5">
      <x:c r="A5" s="57"/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</x:row>
    <x:row r="6">
      <x:c r="A6" s="57"/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7"/>
      <x:c r="M6" s="57"/>
      <x:c r="N6" s="57"/>
    </x:row>
    <x:row r="7">
      <x:c r="A7" s="59" t="str">
        <x:v>Human View: Continuous Reasoning Chain</x:v>
      </x:c>
      <x:c r="B7" s="59"/>
      <x:c r="C7" s="59"/>
      <x:c r="D7" s="59"/>
      <x:c r="E7" s="59"/>
      <x:c r="F7" s="59"/>
      <x:c r="G7" s="59"/>
      <x:c r="H7" s="57"/>
      <x:c r="I7" s="57"/>
      <x:c r="J7" s="57"/>
      <x:c r="K7" s="57"/>
      <x:c r="L7" s="57"/>
      <x:c r="M7" s="57"/>
      <x:c r="N7" s="57"/>
    </x:row>
    <x:row r="8">
      <x:c r="A8" s="86" t="str">
        <x:v>Step</x:v>
      </x:c>
      <x:c r="B8" s="86" t="str">
        <x:v>Human action</x:v>
      </x:c>
      <x:c r="C8" s="86" t="str">
        <x:v>Input</x:v>
      </x:c>
      <x:c r="D8" s="86" t="str">
        <x:v>Tool Call / Action</x:v>
      </x:c>
      <x:c r="E8" s="86" t="str">
        <x:v>Key output</x:v>
      </x:c>
      <x:c r="F8" s="86" t="str">
        <x:v>How it informs next step</x:v>
      </x:c>
      <x:c r="G8" s="86" t="str">
        <x:v>Primary evaluation</x:v>
      </x:c>
      <x:c r="H8" s="57"/>
      <x:c r="I8" s="57"/>
      <x:c r="J8" s="57"/>
      <x:c r="K8" s="57"/>
      <x:c r="L8" s="57"/>
      <x:c r="M8" s="57"/>
      <x:c r="N8" s="57"/>
    </x:row>
    <x:row r="9" ht="54" customHeight="1">
      <x:c r="A9" s="61" t="n">
        <x:v>1</x:v>
      </x:c>
      <x:c r="B9" s="61" t="str">
        <x:v>Establish normal baseline</x:v>
      </x:c>
      <x:c r="C9" s="61" t="str">
        <x:v>4.073 kg/s; 52 bar</x:v>
      </x:c>
      <x:c r="D9" s="61" t="str">
        <x:v>simulate_ro #1</x:v>
      </x:c>
      <x:c r="E9" s="61" t="str">
        <x:v>Qp≈6.594; Recovery≈45.98%; all pass</x:v>
      </x:c>
      <x:c r="F9" s="61" t="str">
        <x:v>Reference before disturbance</x:v>
      </x:c>
      <x:c r="G9" s="61" t="str">
        <x:v>First tool call</x:v>
      </x:c>
      <x:c r="H9" s="57"/>
      <x:c r="I9" s="57"/>
      <x:c r="J9" s="57"/>
      <x:c r="K9" s="57"/>
      <x:c r="L9" s="57"/>
      <x:c r="M9" s="57"/>
      <x:c r="N9" s="57"/>
    </x:row>
    <x:row r="10" ht="54" customHeight="1">
      <x:c r="A10" s="61" t="n">
        <x:v>2</x:v>
      </x:c>
      <x:c r="B10" s="61" t="str">
        <x:v>Diagnose the sudden drop at the same setpoint</x:v>
      </x:c>
      <x:c r="C10" s="61" t="str">
        <x:v>3.95 kg/s; 52 bar</x:v>
      </x:c>
      <x:c r="D10" s="61" t="str">
        <x:v>simulate_ro #2</x:v>
      </x:c>
      <x:c r="E10" s="61" t="str">
        <x:v>Qp≈6.495 passes; Recovery≈46.696% fails</x:v>
      </x:c>
      <x:c r="F10" s="61" t="str">
        <x:v>Pressure must decrease, but Qp may become limiting</x:v>
      </x:c>
      <x:c r="G10" s="61" t="str">
        <x:v>State understanding</x:v>
      </x:c>
      <x:c r="H10" s="57"/>
      <x:c r="I10" s="57"/>
      <x:c r="J10" s="57"/>
      <x:c r="K10" s="57"/>
      <x:c r="L10" s="57"/>
      <x:c r="M10" s="57"/>
      <x:c r="N10" s="57"/>
    </x:row>
    <x:row r="11" ht="54" customHeight="1">
      <x:c r="A11" s="61" t="n">
        <x:v>3</x:v>
      </x:c>
      <x:c r="B11" s="61" t="str">
        <x:v>Locate Qp lower boundary</x:v>
      </x:c>
      <x:c r="C11" s="61" t="str">
        <x:v>3.95; 50.94→50.95 bar</x:v>
      </x:c>
      <x:c r="D11" s="61" t="str">
        <x:v>simulate_ro #3–#4</x:v>
      </x:c>
      <x:c r="E11" s="61" t="str">
        <x:v>50.94 Qp≈6.298 FAIL; 50.95≈6.3002 PASS</x:v>
      </x:c>
      <x:c r="F11" s="61" t="str">
        <x:v>Pmin,Qp=50.95</x:v>
      </x:c>
      <x:c r="G11" s="61" t="str">
        <x:v>Lower boundary</x:v>
      </x:c>
      <x:c r="H11" s="57"/>
      <x:c r="I11" s="57"/>
      <x:c r="J11" s="57"/>
      <x:c r="K11" s="57"/>
      <x:c r="L11" s="57"/>
      <x:c r="M11" s="57"/>
      <x:c r="N11" s="57"/>
    </x:row>
    <x:row r="12" ht="54" customHeight="1">
      <x:c r="A12" s="61" t="n">
        <x:v>4</x:v>
      </x:c>
      <x:c r="B12" s="61" t="str">
        <x:v>Locate Recovery upper boundary</x:v>
      </x:c>
      <x:c r="C12" s="61" t="str">
        <x:v>3.95; 51.85→51.86 bar</x:v>
      </x:c>
      <x:c r="D12" s="61" t="str">
        <x:v>simulate_ro #5–#6</x:v>
      </x:c>
      <x:c r="E12" s="61" t="str">
        <x:v>51.85 Recovery≈46.497 PASS; 51.86≈46.510 FAIL</x:v>
      </x:c>
      <x:c r="F12" s="61" t="str">
        <x:v>Pmax,Recovery=51.85</x:v>
      </x:c>
      <x:c r="G12" s="61" t="str">
        <x:v>Upper boundary</x:v>
      </x:c>
      <x:c r="H12" s="57"/>
      <x:c r="I12" s="57"/>
      <x:c r="J12" s="57"/>
      <x:c r="K12" s="57"/>
      <x:c r="L12" s="57"/>
      <x:c r="M12" s="57"/>
      <x:c r="N12" s="57"/>
    </x:row>
    <x:row r="13" ht="54" customHeight="1">
      <x:c r="A13" s="61" t="n">
        <x:v>5</x:v>
      </x:c>
      <x:c r="B13" s="61" t="str">
        <x:v>Form complete window</x:v>
      </x:c>
      <x:c r="C13" s="61" t="str">
        <x:v>50.95–51.85 bar</x:v>
      </x:c>
      <x:c r="D13" s="61" t="str">
        <x:v>Engineering decision</x:v>
      </x:c>
      <x:c r="E13" s="61" t="str">
        <x:v>All defined constraints are feasible inside the window</x:v>
      </x:c>
      <x:c r="F13" s="61" t="str">
        <x:v>Recommend interior point ≈51.4 bar, not a boundary</x:v>
      </x:c>
      <x:c r="G13" s="61" t="str">
        <x:v>Final decision</x:v>
      </x:c>
      <x:c r="H13" s="57"/>
      <x:c r="I13" s="57"/>
      <x:c r="J13" s="57"/>
      <x:c r="K13" s="57"/>
      <x:c r="L13" s="57"/>
      <x:c r="M13" s="57"/>
      <x:c r="N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</x:row>
    <x:row r="18">
      <x:c r="A18" s="59" t="str">
        <x:v>Direct simulate_ro Results</x:v>
      </x:c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</x:row>
    <x:row r="19">
      <x:c r="A19" s="86" t="str">
        <x:v>Scenario</x:v>
      </x:c>
      <x:c r="B19" s="86" t="str">
        <x:v>Feed kg/s</x:v>
      </x:c>
      <x:c r="C19" s="86" t="str">
        <x:v>Pressure bar</x:v>
      </x:c>
      <x:c r="D19" s="86" t="str">
        <x:v>Permeate kg/s</x:v>
      </x:c>
      <x:c r="E19" s="86" t="str">
        <x:v>Qp m³/h</x:v>
      </x:c>
      <x:c r="F19" s="86" t="str">
        <x:v>Flux LMH</x:v>
      </x:c>
      <x:c r="G19" s="86" t="str">
        <x:v>Recovery %</x:v>
      </x:c>
      <x:c r="H19" s="86" t="str">
        <x:v>Rejection %</x:v>
      </x:c>
      <x:c r="I19" s="86" t="str">
        <x:v>NaCl mg/L</x:v>
      </x:c>
      <x:c r="J19" s="86" t="str">
        <x:v>Qp</x:v>
      </x:c>
      <x:c r="K19" s="86" t="str">
        <x:v>Recovery</x:v>
      </x:c>
      <x:c r="L19" s="86" t="str">
        <x:v>Flux</x:v>
      </x:c>
      <x:c r="M19" s="86" t="str">
        <x:v>Quality</x:v>
      </x:c>
      <x:c r="N19" s="86" t="str">
        <x:v>Overall</x:v>
      </x:c>
    </x:row>
    <x:row r="20">
      <x:c r="A20" s="61" t="str">
        <x:v>Normal baseline</x:v>
      </x:c>
      <x:c r="B20" s="72" t="n">
        <x:v>4.073</x:v>
      </x:c>
      <x:c r="C20" s="72" t="n">
        <x:v>52</x:v>
      </x:c>
      <x:c r="D20" s="72" t="n">
        <x:v>1.8317024077875053</x:v>
      </x:c>
      <x:c r="E20" s="72" t="n">
        <x:v>6.594128668035019</x:v>
      </x:c>
      <x:c r="F20" s="72" t="n">
        <x:v>16.479440695464636</x:v>
      </x:c>
      <x:c r="G20" s="72" t="n">
        <x:v>45.9844466906034</x:v>
      </x:c>
      <x:c r="H20" s="72" t="n">
        <x:v>98.83705234864722</x:v>
      </x:c>
      <x:c r="I20" s="72" t="n">
        <x:v>356.7400588598959</x:v>
      </x:c>
      <x:c r="J20" s="61" t="str">
        <x:v>PASS</x:v>
      </x:c>
      <x:c r="K20" s="61" t="str">
        <x:v>PASS</x:v>
      </x:c>
      <x:c r="L20" s="61" t="str">
        <x:v>PASS</x:v>
      </x:c>
      <x:c r="M20" s="61" t="str">
        <x:v>PASS</x:v>
      </x:c>
      <x:c r="N20" s="61" t="str">
        <x:v>PASS</x:v>
      </x:c>
    </x:row>
    <x:row r="21">
      <x:c r="A21" s="61" t="str">
        <x:v>3.95 unchanged</x:v>
      </x:c>
      <x:c r="B21" s="72" t="n">
        <x:v>3.95</x:v>
      </x:c>
      <x:c r="C21" s="72" t="n">
        <x:v>52</x:v>
      </x:c>
      <x:c r="D21" s="72" t="n">
        <x:v>1.8042111230495674</x:v>
      </x:c>
      <x:c r="E21" s="72" t="n">
        <x:v>6.495160042978443</x:v>
      </x:c>
      <x:c r="F21" s="72" t="n">
        <x:v>16.23790010744611</x:v>
      </x:c>
      <x:c r="G21" s="72" t="n">
        <x:v>46.69633682638136</x:v>
      </x:c>
      <x:c r="H21" s="72" t="n">
        <x:v>98.81618435239666</x:v>
      </x:c>
      <x:c r="I21" s="72" t="n">
        <x:v>363.1518315114688</x:v>
      </x:c>
      <x:c r="J21" s="61" t="str">
        <x:v>PASS</x:v>
      </x:c>
      <x:c r="K21" s="61" t="str">
        <x:v>FAIL</x:v>
      </x:c>
      <x:c r="L21" s="61" t="str">
        <x:v>PASS</x:v>
      </x:c>
      <x:c r="M21" s="61" t="str">
        <x:v>PASS</x:v>
      </x:c>
      <x:c r="N21" s="61" t="str">
        <x:v>FAIL</x:v>
      </x:c>
    </x:row>
    <x:row r="22">
      <x:c r="A22" s="61" t="str">
        <x:v>3.95 lower FAIL</x:v>
      </x:c>
      <x:c r="B22" s="72" t="n">
        <x:v>3.95</x:v>
      </x:c>
      <x:c r="C22" s="72" t="n">
        <x:v>50.94</x:v>
      </x:c>
      <x:c r="D22" s="72" t="n">
        <x:v>1.7495415766511915</x:v>
      </x:c>
      <x:c r="E22" s="72" t="n">
        <x:v>6.29834967594429</x:v>
      </x:c>
      <x:c r="F22" s="72" t="n">
        <x:v>15.745874189860723</x:v>
      </x:c>
      <x:c r="G22" s="72" t="n">
        <x:v>45.28464771062511</x:v>
      </x:c>
      <x:c r="H22" s="72" t="n">
        <x:v>98.7995642970823</x:v>
      </x:c>
      <x:c r="I22" s="72" t="n">
        <x:v>368.2427213702271</x:v>
      </x:c>
      <x:c r="J22" s="61" t="str">
        <x:v>FAIL</x:v>
      </x:c>
      <x:c r="K22" s="61" t="str">
        <x:v>PASS</x:v>
      </x:c>
      <x:c r="L22" s="61" t="str">
        <x:v>PASS</x:v>
      </x:c>
      <x:c r="M22" s="61" t="str">
        <x:v>PASS</x:v>
      </x:c>
      <x:c r="N22" s="61" t="str">
        <x:v>FAIL</x:v>
      </x:c>
    </x:row>
    <x:row r="23">
      <x:c r="A23" s="61" t="str">
        <x:v>3.95 lower PASS</x:v>
      </x:c>
      <x:c r="B23" s="72" t="n">
        <x:v>3.95</x:v>
      </x:c>
      <x:c r="C23" s="72" t="n">
        <x:v>50.95</x:v>
      </x:c>
      <x:c r="D23" s="72" t="n">
        <x:v>1.7500573270889124</x:v>
      </x:c>
      <x:c r="E23" s="72" t="n">
        <x:v>6.300206377520085</x:v>
      </x:c>
      <x:c r="F23" s="72" t="n">
        <x:v>15.750515943800213</x:v>
      </x:c>
      <x:c r="G23" s="72" t="n">
        <x:v>45.29796553247188</x:v>
      </x:c>
      <x:c r="H23" s="72" t="n">
        <x:v>98.79972109005696</x:v>
      </x:c>
      <x:c r="I23" s="72" t="n">
        <x:v>368.1946941074086</x:v>
      </x:c>
      <x:c r="J23" s="61" t="str">
        <x:v>PASS</x:v>
      </x:c>
      <x:c r="K23" s="61" t="str">
        <x:v>PASS</x:v>
      </x:c>
      <x:c r="L23" s="61" t="str">
        <x:v>PASS</x:v>
      </x:c>
      <x:c r="M23" s="61" t="str">
        <x:v>PASS</x:v>
      </x:c>
      <x:c r="N23" s="61" t="str">
        <x:v>PASS</x:v>
      </x:c>
    </x:row>
    <x:row r="24">
      <x:c r="A24" s="61" t="str">
        <x:v>3.95 upper PASS</x:v>
      </x:c>
      <x:c r="B24" s="72" t="n">
        <x:v>3.95</x:v>
      </x:c>
      <x:c r="C24" s="72" t="n">
        <x:v>51.85</x:v>
      </x:c>
      <x:c r="D24" s="72" t="n">
        <x:v>1.7964748664837598</x:v>
      </x:c>
      <x:c r="E24" s="72" t="n">
        <x:v>6.467309519341535</x:v>
      </x:c>
      <x:c r="F24" s="72" t="n">
        <x:v>16.168273798353837</x:v>
      </x:c>
      <x:c r="G24" s="72" t="n">
        <x:v>46.49656949868001</x:v>
      </x:c>
      <x:c r="H24" s="72" t="n">
        <x:v>98.81383245777671</x:v>
      </x:c>
      <x:c r="I24" s="72" t="n">
        <x:v>363.8722404537459</x:v>
      </x:c>
      <x:c r="J24" s="61" t="str">
        <x:v>PASS</x:v>
      </x:c>
      <x:c r="K24" s="61" t="str">
        <x:v>PASS</x:v>
      </x:c>
      <x:c r="L24" s="61" t="str">
        <x:v>PASS</x:v>
      </x:c>
      <x:c r="M24" s="61" t="str">
        <x:v>PASS</x:v>
      </x:c>
      <x:c r="N24" s="61" t="str">
        <x:v>PASS</x:v>
      </x:c>
    </x:row>
    <x:row r="25">
      <x:c r="A25" s="61" t="str">
        <x:v>3.95 upper FAIL</x:v>
      </x:c>
      <x:c r="B25" s="72" t="n">
        <x:v>3.95</x:v>
      </x:c>
      <x:c r="C25" s="72" t="n">
        <x:v>51.86</x:v>
      </x:c>
      <x:c r="D25" s="72" t="n">
        <x:v>1.7969906169214802</x:v>
      </x:c>
      <x:c r="E25" s="72" t="n">
        <x:v>6.469166220917329</x:v>
      </x:c>
      <x:c r="F25" s="72" t="n">
        <x:v>16.172915552293322</x:v>
      </x:c>
      <x:c r="G25" s="72" t="n">
        <x:v>46.509887320526765</x:v>
      </x:c>
      <x:c r="H25" s="72" t="n">
        <x:v>98.81398925075136</x:v>
      </x:c>
      <x:c r="I25" s="72" t="n">
        <x:v>363.8242131909275</x:v>
      </x:c>
      <x:c r="J25" s="61" t="str">
        <x:v>PASS</x:v>
      </x:c>
      <x:c r="K25" s="61" t="str">
        <x:v>FAIL</x:v>
      </x:c>
      <x:c r="L25" s="61" t="str">
        <x:v>PASS</x:v>
      </x:c>
      <x:c r="M25" s="61" t="str">
        <x:v>PASS</x:v>
      </x:c>
      <x:c r="N25" s="61" t="str">
        <x:v>FAIL</x:v>
      </x:c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</x:row>
    <x:row r="32">
      <x:c r="A32" s="59" t="str">
        <x:v>Recommended Operating Response</x:v>
      </x:c>
      <x:c r="B32" s="59"/>
      <x:c r="C32" s="59"/>
      <x:c r="D32" s="59"/>
      <x:c r="E32" s="59"/>
      <x:c r="F32" s="59"/>
      <x:c r="G32" s="57"/>
      <x:c r="H32" s="73" t="str">
        <x:v>Final Conclusion
At 3.95 kg/s, 52 bar violates the Recovery limit (≈46.696%). The full feasible pressure window is 50.95–51.85 bar: the lower boundary is set by Qp≥6.30 and the upper boundary by Recovery≤46.5%. An interior setpoint near 51.4 bar provides margin to both sides.</x:v>
      </x:c>
      <x:c r="I32" s="73"/>
      <x:c r="J32" s="73"/>
      <x:c r="K32" s="73"/>
      <x:c r="L32" s="73"/>
      <x:c r="M32" s="73"/>
      <x:c r="N32" s="73"/>
    </x:row>
    <x:row r="33">
      <x:c r="A33" s="86" t="str">
        <x:v>Feed state / rule</x:v>
      </x:c>
      <x:c r="B33" s="86" t="str">
        <x:v>Pressure</x:v>
      </x:c>
      <x:c r="C33" s="86" t="str">
        <x:v>Feed flow</x:v>
      </x:c>
      <x:c r="D33" s="86" t="str">
        <x:v>Key evidence</x:v>
      </x:c>
      <x:c r="E33" s="86" t="str">
        <x:v>Decision</x:v>
      </x:c>
      <x:c r="F33" s="86" t="str">
        <x:v>Note</x:v>
      </x:c>
      <x:c r="G33" s="57"/>
      <x:c r="H33" s="73"/>
      <x:c r="I33" s="73"/>
      <x:c r="J33" s="73"/>
      <x:c r="K33" s="73"/>
      <x:c r="L33" s="73"/>
      <x:c r="M33" s="73"/>
      <x:c r="N33" s="73"/>
    </x:row>
    <x:row r="34">
      <x:c r="A34" s="61" t="str">
        <x:v>Normal 4.073</x:v>
      </x:c>
      <x:c r="B34" s="61" t="str">
        <x:v>52.00 bar</x:v>
      </x:c>
      <x:c r="C34" s="61" t="str">
        <x:v>4.073 kg/s</x:v>
      </x:c>
      <x:c r="D34" s="61" t="str">
        <x:v>Baseline passes</x:v>
      </x:c>
      <x:c r="E34" s="61" t="str">
        <x:v>Hold</x:v>
      </x:c>
      <x:c r="F34" s="61" t="str">
        <x:v>-</x:v>
      </x:c>
      <x:c r="G34" s="57"/>
      <x:c r="H34" s="73"/>
      <x:c r="I34" s="73"/>
      <x:c r="J34" s="73"/>
      <x:c r="K34" s="73"/>
      <x:c r="L34" s="73"/>
      <x:c r="M34" s="73"/>
      <x:c r="N34" s="73"/>
    </x:row>
    <x:row r="35">
      <x:c r="A35" s="61" t="str">
        <x:v>Drop to 3.95</x:v>
      </x:c>
      <x:c r="B35" s="61" t="str">
        <x:v>50.95–51.85 bar</x:v>
      </x:c>
      <x:c r="C35" s="61" t="str">
        <x:v>3.95 kg/s</x:v>
      </x:c>
      <x:c r="D35" s="61" t="str">
        <x:v>Qp lower bound; Recovery upper bound</x:v>
      </x:c>
      <x:c r="E35" s="61" t="str">
        <x:v>Recommend ≈51.4 bar</x:v>
      </x:c>
      <x:c r="F35" s="61" t="str">
        <x:v>Full pressure window</x:v>
      </x:c>
      <x:c r="G35" s="57"/>
      <x:c r="H35" s="73"/>
      <x:c r="I35" s="73"/>
      <x:c r="J35" s="73"/>
      <x:c r="K35" s="73"/>
      <x:c r="L35" s="73"/>
      <x:c r="M35" s="73"/>
      <x:c r="N35" s="73"/>
    </x:row>
    <x:row r="36">
      <x:c r="A36" s="57"/>
      <x:c r="B36" s="57"/>
      <x:c r="C36" s="57"/>
      <x:c r="D36" s="57"/>
      <x:c r="E36" s="57"/>
      <x:c r="F36" s="57"/>
      <x:c r="G36" s="57"/>
      <x:c r="H36" s="73"/>
      <x:c r="I36" s="73"/>
      <x:c r="J36" s="73"/>
      <x:c r="K36" s="73"/>
      <x:c r="L36" s="73"/>
      <x:c r="M36" s="73"/>
      <x:c r="N36" s="73"/>
    </x:row>
    <x:row r="37">
      <x:c r="A37" s="57"/>
      <x:c r="B37" s="57"/>
      <x:c r="C37" s="57"/>
      <x:c r="D37" s="57"/>
      <x:c r="E37" s="57"/>
      <x:c r="F37" s="57"/>
      <x:c r="G37" s="57"/>
      <x:c r="H37" s="73"/>
      <x:c r="I37" s="73"/>
      <x:c r="J37" s="73"/>
      <x:c r="K37" s="73"/>
      <x:c r="L37" s="73"/>
      <x:c r="M37" s="73"/>
      <x:c r="N37" s="73"/>
    </x:row>
  </x:sheetData>
  <x:mergeCells>
    <x:mergeCell ref="A1:N1"/>
    <x:mergeCell ref="A4:N4"/>
    <x:mergeCell ref="A7:G7"/>
    <x:mergeCell ref="A18:N18"/>
    <x:mergeCell ref="A32:F32"/>
    <x:mergeCell ref="H32:N37"/>
  </x:mergeCells>
  <x:conditionalFormatting sqref="N20:N25">
    <x:cfRule type="expression" dxfId="0" priority="1">
      <x:formula>N20="PASS"</x:formula>
    </x:cfRule>
    <x:cfRule type="expression" dxfId="1" priority="2">
      <x:formula>N20="FAIL"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7" hidden="0" customWidth="1"/>
    <x:col min="3" max="3" width="48" hidden="0" customWidth="1"/>
    <x:col min="4" max="4" width="36" hidden="0" customWidth="1"/>
    <x:col min="5" max="5" width="36" hidden="0" customWidth="1"/>
    <x:col min="6" max="6" width="10" hidden="0" customWidth="1"/>
    <x:col min="7" max="7" width="10" hidden="0" customWidth="1"/>
  </x:cols>
  <x:sheetData>
    <x:row r="1">
      <x:c r="A1" s="88" t="str">
        <x:v>D2-2a: Trajectory Quality Rubric (100 points)</x:v>
      </x:c>
      <x:c r="B1" s="88"/>
      <x:c r="C1" s="88"/>
      <x:c r="D1" s="88"/>
      <x:c r="E1" s="88"/>
      <x:c r="F1" s="88"/>
      <x:c r="G1" s="88"/>
    </x:row>
    <x:row r="2">
      <x:c r="A2" s="57"/>
      <x:c r="B2" s="57"/>
      <x:c r="C2" s="57"/>
      <x:c r="D2" s="57"/>
      <x:c r="E2" s="57"/>
      <x:c r="F2" s="57"/>
      <x:c r="G2" s="57"/>
    </x:row>
    <x:row r="3">
      <x:c r="A3" s="57"/>
      <x:c r="B3" s="57"/>
      <x:c r="C3" s="57"/>
      <x:c r="D3" s="57"/>
      <x:c r="E3" s="57"/>
      <x:c r="F3" s="57"/>
      <x:c r="G3" s="57"/>
    </x:row>
    <x:row r="4">
      <x:c r="A4" s="78" t="str">
        <x:v>Trajectory Quality totals 100 points. Score the complete state → plan → tool call → observation → update → next action → stopping/decision trajectory. Preserve the causal feed-flow disturbance comparison and adapt or stop once evidence is sufficient.</x:v>
      </x:c>
      <x:c r="B4" s="78"/>
      <x:c r="C4" s="78"/>
      <x:c r="D4" s="78"/>
      <x:c r="E4" s="78"/>
      <x:c r="F4" s="78"/>
      <x:c r="G4" s="78"/>
    </x:row>
    <x:row r="5">
      <x:c r="A5" s="78"/>
      <x:c r="B5" s="78"/>
      <x:c r="C5" s="78"/>
      <x:c r="D5" s="78"/>
      <x:c r="E5" s="78"/>
      <x:c r="F5" s="78"/>
      <x:c r="G5" s="78"/>
    </x:row>
    <x:row r="6">
      <x:c r="A6" s="57"/>
      <x:c r="B6" s="57"/>
      <x:c r="C6" s="57"/>
      <x:c r="D6" s="57"/>
      <x:c r="E6" s="57"/>
      <x:c r="F6" s="57"/>
      <x:c r="G6" s="57"/>
    </x:row>
    <x:row r="7">
      <x:c r="A7" s="57"/>
      <x:c r="B7" s="57"/>
      <x:c r="C7" s="57"/>
      <x:c r="D7" s="57"/>
      <x:c r="E7" s="57"/>
      <x:c r="F7" s="57"/>
      <x:c r="G7" s="57"/>
    </x:row>
    <x:row r="8">
      <x:c r="A8" s="86" t="str">
        <x:v>Trajectory dimension</x:v>
      </x:c>
      <x:c r="B8" s="86" t="str">
        <x:v>Evaluation focus</x:v>
      </x:c>
      <x:c r="C8" s="86" t="str">
        <x:v>Full-credit evidence</x:v>
      </x:c>
      <x:c r="D8" s="86" t="str">
        <x:v>Partial credit</x:v>
      </x:c>
      <x:c r="E8" s="86" t="str">
        <x:v>Critical failure mode</x:v>
      </x:c>
      <x:c r="F8" s="86" t="str">
        <x:v>Weight</x:v>
      </x:c>
      <x:c r="G8" s="86" t="str">
        <x:v>Score</x:v>
      </x:c>
    </x:row>
    <x:row r="9">
      <x:c r="A9" s="61" t="str">
        <x:v>TQ1 Problem framing</x:v>
      </x:c>
      <x:c r="B9" s="61" t="str">
        <x:v>Recognize feed-flow drop</x:v>
      </x:c>
      <x:c r="C9" s="61" t="str">
        <x:v>Same-setpoint causal comparison; fixed system design</x:v>
      </x:c>
      <x:c r="D9" s="61" t="str">
        <x:v>Recognizes flow change but weak causal framing</x:v>
      </x:c>
      <x:c r="E9" s="61" t="str">
        <x:v>Changes membrane/area</x:v>
      </x:c>
      <x:c r="F9" s="61" t="n">
        <x:v>15</x:v>
      </x:c>
      <x:c r="G9" s="79"/>
    </x:row>
    <x:row r="10">
      <x:c r="A10" s="61" t="str">
        <x:v>TQ2 Plan quality</x:v>
      </x:c>
      <x:c r="B10" s="61" t="str">
        <x:v>Search full pressure window</x:v>
      </x:c>
      <x:c r="C10" s="61" t="str">
        <x:v>Locate both Qp lower and Recovery upper bounds</x:v>
      </x:c>
      <x:c r="D10" s="61" t="str">
        <x:v>Finds only one boundary</x:v>
      </x:c>
      <x:c r="E10" s="61" t="str">
        <x:v>Finds only one feasible pressure</x:v>
      </x:c>
      <x:c r="F10" s="61" t="n">
        <x:v>15</x:v>
      </x:c>
      <x:c r="G10" s="79"/>
    </x:row>
    <x:row r="11">
      <x:c r="A11" s="61" t="str">
        <x:v>TQ3 Tool correctness</x:v>
      </x:c>
      <x:c r="B11" s="61" t="str">
        <x:v>Correct 0.01-bar boundary calls</x:v>
      </x:c>
      <x:c r="C11" s="61" t="str">
        <x:v>Paired tests 50.94/50.95 and 51.85/51.86</x:v>
      </x:c>
      <x:c r="D11" s="61" t="str">
        <x:v>Minor precision error</x:v>
      </x:c>
      <x:c r="E11" s="61" t="str">
        <x:v>Changes other feed/membrane parameters</x:v>
      </x:c>
      <x:c r="F11" s="61" t="n">
        <x:v>20</x:v>
      </x:c>
      <x:c r="G11" s="79"/>
    </x:row>
    <x:row r="12">
      <x:c r="A12" s="61" t="str">
        <x:v>TQ4 Observation</x:v>
      </x:c>
      <x:c r="B12" s="61" t="str">
        <x:v>Identify two active boundaries</x:v>
      </x:c>
      <x:c r="C12" s="61" t="str">
        <x:v>Pmin,Qp=50.95; Pmax,Recovery=51.85</x:v>
      </x:c>
      <x:c r="D12" s="61" t="str">
        <x:v>Trend correct but boundaries incomplete</x:v>
      </x:c>
      <x:c r="E12" s="61" t="str">
        <x:v>Checks only Recovery or Qp</x:v>
      </x:c>
      <x:c r="F12" s="61" t="n">
        <x:v>20</x:v>
      </x:c>
      <x:c r="G12" s="79"/>
    </x:row>
    <x:row r="13">
      <x:c r="A13" s="61" t="str">
        <x:v>TQ5 Adaptation</x:v>
      </x:c>
      <x:c r="B13" s="61" t="str">
        <x:v>Switch search after first boundary</x:v>
      </x:c>
      <x:c r="C13" s="61" t="str">
        <x:v>Find lower then upper; stop after window is proven</x:v>
      </x:c>
      <x:c r="D13" s="61" t="str">
        <x:v>Some redundancy</x:v>
      </x:c>
      <x:c r="E13" s="61" t="str">
        <x:v>Dense full-range scanning</x:v>
      </x:c>
      <x:c r="F13" s="61" t="n">
        <x:v>20</x:v>
      </x:c>
      <x:c r="G13" s="79"/>
    </x:row>
    <x:row r="14">
      <x:c r="A14" s="61" t="str">
        <x:v>TQ6 Decision</x:v>
      </x:c>
      <x:c r="B14" s="61" t="str">
        <x:v>Report full window and interior recommendation</x:v>
      </x:c>
      <x:c r="C14" s="61" t="str">
        <x:v>50.95–51.85; recommend ≈51.4</x:v>
      </x:c>
      <x:c r="D14" s="61" t="str">
        <x:v>Correct window, weak margin rationale</x:v>
      </x:c>
      <x:c r="E14" s="61" t="str">
        <x:v>Recommends 51.86 or 50.94</x:v>
      </x:c>
      <x:c r="F14" s="61" t="n">
        <x:v>10</x:v>
      </x:c>
      <x:c r="G14" s="79"/>
    </x:row>
    <x:row r="15">
      <x:c r="A15" s="57"/>
      <x:c r="B15" s="57"/>
      <x:c r="C15" s="57"/>
      <x:c r="D15" s="57"/>
      <x:c r="E15" s="57"/>
      <x:c r="F15" s="57"/>
      <x:c r="G15" s="57"/>
    </x:row>
    <x:row r="16">
      <x:c r="A16" s="57"/>
      <x:c r="B16" s="57"/>
      <x:c r="C16" s="57"/>
      <x:c r="D16" s="57"/>
      <x:c r="E16" s="80" t="str">
        <x:v>Trajectory Quality Total</x:v>
      </x:c>
      <x:c r="F16" s="80" t="n">
        <x:v>100</x:v>
      </x:c>
      <x:c r="G16" s="80" t="n">
        <x:f>SUM(G9:G14)</x:f>
        <x:v>0</x:v>
      </x:c>
    </x:row>
  </x:sheetData>
  <x:mergeCells>
    <x:mergeCell ref="A1:G1"/>
    <x:mergeCell ref="A4:G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5" hidden="0" customWidth="1"/>
    <x:col min="4" max="4" width="35" hidden="0" customWidth="1"/>
    <x:col min="5" max="5" width="35" hidden="0" customWidth="1"/>
    <x:col min="6" max="6" width="50" hidden="0" customWidth="1"/>
    <x:col min="7" max="7" width="10" hidden="0" customWidth="1"/>
  </x:cols>
  <x:sheetData>
    <x:row r="1">
      <x:c r="A1" s="88" t="str">
        <x:v>D2-2a: Tool Usage Efficiency (100 points)</x:v>
      </x:c>
      <x:c r="B1" s="88"/>
      <x:c r="C1" s="88"/>
      <x:c r="D1" s="88"/>
      <x:c r="E1" s="88"/>
      <x:c r="F1" s="88"/>
      <x:c r="G1" s="88"/>
    </x:row>
    <x:row r="2">
      <x:c r="A2" s="57"/>
      <x:c r="B2" s="57"/>
      <x:c r="C2" s="57"/>
      <x:c r="D2" s="57"/>
      <x:c r="E2" s="57"/>
      <x:c r="F2" s="57"/>
      <x:c r="G2" s="57"/>
    </x:row>
    <x:row r="3">
      <x:c r="A3" s="57"/>
      <x:c r="B3" s="57"/>
      <x:c r="C3" s="57"/>
      <x:c r="D3" s="57"/>
      <x:c r="E3" s="57"/>
      <x:c r="F3" s="57"/>
      <x:c r="G3" s="57"/>
    </x:row>
    <x:row r="4">
      <x:c r="A4" s="78" t="str">
        <x:v>Tool usage efficiency is scored separately from Trajectory Quality. Primary tool: simulate_ro. Efficient reference path: ~6 calls; emphasize information gain, adaptive choice, pruning, and evidence-based stopping.</x:v>
      </x:c>
      <x:c r="B4" s="78"/>
      <x:c r="C4" s="78"/>
      <x:c r="D4" s="78"/>
      <x:c r="E4" s="78"/>
      <x:c r="F4" s="78"/>
      <x:c r="G4" s="78"/>
    </x:row>
    <x:row r="5">
      <x:c r="A5" s="78"/>
      <x:c r="B5" s="78"/>
      <x:c r="C5" s="78"/>
      <x:c r="D5" s="78"/>
      <x:c r="E5" s="78"/>
      <x:c r="F5" s="78"/>
      <x:c r="G5" s="78"/>
    </x:row>
    <x:row r="6">
      <x:c r="A6" s="57"/>
      <x:c r="B6" s="57"/>
      <x:c r="C6" s="57"/>
      <x:c r="D6" s="57"/>
      <x:c r="E6" s="57"/>
      <x:c r="F6" s="57"/>
      <x:c r="G6" s="57"/>
    </x:row>
    <x:row r="7">
      <x:c r="A7" s="57"/>
      <x:c r="B7" s="57"/>
      <x:c r="C7" s="57"/>
      <x:c r="D7" s="57"/>
      <x:c r="E7" s="57"/>
      <x:c r="F7" s="57"/>
      <x:c r="G7" s="57"/>
    </x:row>
    <x:row r="8">
      <x:c r="A8" s="86" t="str">
        <x:v>Efficiency dimension</x:v>
      </x:c>
      <x:c r="B8" s="86" t="str">
        <x:v>Evaluation focus</x:v>
      </x:c>
      <x:c r="C8" s="86" t="str">
        <x:v>High performance</x:v>
      </x:c>
      <x:c r="D8" s="86" t="str">
        <x:v>Medium performance</x:v>
      </x:c>
      <x:c r="E8" s="86" t="str">
        <x:v>Low performance</x:v>
      </x:c>
      <x:c r="F8" s="86" t="str">
        <x:v>Item-specific observation</x:v>
      </x:c>
      <x:c r="G8" s="86" t="str">
        <x:v>Points</x:v>
      </x:c>
    </x:row>
    <x:row r="9">
      <x:c r="A9" s="61" t="str">
        <x:v>E1 Tool selection</x:v>
      </x:c>
      <x:c r="B9" s="61" t="str">
        <x:v>Use simulate_ro appropriately</x:v>
      </x:c>
      <x:c r="C9" s="61" t="str">
        <x:v>Calls directly support flow disturbance, pressure boundaries, and necessary flow restoration</x:v>
      </x:c>
      <x:c r="D9" s="61" t="str">
        <x:v>Minor irrelevant calls</x:v>
      </x:c>
      <x:c r="E9" s="61" t="str">
        <x:v>Wrong tool / many irrelevant calls</x:v>
      </x:c>
      <x:c r="F9" s="61" t="str">
        <x:v>Same-setpoint diagnosis first; use paired fail/pass tests for both boundaries; stop after the window is proven.</x:v>
      </x:c>
      <x:c r="G9" s="61" t="n">
        <x:v>20</x:v>
      </x:c>
    </x:row>
    <x:row r="10">
      <x:c r="A10" s="61" t="str">
        <x:v>E2 Information gain</x:v>
      </x:c>
      <x:c r="B10" s="61" t="str">
        <x:v>Prioritize discriminating calls</x:v>
      </x:c>
      <x:c r="C10" s="61" t="str">
        <x:v>Causal comparison / key boundaries / infeasibility proof first</x:v>
      </x:c>
      <x:c r="D10" s="61" t="str">
        <x:v>Mostly reasonable but repetitive</x:v>
      </x:c>
      <x:c r="E10" s="61" t="str">
        <x:v>Dense 2D scanning</x:v>
      </x:c>
      <x:c r="F10" s="61" t="str">
        <x:v>Same-setpoint diagnosis first; use paired fail/pass tests for both boundaries; stop after the window is proven.</x:v>
      </x:c>
      <x:c r="G10" s="61" t="n">
        <x:v>20</x:v>
      </x:c>
    </x:row>
    <x:row r="11">
      <x:c r="A11" s="61" t="str">
        <x:v>E3 Adaptation</x:v>
      </x:c>
      <x:c r="B11" s="61" t="str">
        <x:v>Let each result determine the next step</x:v>
      </x:c>
      <x:c r="C11" s="61" t="str">
        <x:v>FAIL/PASS or boundary relation directly triggers next action</x:v>
      </x:c>
      <x:c r="D11" s="61" t="str">
        <x:v>Partly adaptive</x:v>
      </x:c>
      <x:c r="E11" s="61" t="str">
        <x:v>Preset enumeration ignores results</x:v>
      </x:c>
      <x:c r="F11" s="61" t="str">
        <x:v>Same-setpoint diagnosis first; use paired fail/pass tests for both boundaries; stop after the window is proven.</x:v>
      </x:c>
      <x:c r="G11" s="61" t="n">
        <x:v>20</x:v>
      </x:c>
    </x:row>
    <x:row r="12">
      <x:c r="A12" s="61" t="str">
        <x:v>E4 Pruning</x:v>
      </x:c>
      <x:c r="B12" s="61" t="str">
        <x:v>Stop branches once evidence is sufficient</x:v>
      </x:c>
      <x:c r="C12" s="61" t="str">
        <x:v>Switch immediately after boundary or infeasibility proof</x:v>
      </x:c>
      <x:c r="D12" s="61" t="str">
        <x:v>Some redundancy</x:v>
      </x:c>
      <x:c r="E12" s="61" t="str">
        <x:v>Keeps testing known failed regions</x:v>
      </x:c>
      <x:c r="F12" s="61" t="str">
        <x:v>Same-setpoint diagnosis first; use paired fail/pass tests for both boundaries; stop after the window is proven.</x:v>
      </x:c>
      <x:c r="G12" s="61" t="n">
        <x:v>20</x:v>
      </x:c>
    </x:row>
    <x:row r="13">
      <x:c r="A13" s="61" t="str">
        <x:v>E5 Convergence</x:v>
      </x:c>
      <x:c r="B13" s="61" t="str">
        <x:v>Complete evidence within reasonable budget</x:v>
      </x:c>
      <x:c r="C13" s="61" t="str">
        <x:v>~6 calls with no obvious redundancy</x:v>
      </x:c>
      <x:c r="D13" s="61" t="str">
        <x:v>2–3 extra calls but still reasonable</x:v>
      </x:c>
      <x:c r="E13" s="61" t="str">
        <x:v>Far above reference budget with little new information</x:v>
      </x:c>
      <x:c r="F13" s="61" t="str">
        <x:v>Same-setpoint diagnosis first; use paired fail/pass tests for both boundaries; stop after the window is proven.</x:v>
      </x:c>
      <x:c r="G13" s="61" t="n">
        <x:v>20</x:v>
      </x:c>
    </x:row>
    <x:row r="14">
      <x:c r="A14" s="57"/>
      <x:c r="B14" s="57"/>
      <x:c r="C14" s="57"/>
      <x:c r="D14" s="57"/>
      <x:c r="E14" s="57"/>
      <x:c r="F14" s="57"/>
      <x:c r="G14" s="57"/>
    </x:row>
    <x:row r="15">
      <x:c r="A15" s="57"/>
      <x:c r="B15" s="57"/>
      <x:c r="C15" s="57"/>
      <x:c r="D15" s="57"/>
      <x:c r="E15" s="57"/>
      <x:c r="F15" s="80" t="str">
        <x:v>Tool Efficiency Total</x:v>
      </x:c>
      <x:c r="G15" s="80" t="n">
        <x:v>100</x:v>
      </x:c>
    </x:row>
  </x:sheetData>
  <x:mergeCells>
    <x:mergeCell ref="A1:G1"/>
    <x:mergeCell ref="A4:G5"/>
  </x:mergeCells>
  <x:pageMargins left="0.7" right="0.7" top="0.75" bottom="0.75" header="0.3" footer="0.3"/>
</x:worksheet>
</file>