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9af951f8684af7" /></Relationships>
</file>

<file path=xl/workbook.xml><?xml version="1.0" encoding="utf-8"?>
<x:workbook xmlns:x="http://schemas.openxmlformats.org/spreadsheetml/2006/main">
  <x:sheets>
    <x:sheet xmlns:r="http://schemas.openxmlformats.org/officeDocument/2006/relationships" name="Question" sheetId="1" r:id="R91a5e03077a74e3b"/>
    <x:sheet xmlns:r="http://schemas.openxmlformats.org/officeDocument/2006/relationships" name="Gold_Answer" sheetId="2" r:id="R8c60a684f1fd4c65"/>
    <x:sheet xmlns:r="http://schemas.openxmlformats.org/officeDocument/2006/relationships" name="Trajectory_Rubric" sheetId="3" r:id="Rd4fbd377dd8b46db"/>
    <x:sheet xmlns:r="http://schemas.openxmlformats.org/officeDocument/2006/relationships" name="Tool_Efficiency" sheetId="4" r:id="R36d8a57386bf45e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13">
    <x:font>
      <x:sz val="11"/>
      <x:name val="Carlito"/>
    </x:font>
    <x:font>
      <x:b/>
      <x:sz val="15"/>
      <x:color rgb="FFFFFFFF"/>
      <x:name val="Arial"/>
    </x:font>
    <x:font>
      <x:b/>
      <x:sz val="10"/>
      <x:color rgb="FF17365D"/>
      <x:name val="Arial"/>
    </x:font>
    <x:font>
      <x:b/>
      <x:sz val="11"/>
      <x:color rgb="FF17365D"/>
      <x:name val="Arial"/>
    </x:font>
    <x:font>
      <x:b/>
      <x:sz val="11"/>
      <x:color rgb="FFFFFFFF"/>
      <x:name val="Arial"/>
    </x:font>
    <x:font>
      <x:sz val="10"/>
      <x:name val="Arial"/>
    </x:font>
    <x:font>
      <x:i/>
      <x:sz val="11"/>
      <x:color rgb="FF7F6000"/>
      <x:name val="Arial"/>
    </x:font>
    <x:font>
      <x:b/>
      <x:sz val="11"/>
      <x:color rgb="FF385723"/>
      <x:name val="Arial"/>
    </x:font>
    <x:font>
      <x:sz val="11"/>
      <x:color rgb="FF17365D"/>
      <x:name val="Arial"/>
    </x:font>
    <x:font>
      <x:b/>
      <x:sz val="10"/>
      <x:color rgb="FF1F1F1F"/>
      <x:name val="Arial"/>
    </x:font>
    <x:font>
      <x:sz val="10"/>
      <x:color rgb="FF1F1F1F"/>
      <x:name val="Arial"/>
    </x:font>
    <x:font>
      <x:i/>
      <x:sz val="10"/>
      <x:color rgb="FF1F1F1F"/>
      <x:name val="Arial"/>
    </x:font>
    <x:font>
      <x:b/>
      <x:sz val="10"/>
      <x:color rgb="FFFFFFFF"/>
      <x:name val="Arial"/>
    </x:font>
  </x:fonts>
  <x:fills count="7">
    <x:fill>
      <x:patternFill patternType="none"/>
    </x:fill>
    <x:fill>
      <x:patternFill patternType="gray125"/>
    </x:fill>
    <x:fill>
      <x:patternFill patternType="solid">
        <x:fgColor rgb="FF1F4E78"/>
      </x:patternFill>
    </x:fill>
    <x:fill>
      <x:patternFill patternType="solid">
        <x:fgColor rgb="FFDDEBF7"/>
      </x:patternFill>
    </x:fill>
    <x:fill>
      <x:patternFill patternType="solid">
        <x:fgColor rgb="FF2F75B5"/>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9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3" borderId="0"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1" xfId="0" applyNumberFormat="1" applyFont="1" applyFill="1" applyBorder="1"/>
    <x:xf numFmtId="0" fontId="5" fillId="0" borderId="1" xfId="0" applyNumberFormat="1" applyFont="1" applyFill="1" applyBorder="1" applyAlignment="1">
      <x:alignment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0" fillId="5" borderId="1"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wrapText="1"/>
    </x:xf>
    <x:xf numFmtId="0" fontId="6" fillId="5" borderId="1" xfId="0" applyNumberFormat="1" applyFont="1" applyFill="1" applyBorder="1" applyAlignment="1">
      <x:alignment vertical="center"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center" wrapText="1"/>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center" wrapText="1"/>
    </x:xf>
    <x:xf numFmtId="0" fontId="4" fillId="4" borderId="0" xfId="0" applyNumberFormat="1" applyFont="1" applyFill="1" applyBorder="1" applyAlignment="1">
      <x:alignment horizontal="center"/>
    </x:xf>
    <x:xf numFmtId="0" fontId="4"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1" xfId="0" applyNumberFormat="1" applyFont="1" applyFill="1" applyBorder="1"/>
    <x:xf numFmtId="0" fontId="8" fillId="3"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9" fillId="2" borderId="0" xfId="0" applyNumberFormat="1" applyFont="1" applyFill="1" applyBorder="1" applyAlignment="1">
      <x:alignment horizontal="center" vertical="center"/>
    </x:xf>
    <x:xf numFmtId="0" fontId="10" fillId="0" borderId="0" xfId="0" applyNumberFormat="1" applyFont="1" applyFill="1" applyBorder="1"/>
    <x:xf numFmtId="0" fontId="9" fillId="3" borderId="0" xfId="0" applyNumberFormat="1" applyFont="1" applyFill="1" applyBorder="1" applyAlignment="1">
      <x:alignment vertical="center" wrapText="1"/>
    </x:xf>
    <x:xf numFmtId="0" fontId="9" fillId="3" borderId="0" xfId="0" applyNumberFormat="1" applyFont="1" applyFill="1" applyBorder="1"/>
    <x:xf numFmtId="0" fontId="9" fillId="4" borderId="0" xfId="0" applyNumberFormat="1" applyFont="1" applyFill="1" applyBorder="1" applyAlignment="1">
      <x:alignment horizontal="center" wrapText="1"/>
    </x:xf>
    <x:xf numFmtId="0" fontId="10" fillId="0" borderId="0" xfId="0" applyNumberFormat="1" applyFont="1" applyFill="1" applyBorder="1" applyAlignment="1">
      <x:alignment wrapText="1"/>
    </x:xf>
    <x:xf numFmtId="0" fontId="11" fillId="5" borderId="0" xfId="0" applyNumberFormat="1" applyFont="1" applyFill="1" applyBorder="1" applyAlignment="1">
      <x:alignment vertical="center" wrapText="1"/>
    </x:xf>
    <x:xf numFmtId="0" fontId="9" fillId="2" borderId="1" xfId="0" applyNumberFormat="1" applyFont="1" applyFill="1" applyBorder="1" applyAlignment="1">
      <x:alignment horizontal="center" vertical="center"/>
    </x:xf>
    <x:xf numFmtId="0" fontId="10" fillId="0" borderId="1" xfId="0" applyNumberFormat="1" applyFont="1" applyFill="1" applyBorder="1"/>
    <x:xf numFmtId="0" fontId="9" fillId="3" borderId="1" xfId="0" applyNumberFormat="1" applyFont="1" applyFill="1" applyBorder="1" applyAlignment="1">
      <x:alignment vertical="center" wrapText="1"/>
    </x:xf>
    <x:xf numFmtId="0" fontId="9" fillId="3" borderId="1" xfId="0" applyNumberFormat="1" applyFont="1" applyFill="1" applyBorder="1"/>
    <x:xf numFmtId="0" fontId="9" fillId="4" borderId="1" xfId="0" applyNumberFormat="1" applyFont="1" applyFill="1" applyBorder="1" applyAlignment="1">
      <x:alignment horizontal="center" wrapText="1"/>
    </x:xf>
    <x:xf numFmtId="0" fontId="10" fillId="0" borderId="1" xfId="0" applyNumberFormat="1" applyFont="1" applyFill="1" applyBorder="1" applyAlignment="1">
      <x:alignment wrapText="1"/>
    </x:xf>
    <x:xf numFmtId="0" fontId="11" fillId="5" borderId="1" xfId="0" applyNumberFormat="1" applyFont="1" applyFill="1" applyBorder="1" applyAlignment="1">
      <x:alignment vertical="center" wrapText="1"/>
    </x:xf>
    <x:xf numFmtId="0" fontId="9" fillId="2" borderId="0" xfId="0" applyNumberFormat="1" applyFont="1" applyFill="1" applyBorder="1" applyAlignment="1">
      <x:alignment horizontal="center"/>
    </x:xf>
    <x:xf numFmtId="0" fontId="9" fillId="4" borderId="0" xfId="0" applyNumberFormat="1" applyFont="1" applyFill="1" applyBorder="1" applyAlignment="1">
      <x:alignment horizontal="center"/>
    </x:xf>
    <x:xf numFmtId="0" fontId="9" fillId="6" borderId="0" xfId="0" applyNumberFormat="1" applyFont="1" applyFill="1" applyBorder="1" applyAlignment="1">
      <x:alignment vertical="center" wrapText="1"/>
    </x:xf>
    <x:xf numFmtId="200" fontId="10" fillId="0" borderId="0" xfId="0" applyNumberFormat="1" applyFont="1" applyFill="1" applyBorder="1"/>
    <x:xf numFmtId="0" fontId="9" fillId="2" borderId="1" xfId="0" applyNumberFormat="1" applyFont="1" applyFill="1" applyBorder="1" applyAlignment="1">
      <x:alignment horizontal="center"/>
    </x:xf>
    <x:xf numFmtId="0" fontId="9" fillId="4" borderId="1" xfId="0" applyNumberFormat="1" applyFont="1" applyFill="1" applyBorder="1" applyAlignment="1">
      <x:alignment horizontal="center"/>
    </x:xf>
    <x:xf numFmtId="0" fontId="9" fillId="6" borderId="1" xfId="0" applyNumberFormat="1" applyFont="1" applyFill="1" applyBorder="1" applyAlignment="1">
      <x:alignment vertical="center" wrapText="1"/>
    </x:xf>
    <x:xf numFmtId="200" fontId="10" fillId="0" borderId="1" xfId="0" applyNumberFormat="1" applyFont="1" applyFill="1" applyBorder="1"/>
    <x:xf numFmtId="0" fontId="10" fillId="3" borderId="0" xfId="0" applyNumberFormat="1" applyFont="1" applyFill="1" applyBorder="1" applyAlignment="1">
      <x:alignment wrapText="1"/>
    </x:xf>
    <x:xf numFmtId="0" fontId="10" fillId="5" borderId="0" xfId="0" applyNumberFormat="1" applyFont="1" applyFill="1" applyBorder="1" applyAlignment="1">
      <x:alignment wrapText="1"/>
    </x:xf>
    <x:xf numFmtId="0" fontId="9" fillId="6" borderId="0" xfId="0" applyNumberFormat="1" applyFont="1" applyFill="1" applyBorder="1"/>
    <x:xf numFmtId="0" fontId="10" fillId="3" borderId="1" xfId="0" applyNumberFormat="1" applyFont="1" applyFill="1" applyBorder="1" applyAlignment="1">
      <x:alignment wrapText="1"/>
    </x:xf>
    <x:xf numFmtId="0" fontId="10" fillId="5" borderId="1" xfId="0" applyNumberFormat="1" applyFont="1" applyFill="1" applyBorder="1" applyAlignment="1">
      <x:alignment wrapText="1"/>
    </x:xf>
    <x:xf numFmtId="0" fontId="9" fillId="6" borderId="1" xfId="0" applyNumberFormat="1" applyFont="1" applyFill="1" applyBorder="1"/>
    <x:xf numFmtId="0" fontId="12" fillId="4" borderId="0" xfId="0" applyNumberFormat="1" applyFont="1" applyFill="1" applyBorder="1" applyAlignment="1">
      <x:alignment horizontal="center" wrapText="1"/>
    </x:xf>
    <x:xf numFmtId="0" fontId="12" fillId="4" borderId="1" xfId="0" applyNumberFormat="1" applyFont="1" applyFill="1" applyBorder="1" applyAlignment="1">
      <x:alignment horizontal="center" wrapText="1"/>
    </x:xf>
    <x:xf numFmtId="0" fontId="12" fillId="4" borderId="0" xfId="0" applyNumberFormat="1" applyFont="1" applyFill="1" applyBorder="1" applyAlignment="1">
      <x:alignment horizontal="center"/>
    </x:xf>
    <x:xf numFmtId="0" fontId="12" fillId="4" borderId="1" xfId="0" applyNumberFormat="1" applyFont="1" applyFill="1" applyBorder="1" applyAlignment="1">
      <x:alignment horizontal="center"/>
    </x:xf>
  </x:cellXfs>
  <x:cellStyles count="1">
    <x:cellStyle name="Normal" xfId="0"/>
  </x:cellStyles>
  <x:dxfs count="10">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
      <x:font>
        <x:color rgb="FF385723"/>
      </x:font>
      <x:fill>
        <x:patternFill patternType="solid">
          <x:bgColor rgb="FFE2F0D9"/>
        </x:patternFill>
      </x:fill>
    </x:dxf>
    <x:dxf>
      <x:font>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583eb2d0afb48d4" /><Relationship Type="http://schemas.openxmlformats.org/officeDocument/2006/relationships/theme" Target="/xl/theme/theme1.xml" Id="R559b909da12c4c5a" /><Relationship Type="http://schemas.openxmlformats.org/officeDocument/2006/relationships/sharedStrings" Target="/xl/sharedStrings.xml" Id="Rea37e9b0d5bc46d0" /><Relationship Type="http://schemas.openxmlformats.org/officeDocument/2006/relationships/worksheet" Target="/xl/worksheets/sheet1.xml" Id="R91a5e03077a74e3b" /><Relationship Type="http://schemas.openxmlformats.org/officeDocument/2006/relationships/worksheet" Target="/xl/worksheets/sheet2.xml" Id="R8c60a684f1fd4c65" /><Relationship Type="http://schemas.openxmlformats.org/officeDocument/2006/relationships/worksheet" Target="/xl/worksheets/sheet3.xml" Id="Rd4fbd377dd8b46db" /><Relationship Type="http://schemas.openxmlformats.org/officeDocument/2006/relationships/worksheet" Target="/xl/worksheets/sheet4.xml" Id="R36d8a57386bf45e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5" hidden="0" customWidth="1"/>
    <x:col min="2" max="2" width="28" hidden="0" customWidth="1"/>
    <x:col min="3" max="3" width="16" hidden="0" customWidth="1"/>
    <x:col min="4" max="4" width="26" hidden="0" customWidth="1"/>
    <x:col min="5" max="5" width="3" hidden="0" customWidth="1"/>
    <x:col min="6" max="6" width="28" hidden="0" customWidth="1"/>
    <x:col min="7" max="7" width="26" hidden="0" customWidth="1"/>
    <x:col min="8" max="8" width="31" hidden="0" customWidth="1"/>
  </x:cols>
  <x:sheetData>
    <x:row r="1" ht="30" customHeight="1">
      <x:c r="A1" s="5" t="str">
        <x:v>D2-2b: Proving Setpoint Infeasibility under Equipment Limits</x:v>
      </x:c>
      <x:c r="B1" s="5"/>
      <x:c r="C1" s="5"/>
      <x:c r="D1" s="5"/>
      <x:c r="E1" s="5"/>
      <x:c r="F1" s="5"/>
      <x:c r="G1" s="5"/>
      <x:c r="H1" s="5"/>
    </x:row>
    <x:row r="2">
      <x:c r="A2" s="61"/>
      <x:c r="B2" s="61"/>
      <x:c r="C2" s="61"/>
      <x:c r="D2" s="61"/>
      <x:c r="E2" s="61"/>
      <x:c r="F2" s="61"/>
      <x:c r="G2" s="61"/>
      <x:c r="H2" s="61"/>
    </x:row>
    <x:row r="3">
      <x:c r="A3" s="61"/>
      <x:c r="B3" s="61"/>
      <x:c r="C3" s="61"/>
      <x:c r="D3" s="61"/>
      <x:c r="E3" s="61"/>
      <x:c r="F3" s="61"/>
      <x:c r="G3" s="61"/>
      <x:c r="H3" s="61"/>
    </x:row>
    <x:row r="4" ht="36" customHeight="1">
      <x:c r="A4" s="62" t="str">
        <x:v>The membrane train is healthy, but a maintenance operating envelope limits the high-pressure pump to 52.65 bar and the upstream pump to 4.290 kg/s. Production still requires Qp≥6.90 m³/h. Operators want to find a 'close enough' setpoint within the limits. Determine whether any feasible operating point exists. If the upper-corner setpoint itself fails, report infeasibility instead of forcing a recommendation.</x:v>
      </x:c>
      <x:c r="B4" s="62"/>
      <x:c r="C4" s="62"/>
      <x:c r="D4" s="62"/>
      <x:c r="E4" s="62"/>
      <x:c r="F4" s="62"/>
      <x:c r="G4" s="62"/>
      <x:c r="H4" s="62"/>
    </x:row>
    <x:row r="5" ht="36" customHeight="1">
      <x:c r="A5" s="62"/>
      <x:c r="B5" s="62"/>
      <x:c r="C5" s="62"/>
      <x:c r="D5" s="62"/>
      <x:c r="E5" s="62"/>
      <x:c r="F5" s="62"/>
      <x:c r="G5" s="62"/>
      <x:c r="H5" s="62"/>
    </x:row>
    <x:row r="6">
      <x:c r="A6" s="61"/>
      <x:c r="B6" s="61"/>
      <x:c r="C6" s="61"/>
      <x:c r="D6" s="61"/>
      <x:c r="E6" s="61"/>
      <x:c r="F6" s="61"/>
      <x:c r="G6" s="61"/>
      <x:c r="H6" s="61"/>
    </x:row>
    <x:row r="7">
      <x:c r="A7" s="61"/>
      <x:c r="B7" s="61"/>
      <x:c r="C7" s="61"/>
      <x:c r="D7" s="61"/>
      <x:c r="E7" s="61"/>
      <x:c r="F7" s="61"/>
      <x:c r="G7" s="61"/>
      <x:c r="H7" s="61"/>
    </x:row>
    <x:row r="8">
      <x:c r="A8" s="63" t="str">
        <x:v>Fixed System Parameters</x:v>
      </x:c>
      <x:c r="B8" s="63"/>
      <x:c r="C8" s="63"/>
      <x:c r="D8" s="63"/>
      <x:c r="E8" s="61"/>
      <x:c r="F8" s="63" t="str">
        <x:v>Operating Objectives and Item Constraints</x:v>
      </x:c>
      <x:c r="G8" s="63"/>
      <x:c r="H8" s="63"/>
    </x:row>
    <x:row r="9">
      <x:c r="A9" s="88" t="str">
        <x:v>Category</x:v>
      </x:c>
      <x:c r="B9" s="88" t="str">
        <x:v>Parameter</x:v>
      </x:c>
      <x:c r="C9" s="88" t="str">
        <x:v>Value</x:v>
      </x:c>
      <x:c r="D9" s="88" t="str">
        <x:v>Note</x:v>
      </x:c>
      <x:c r="E9" s="61"/>
      <x:c r="F9" s="88" t="str">
        <x:v>Item</x:v>
      </x:c>
      <x:c r="G9" s="88" t="str">
        <x:v>Requirement / Value</x:v>
      </x:c>
      <x:c r="H9" s="88" t="str">
        <x:v>Note</x:v>
      </x:c>
    </x:row>
    <x:row r="10">
      <x:c r="A10" s="65" t="str">
        <x:v>Feed</x:v>
      </x:c>
      <x:c r="B10" s="65" t="str">
        <x:v>NaCl mass fraction</x:v>
      </x:c>
      <x:c r="C10" s="65" t="n">
        <x:v>0.03</x:v>
      </x:c>
      <x:c r="D10" s="65" t="str">
        <x:v>Fixed; ~30.5 g/L</x:v>
      </x:c>
      <x:c r="E10" s="61"/>
      <x:c r="F10" s="65" t="str">
        <x:v>Qp minimum</x:v>
      </x:c>
      <x:c r="G10" s="65" t="n">
        <x:v>6.9</x:v>
      </x:c>
      <x:c r="H10" s="65" t="str">
        <x:v>m³/h</x:v>
      </x:c>
    </x:row>
    <x:row r="11">
      <x:c r="A11" s="65" t="str">
        <x:v>Feed</x:v>
      </x:c>
      <x:c r="B11" s="65" t="str">
        <x:v>Temperature</x:v>
      </x:c>
      <x:c r="C11" s="65" t="n">
        <x:v>32</x:v>
      </x:c>
      <x:c r="D11" s="65" t="str">
        <x:v>°C; fixed</x:v>
      </x:c>
      <x:c r="E11" s="61"/>
      <x:c r="F11" s="65" t="str">
        <x:v>Qp maximum</x:v>
      </x:c>
      <x:c r="G11" s="65" t="str">
        <x:v>None</x:v>
      </x:c>
      <x:c r="H11" s="65" t="str">
        <x:v>No upper limit</x:v>
      </x:c>
    </x:row>
    <x:row r="12">
      <x:c r="A12" s="65" t="str">
        <x:v>Membrane</x:v>
      </x:c>
      <x:c r="B12" s="65" t="str">
        <x:v>Effective membrane area</x:v>
      </x:c>
      <x:c r="C12" s="65" t="n">
        <x:v>400</x:v>
      </x:c>
      <x:c r="D12" s="65" t="str">
        <x:v>m²; fixed</x:v>
      </x:c>
      <x:c r="E12" s="61"/>
      <x:c r="F12" s="65" t="str">
        <x:v>Recovery maximum</x:v>
      </x:c>
      <x:c r="G12" s="65" t="n">
        <x:v>46</x:v>
      </x:c>
      <x:c r="H12" s="65" t="str">
        <x:v>%</x:v>
      </x:c>
    </x:row>
    <x:row r="13">
      <x:c r="A13" s="65" t="str">
        <x:v>Membrane</x:v>
      </x:c>
      <x:c r="B13" s="65" t="str">
        <x:v>A_comp</x:v>
      </x:c>
      <x:c r="C13" s="65" t="n">
        <x:v>4.2e-12</x:v>
      </x:c>
      <x:c r="D13" s="65" t="str">
        <x:v>m/s/Pa; fixed</x:v>
      </x:c>
      <x:c r="E13" s="61"/>
      <x:c r="F13" s="65" t="str">
        <x:v>Flux maximum</x:v>
      </x:c>
      <x:c r="G13" s="65" t="n">
        <x:v>18</x:v>
      </x:c>
      <x:c r="H13" s="65" t="str">
        <x:v>LMH</x:v>
      </x:c>
    </x:row>
    <x:row r="14">
      <x:c r="A14" s="65" t="str">
        <x:v>Membrane</x:v>
      </x:c>
      <x:c r="B14" s="65" t="str">
        <x:v>B_comp</x:v>
      </x:c>
      <x:c r="C14" s="65" t="n">
        <x:v>3.4e-8</x:v>
      </x:c>
      <x:c r="D14" s="65" t="str">
        <x:v>m/s; fixed</x:v>
      </x:c>
      <x:c r="E14" s="61"/>
      <x:c r="F14" s="65" t="str">
        <x:v>Salt rejection minimum</x:v>
      </x:c>
      <x:c r="G14" s="65" t="n">
        <x:v>98.7</x:v>
      </x:c>
      <x:c r="H14" s="65" t="str">
        <x:v>%</x:v>
      </x:c>
    </x:row>
    <x:row r="15">
      <x:c r="A15" s="65" t="str">
        <x:v>Hydraulics</x:v>
      </x:c>
      <x:c r="B15" s="65" t="str">
        <x:v>Permeate pressure</x:v>
      </x:c>
      <x:c r="C15" s="65" t="n">
        <x:v>1.013</x:v>
      </x:c>
      <x:c r="D15" s="65" t="str">
        <x:v>bar</x:v>
      </x:c>
      <x:c r="E15" s="61"/>
      <x:c r="F15" s="65" t="str">
        <x:v>Permeate NaCl maximum</x:v>
      </x:c>
      <x:c r="G15" s="65" t="n">
        <x:v>400</x:v>
      </x:c>
      <x:c r="H15" s="65" t="str">
        <x:v>mg/L</x:v>
      </x:c>
    </x:row>
    <x:row r="16">
      <x:c r="A16" s="65" t="str">
        <x:v>Hydraulics</x:v>
      </x:c>
      <x:c r="B16" s="65" t="str">
        <x:v>Pressure drop</x:v>
      </x:c>
      <x:c r="C16" s="65" t="n">
        <x:v>0.653</x:v>
      </x:c>
      <x:c r="D16" s="65" t="str">
        <x:v>bar</x:v>
      </x:c>
      <x:c r="E16" s="61"/>
      <x:c r="F16" s="65" t="str">
        <x:v>Equipment Pressure limit</x:v>
      </x:c>
      <x:c r="G16" s="65" t="str">
        <x:v>52.65 bar</x:v>
      </x:c>
      <x:c r="H16" s="65" t="str">
        <x:v>Must not be exceeded</x:v>
      </x:c>
    </x:row>
    <x:row r="17">
      <x:c r="A17" s="65" t="str">
        <x:v>Channel</x:v>
      </x:c>
      <x:c r="B17" s="65" t="str">
        <x:v>Channel height</x:v>
      </x:c>
      <x:c r="C17" s="65" t="n">
        <x:v>0.002</x:v>
      </x:c>
      <x:c r="D17" s="65" t="str">
        <x:v>m</x:v>
      </x:c>
      <x:c r="E17" s="61"/>
      <x:c r="F17" s="65" t="str">
        <x:v>Equipment Feed-flow limit</x:v>
      </x:c>
      <x:c r="G17" s="65" t="str">
        <x:v>4.290 kg/s</x:v>
      </x:c>
      <x:c r="H17" s="65" t="str">
        <x:v>Must not be exceeded</x:v>
      </x:c>
    </x:row>
    <x:row r="18">
      <x:c r="A18" s="65" t="str">
        <x:v>Channel</x:v>
      </x:c>
      <x:c r="B18" s="65" t="str">
        <x:v>Spacer porosity</x:v>
      </x:c>
      <x:c r="C18" s="65" t="n">
        <x:v>0.75</x:v>
      </x:c>
      <x:c r="D18" s="65" t="str">
        <x:v>-</x:v>
      </x:c>
      <x:c r="E18" s="61"/>
      <x:c r="F18" s="65" t="str">
        <x:v>Critical test point</x:v>
      </x:c>
      <x:c r="G18" s="65" t="str">
        <x:v>52.65 / 4.290</x:v>
      </x:c>
      <x:c r="H18" s="65" t="str">
        <x:v>Production-maximizing corner of the allowed box</x:v>
      </x:c>
    </x:row>
    <x:row r="19">
      <x:c r="A19" s="65" t="str">
        <x:v>Channel</x:v>
      </x:c>
      <x:c r="B19" s="65" t="str">
        <x:v>Equivalent module length</x:v>
      </x:c>
      <x:c r="C19" s="65" t="n">
        <x:v>20</x:v>
      </x:c>
      <x:c r="D19" s="65" t="str">
        <x:v>m</x:v>
      </x:c>
      <x:c r="E19" s="61"/>
      <x:c r="F19" s="65" t="str">
        <x:v>Decision</x:v>
      </x:c>
      <x:c r="G19" s="65" t="str">
        <x:v>Recommend a setpoint only if feasible; otherwise prove infeasibility</x:v>
      </x:c>
      <x:c r="H19" s="65" t="str">
        <x:v>No out-of-limit compensation</x:v>
      </x:c>
    </x:row>
    <x:row r="20">
      <x:c r="A20" s="65" t="str">
        <x:v>Model</x:v>
      </x:c>
      <x:c r="B20" s="65" t="str">
        <x:v>Concentration polarization / mass transfer</x:v>
      </x:c>
      <x:c r="C20" s="65" t="str">
        <x:v>calculated</x:v>
      </x:c>
      <x:c r="D20" s="65" t="str">
        <x:v>WaterTAP calculated</x:v>
      </x:c>
      <x:c r="E20" s="61"/>
      <x:c r="F20" s="61"/>
      <x:c r="G20" s="61"/>
      <x:c r="H20" s="61"/>
    </x:row>
    <x:row r="21">
      <x:c r="A21" s="61"/>
      <x:c r="B21" s="61"/>
      <x:c r="C21" s="61"/>
      <x:c r="D21" s="61"/>
      <x:c r="E21" s="61"/>
      <x:c r="F21" s="61"/>
      <x:c r="G21" s="61"/>
      <x:c r="H21" s="61"/>
    </x:row>
    <x:row r="22">
      <x:c r="A22" s="61"/>
      <x:c r="B22" s="61"/>
      <x:c r="C22" s="61"/>
      <x:c r="D22" s="61"/>
      <x:c r="E22" s="61"/>
      <x:c r="F22" s="63" t="str">
        <x:v>Required Tasks</x:v>
      </x:c>
      <x:c r="G22" s="63"/>
      <x:c r="H22" s="63"/>
    </x:row>
    <x:row r="23" ht="34" customHeight="1">
      <x:c r="A23" s="61"/>
      <x:c r="B23" s="61"/>
      <x:c r="C23" s="61"/>
      <x:c r="D23" s="61"/>
      <x:c r="E23" s="61"/>
      <x:c r="F23" s="65" t="str">
        <x:v>1. Identify the upper bounds of the allowed Pressure–Flow operating box.</x:v>
      </x:c>
      <x:c r="G23" s="65"/>
      <x:c r="H23" s="65"/>
    </x:row>
    <x:row r="24" ht="34" customHeight="1">
      <x:c r="A24" s="61"/>
      <x:c r="B24" s="61"/>
      <x:c r="C24" s="61"/>
      <x:c r="D24" s="61"/>
      <x:c r="E24" s="61"/>
      <x:c r="F24" s="65" t="str">
        <x:v>2. Test the upper-corner point 52.65/4.290 first instead of performing a full grid search.</x:v>
      </x:c>
      <x:c r="G24" s="65"/>
      <x:c r="H24" s="65"/>
    </x:row>
    <x:row r="25" ht="34" customHeight="1">
      <x:c r="A25" s="61"/>
      <x:c r="B25" s="61"/>
      <x:c r="C25" s="61"/>
      <x:c r="D25" s="61"/>
      <x:c r="E25" s="61"/>
      <x:c r="F25" s="65" t="str">
        <x:v>3. If Qp still fails at that corner, use the local monotonic production trend to conclude that lower Pressure/Flow settings cannot restore production.</x:v>
      </x:c>
      <x:c r="G25" s="65"/>
      <x:c r="H25" s="65"/>
    </x:row>
    <x:row r="26" ht="34" customHeight="1">
      <x:c r="A26" s="61"/>
      <x:c r="B26" s="61"/>
      <x:c r="C26" s="61"/>
      <x:c r="D26" s="61"/>
      <x:c r="E26" s="61"/>
      <x:c r="F26" s="65" t="str">
        <x:v>4. Report 'no feasible setpoint' and identify which equipment restriction must be relaxed.</x:v>
      </x:c>
      <x:c r="G26" s="65"/>
      <x:c r="H26" s="65"/>
    </x:row>
    <x:row r="27">
      <x:c r="A27" s="61"/>
      <x:c r="B27" s="61"/>
      <x:c r="C27" s="61"/>
      <x:c r="D27" s="61"/>
      <x:c r="E27" s="61"/>
      <x:c r="F27" s="61"/>
      <x:c r="G27" s="61"/>
      <x:c r="H27" s="61"/>
    </x:row>
    <x:row r="28">
      <x:c r="A28" s="66" t="str">
        <x:v>Task boundary: In D2-2b, feed conditions, membrane properties, area, and system structure remain fixed. The problem arises from the operating setpoint or the allowed operating envelope. Do not change feed quality, temperature, membrane area, or A/B.</x:v>
      </x:c>
      <x:c r="B28" s="66"/>
      <x:c r="C28" s="66"/>
      <x:c r="D28" s="66"/>
      <x:c r="E28" s="61"/>
      <x:c r="F28" s="61"/>
      <x:c r="G28" s="61"/>
      <x:c r="H28" s="61"/>
    </x:row>
    <x:row r="29">
      <x:c r="A29" s="66"/>
      <x:c r="B29" s="66"/>
      <x:c r="C29" s="66"/>
      <x:c r="D29" s="66"/>
      <x:c r="E29" s="61"/>
      <x:c r="F29" s="61"/>
      <x:c r="G29" s="61"/>
      <x:c r="H29" s="61"/>
    </x:row>
  </x:sheetData>
  <x:mergeCells>
    <x:mergeCell ref="A1:H1"/>
    <x:mergeCell ref="A4:H5"/>
    <x:mergeCell ref="A8:D8"/>
    <x:mergeCell ref="F8:H8"/>
    <x:mergeCell ref="F22:H22"/>
    <x:mergeCell ref="F23:H23"/>
    <x:mergeCell ref="F24:H24"/>
    <x:mergeCell ref="F25:H25"/>
    <x:mergeCell ref="F26:H26"/>
    <x:mergeCell ref="A28:D29"/>
  </x:mergeCells>
  <x:pageMargins left="0.7" right="0.7" top="0.75" bottom="0.75" header="0.3" footer="0.3"/>
</x:worksheet>
</file>

<file path=xl/worksheets/sheet2.xml><?xml version="1.0" encoding="utf-8"?>
<x:worksheet xmlns:x="http://schemas.openxmlformats.org/spreadsheetml/2006/main">
  <x:sheetFormatPr defaultRowHeight="15"/>
  <x:cols>
    <x:col min="1" max="1" width="23"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2" hidden="0" customWidth="1"/>
    <x:col min="11" max="11" width="12" hidden="0" customWidth="1"/>
    <x:col min="12" max="12" width="12" hidden="0" customWidth="1"/>
    <x:col min="13" max="13" width="12" hidden="0" customWidth="1"/>
    <x:col min="14" max="14" width="12" hidden="0" customWidth="1"/>
    <x:col min="15" max="15" width="20" hidden="0" customWidth="1"/>
    <x:col min="16" max="16" width="14" hidden="0" customWidth="1"/>
    <x:col min="17" max="17" width="12" hidden="0" customWidth="1"/>
  </x:cols>
  <x:sheetData>
    <x:row r="1" ht="30" customHeight="1">
      <x:c r="A1" s="4" t="str">
        <x:v>D2-2b: Gold Answer — Advanced Operating Setpoint Adjustment</x:v>
      </x:c>
      <x:c r="B1" s="4"/>
      <x:c r="C1" s="4"/>
      <x:c r="D1" s="4"/>
      <x:c r="E1" s="4"/>
      <x:c r="F1" s="4"/>
      <x:c r="G1" s="4"/>
      <x:c r="H1" s="4"/>
      <x:c r="I1" s="4"/>
      <x:c r="J1" s="4"/>
      <x:c r="K1" s="4"/>
      <x:c r="L1" s="4"/>
      <x:c r="M1" s="4"/>
      <x:c r="N1" s="4"/>
      <x:c r="O1" s="4"/>
      <x:c r="P1" s="4"/>
      <x:c r="Q1" s="4"/>
    </x:row>
    <x:row r="2">
      <x:c r="A2" s="61"/>
      <x:c r="B2" s="61"/>
      <x:c r="C2" s="61"/>
      <x:c r="D2" s="61"/>
      <x:c r="E2" s="61"/>
      <x:c r="F2" s="61"/>
      <x:c r="G2" s="61"/>
      <x:c r="H2" s="61"/>
      <x:c r="I2" s="61"/>
      <x:c r="J2" s="61"/>
      <x:c r="K2" s="61"/>
      <x:c r="L2" s="61"/>
      <x:c r="M2" s="61"/>
      <x:c r="N2" s="61"/>
      <x:c r="O2" s="61"/>
      <x:c r="P2" s="61"/>
      <x:c r="Q2" s="61"/>
    </x:row>
    <x:row r="3">
      <x:c r="A3" s="61"/>
      <x:c r="B3" s="61"/>
      <x:c r="C3" s="61"/>
      <x:c r="D3" s="61"/>
      <x:c r="E3" s="61"/>
      <x:c r="F3" s="61"/>
      <x:c r="G3" s="61"/>
      <x:c r="H3" s="61"/>
      <x:c r="I3" s="61"/>
      <x:c r="J3" s="61"/>
      <x:c r="K3" s="61"/>
      <x:c r="L3" s="61"/>
      <x:c r="M3" s="61"/>
      <x:c r="N3" s="61"/>
      <x:c r="O3" s="90" t="str">
        <x:v>Constraint</x:v>
      </x:c>
      <x:c r="P3" s="90" t="str">
        <x:v>Value</x:v>
      </x:c>
      <x:c r="Q3" s="90" t="str">
        <x:v>Unit</x:v>
      </x:c>
    </x:row>
    <x:row r="4" ht="44" customHeight="1">
      <x:c r="A4" s="76" t="str">
        <x:v>The production-maximizing allowed corner, 52.65/4.290, still gives Qp≈6.897&lt;6.90 while Recovery, Flux, and water quality pass. In this local operating region, increasing either Pressure or Feed flow increases Qp, yet both controls are already at their equipment limits. Therefore, no lower Pressure/Flow combination can recover production. Conclusion: no feasible setpoint exists under the current limits. At minimum, Feed flow must be allowed to reach 4.295 kg/s at 52.65 bar (already verified feasible), or the Pressure limit must be relaxed and revalidated.</x:v>
      </x:c>
      <x:c r="B4" s="76"/>
      <x:c r="C4" s="76"/>
      <x:c r="D4" s="76"/>
      <x:c r="E4" s="76"/>
      <x:c r="F4" s="76"/>
      <x:c r="G4" s="76"/>
      <x:c r="H4" s="76"/>
      <x:c r="I4" s="76"/>
      <x:c r="J4" s="76"/>
      <x:c r="K4" s="76"/>
      <x:c r="L4" s="76"/>
      <x:c r="M4" s="76"/>
      <x:c r="N4" s="76"/>
      <x:c r="O4" s="77" t="str">
        <x:v>Qp min</x:v>
      </x:c>
      <x:c r="P4" s="77" t="n">
        <x:v>6.9</x:v>
      </x:c>
      <x:c r="Q4" s="77" t="str">
        <x:v>m³/h</x:v>
      </x:c>
    </x:row>
    <x:row r="5" ht="44" customHeight="1">
      <x:c r="A5" s="76"/>
      <x:c r="B5" s="76"/>
      <x:c r="C5" s="76"/>
      <x:c r="D5" s="76"/>
      <x:c r="E5" s="76"/>
      <x:c r="F5" s="76"/>
      <x:c r="G5" s="76"/>
      <x:c r="H5" s="76"/>
      <x:c r="I5" s="76"/>
      <x:c r="J5" s="76"/>
      <x:c r="K5" s="76"/>
      <x:c r="L5" s="76"/>
      <x:c r="M5" s="76"/>
      <x:c r="N5" s="76"/>
      <x:c r="O5" s="77" t="str">
        <x:v>Qp max</x:v>
      </x:c>
      <x:c r="P5" s="77" t="n">
        <x:v>999</x:v>
      </x:c>
      <x:c r="Q5" s="77" t="str">
        <x:v>m³/h</x:v>
      </x:c>
    </x:row>
    <x:row r="6">
      <x:c r="A6" s="61"/>
      <x:c r="B6" s="61"/>
      <x:c r="C6" s="61"/>
      <x:c r="D6" s="61"/>
      <x:c r="E6" s="61"/>
      <x:c r="F6" s="61"/>
      <x:c r="G6" s="61"/>
      <x:c r="H6" s="61"/>
      <x:c r="I6" s="61"/>
      <x:c r="J6" s="61"/>
      <x:c r="K6" s="61"/>
      <x:c r="L6" s="61"/>
      <x:c r="M6" s="61"/>
      <x:c r="N6" s="61"/>
      <x:c r="O6" s="77" t="str">
        <x:v>Recovery max</x:v>
      </x:c>
      <x:c r="P6" s="77" t="n">
        <x:v>46</x:v>
      </x:c>
      <x:c r="Q6" s="77" t="str">
        <x:v>%</x:v>
      </x:c>
    </x:row>
    <x:row r="7">
      <x:c r="A7" s="61"/>
      <x:c r="B7" s="61"/>
      <x:c r="C7" s="61"/>
      <x:c r="D7" s="61"/>
      <x:c r="E7" s="61"/>
      <x:c r="F7" s="61"/>
      <x:c r="G7" s="61"/>
      <x:c r="H7" s="61"/>
      <x:c r="I7" s="61"/>
      <x:c r="J7" s="61"/>
      <x:c r="K7" s="61"/>
      <x:c r="L7" s="61"/>
      <x:c r="M7" s="61"/>
      <x:c r="N7" s="61"/>
      <x:c r="O7" s="77" t="str">
        <x:v>Flux max</x:v>
      </x:c>
      <x:c r="P7" s="77" t="n">
        <x:v>18</x:v>
      </x:c>
      <x:c r="Q7" s="77" t="str">
        <x:v>LMH</x:v>
      </x:c>
    </x:row>
    <x:row r="8">
      <x:c r="A8" s="63" t="str">
        <x:v>Continuous Reasoning Trajectory</x:v>
      </x:c>
      <x:c r="B8" s="63"/>
      <x:c r="C8" s="63"/>
      <x:c r="D8" s="63"/>
      <x:c r="E8" s="63"/>
      <x:c r="F8" s="63"/>
      <x:c r="G8" s="61"/>
      <x:c r="H8" s="61"/>
      <x:c r="I8" s="61"/>
      <x:c r="J8" s="61"/>
      <x:c r="K8" s="61"/>
      <x:c r="L8" s="61"/>
      <x:c r="M8" s="61"/>
      <x:c r="N8" s="61"/>
      <x:c r="O8" s="77" t="str">
        <x:v>Rejection min</x:v>
      </x:c>
      <x:c r="P8" s="77" t="n">
        <x:v>98.7</x:v>
      </x:c>
      <x:c r="Q8" s="77" t="str">
        <x:v>%</x:v>
      </x:c>
    </x:row>
    <x:row r="9">
      <x:c r="A9" s="88" t="str">
        <x:v>Node</x:v>
      </x:c>
      <x:c r="B9" s="88" t="str">
        <x:v>Evidence point</x:v>
      </x:c>
      <x:c r="C9" s="88" t="str">
        <x:v>Key observation</x:v>
      </x:c>
      <x:c r="D9" s="88" t="str">
        <x:v>State update</x:v>
      </x:c>
      <x:c r="E9" s="88" t="str">
        <x:v>Engineering meaning</x:v>
      </x:c>
      <x:c r="F9" s="88" t="str">
        <x:v>Decision</x:v>
      </x:c>
      <x:c r="G9" s="61"/>
      <x:c r="H9" s="61"/>
      <x:c r="I9" s="61"/>
      <x:c r="J9" s="61"/>
      <x:c r="K9" s="61"/>
      <x:c r="L9" s="61"/>
      <x:c r="M9" s="61"/>
      <x:c r="N9" s="61"/>
      <x:c r="O9" s="77" t="str">
        <x:v>NaCl max</x:v>
      </x:c>
      <x:c r="P9" s="77" t="n">
        <x:v>400</x:v>
      </x:c>
      <x:c r="Q9" s="77" t="str">
        <x:v>mg/L</x:v>
      </x:c>
    </x:row>
    <x:row r="10" ht="60" customHeight="1">
      <x:c r="A10" s="65" t="str">
        <x:v>Upper-corner test</x:v>
      </x:c>
      <x:c r="B10" s="65" t="str">
        <x:v>H</x:v>
      </x:c>
      <x:c r="C10" s="65" t="str">
        <x:v>Qp remains below the production minimum</x:v>
      </x:c>
      <x:c r="D10" s="65" t="str">
        <x:v>This is already the most favorable allowed corner</x:v>
      </x:c>
      <x:c r="E10" s="65" t="str">
        <x:v>The feasible box may be empty</x:v>
      </x:c>
      <x:c r="F10" s="65" t="str">
        <x:v>Assess infeasibility</x:v>
      </x:c>
      <x:c r="G10" s="61"/>
      <x:c r="H10" s="61"/>
      <x:c r="I10" s="61"/>
      <x:c r="J10" s="61"/>
      <x:c r="K10" s="61"/>
      <x:c r="L10" s="61"/>
      <x:c r="M10" s="61"/>
      <x:c r="N10" s="61"/>
      <x:c r="O10" s="61"/>
      <x:c r="P10" s="61"/>
      <x:c r="Q10" s="61"/>
    </x:row>
    <x:row r="11" ht="60" customHeight="1">
      <x:c r="A11" s="65" t="str">
        <x:v>Nearby evidence</x:v>
      </x:c>
      <x:c r="B11" s="65" t="str">
        <x:v>F/G</x:v>
      </x:c>
      <x:c r="C11" s="65" t="str">
        <x:v>Lower Pressure reduces Qp; higher flow is what restores Qp</x:v>
      </x:c>
      <x:c r="D11" s="65" t="str">
        <x:v>Supports the local monotonic argument</x:v>
      </x:c>
      <x:c r="E11" s="65" t="str">
        <x:v>No interior point can outperform the capped corner</x:v>
      </x:c>
      <x:c r="F11" s="65" t="str">
        <x:v>Continue to conclusion</x:v>
      </x:c>
      <x:c r="G11" s="61"/>
      <x:c r="H11" s="61"/>
      <x:c r="I11" s="61"/>
      <x:c r="J11" s="61"/>
      <x:c r="K11" s="61"/>
      <x:c r="L11" s="61"/>
      <x:c r="M11" s="61"/>
      <x:c r="N11" s="61"/>
      <x:c r="O11" s="61"/>
      <x:c r="P11" s="61"/>
      <x:c r="Q11" s="61"/>
    </x:row>
    <x:row r="12" ht="60" customHeight="1">
      <x:c r="A12" s="65" t="str">
        <x:v>Feasibility conclusion</x:v>
      </x:c>
      <x:c r="B12" s="65" t="str">
        <x:v>H + I</x:v>
      </x:c>
      <x:c r="C12" s="65" t="str">
        <x:v>No solution at the 4.290 kg/s cap; 4.295 kg/s passes</x:v>
      </x:c>
      <x:c r="D12" s="65" t="str">
        <x:v>Report infeasible under current limits</x:v>
      </x:c>
      <x:c r="E12" s="65" t="str">
        <x:v>At least one equipment cap must be relaxed</x:v>
      </x:c>
      <x:c r="F12" s="65" t="str">
        <x:v>Stop</x:v>
      </x:c>
      <x:c r="G12" s="61"/>
      <x:c r="H12" s="61"/>
      <x:c r="I12" s="61"/>
      <x:c r="J12" s="61"/>
      <x:c r="K12" s="61"/>
      <x:c r="L12" s="61"/>
      <x:c r="M12" s="61"/>
      <x:c r="N12" s="61"/>
      <x:c r="O12" s="61"/>
      <x:c r="P12" s="61"/>
      <x:c r="Q12" s="61"/>
    </x:row>
    <x:row r="13">
      <x:c r="A13" s="61"/>
      <x:c r="B13" s="61"/>
      <x:c r="C13" s="61"/>
      <x:c r="D13" s="61"/>
      <x:c r="E13" s="61"/>
      <x:c r="F13" s="61"/>
      <x:c r="G13" s="61"/>
      <x:c r="H13" s="61"/>
      <x:c r="I13" s="61"/>
      <x:c r="J13" s="61"/>
      <x:c r="K13" s="61"/>
      <x:c r="L13" s="61"/>
      <x:c r="M13" s="61"/>
      <x:c r="N13" s="61"/>
      <x:c r="O13" s="61"/>
      <x:c r="P13" s="61"/>
      <x:c r="Q13" s="61"/>
    </x:row>
    <x:row r="14">
      <x:c r="A14" s="61"/>
      <x:c r="B14" s="61"/>
      <x:c r="C14" s="61"/>
      <x:c r="D14" s="61"/>
      <x:c r="E14" s="61"/>
      <x:c r="F14" s="61"/>
      <x:c r="G14" s="61"/>
      <x:c r="H14" s="61"/>
      <x:c r="I14" s="61"/>
      <x:c r="J14" s="61"/>
      <x:c r="K14" s="61"/>
      <x:c r="L14" s="61"/>
      <x:c r="M14" s="61"/>
      <x:c r="N14" s="61"/>
      <x:c r="O14" s="61"/>
      <x:c r="P14" s="61"/>
      <x:c r="Q14" s="61"/>
    </x:row>
    <x:row r="15">
      <x:c r="A15" s="61"/>
      <x:c r="B15" s="61"/>
      <x:c r="C15" s="61"/>
      <x:c r="D15" s="61"/>
      <x:c r="E15" s="61"/>
      <x:c r="F15" s="61"/>
      <x:c r="G15" s="61"/>
      <x:c r="H15" s="61"/>
      <x:c r="I15" s="61"/>
      <x:c r="J15" s="61"/>
      <x:c r="K15" s="61"/>
      <x:c r="L15" s="61"/>
      <x:c r="M15" s="61"/>
      <x:c r="N15" s="61"/>
      <x:c r="O15" s="61"/>
      <x:c r="P15" s="61"/>
      <x:c r="Q15" s="61"/>
    </x:row>
    <x:row r="16">
      <x:c r="A16" s="61"/>
      <x:c r="B16" s="61"/>
      <x:c r="C16" s="61"/>
      <x:c r="D16" s="61"/>
      <x:c r="E16" s="61"/>
      <x:c r="F16" s="61"/>
      <x:c r="G16" s="61"/>
      <x:c r="H16" s="61"/>
      <x:c r="I16" s="61"/>
      <x:c r="J16" s="61"/>
      <x:c r="K16" s="61"/>
      <x:c r="L16" s="61"/>
      <x:c r="M16" s="61"/>
      <x:c r="N16" s="61"/>
      <x:c r="O16" s="61"/>
      <x:c r="P16" s="61"/>
      <x:c r="Q16" s="61"/>
    </x:row>
    <x:row r="17">
      <x:c r="A17" s="61"/>
      <x:c r="B17" s="61"/>
      <x:c r="C17" s="61"/>
      <x:c r="D17" s="61"/>
      <x:c r="E17" s="61"/>
      <x:c r="F17" s="61"/>
      <x:c r="G17" s="61"/>
      <x:c r="H17" s="61"/>
      <x:c r="I17" s="61"/>
      <x:c r="J17" s="61"/>
      <x:c r="K17" s="61"/>
      <x:c r="L17" s="61"/>
      <x:c r="M17" s="61"/>
      <x:c r="N17" s="61"/>
      <x:c r="O17" s="61"/>
      <x:c r="P17" s="61"/>
      <x:c r="Q17" s="61"/>
    </x:row>
    <x:row r="18">
      <x:c r="A18" s="61"/>
      <x:c r="B18" s="61"/>
      <x:c r="C18" s="61"/>
      <x:c r="D18" s="61"/>
      <x:c r="E18" s="61"/>
      <x:c r="F18" s="61"/>
      <x:c r="G18" s="61"/>
      <x:c r="H18" s="61"/>
      <x:c r="I18" s="61"/>
      <x:c r="J18" s="61"/>
      <x:c r="K18" s="61"/>
      <x:c r="L18" s="61"/>
      <x:c r="M18" s="61"/>
      <x:c r="N18" s="61"/>
      <x:c r="O18" s="61"/>
      <x:c r="P18" s="61"/>
      <x:c r="Q18" s="61"/>
    </x:row>
    <x:row r="19">
      <x:c r="A19" s="63" t="str">
        <x:v>simulate_ro Evidence and Constraint Checks</x:v>
      </x:c>
      <x:c r="B19" s="63"/>
      <x:c r="C19" s="63"/>
      <x:c r="D19" s="63"/>
      <x:c r="E19" s="63"/>
      <x:c r="F19" s="63"/>
      <x:c r="G19" s="63"/>
      <x:c r="H19" s="63"/>
      <x:c r="I19" s="63"/>
      <x:c r="J19" s="63"/>
      <x:c r="K19" s="63"/>
      <x:c r="L19" s="63"/>
      <x:c r="M19" s="63"/>
      <x:c r="N19" s="63"/>
      <x:c r="O19" s="61"/>
      <x:c r="P19" s="61"/>
      <x:c r="Q19" s="61"/>
    </x:row>
    <x:row r="20">
      <x:c r="A20" s="88" t="str">
        <x:v>Scenario</x:v>
      </x:c>
      <x:c r="B20" s="88" t="str">
        <x:v>Pressure bar</x:v>
      </x:c>
      <x:c r="C20" s="88" t="str">
        <x:v>Feed kg/s</x:v>
      </x:c>
      <x:c r="D20" s="88" t="str">
        <x:v>Permeate kg/s</x:v>
      </x:c>
      <x:c r="E20" s="88" t="str">
        <x:v>Qp m³/h</x:v>
      </x:c>
      <x:c r="F20" s="88" t="str">
        <x:v>Flux LMH</x:v>
      </x:c>
      <x:c r="G20" s="88" t="str">
        <x:v>Recovery %</x:v>
      </x:c>
      <x:c r="H20" s="88" t="str">
        <x:v>Rejection %</x:v>
      </x:c>
      <x:c r="I20" s="88" t="str">
        <x:v>NaCl mg/L</x:v>
      </x:c>
      <x:c r="J20" s="88" t="str">
        <x:v>Qp</x:v>
      </x:c>
      <x:c r="K20" s="88" t="str">
        <x:v>Recovery</x:v>
      </x:c>
      <x:c r="L20" s="88" t="str">
        <x:v>Flux</x:v>
      </x:c>
      <x:c r="M20" s="88" t="str">
        <x:v>Water quality</x:v>
      </x:c>
      <x:c r="N20" s="88" t="str">
        <x:v>Overall</x:v>
      </x:c>
      <x:c r="O20" s="61"/>
      <x:c r="P20" s="61"/>
      <x:c r="Q20" s="61"/>
    </x:row>
    <x:row r="21">
      <x:c r="A21" s="61" t="str">
        <x:v>52.65 / 4.290</x:v>
      </x:c>
      <x:c r="B21" s="77" t="n">
        <x:v>52.65</x:v>
      </x:c>
      <x:c r="C21" s="77" t="n">
        <x:v>4.29</x:v>
      </x:c>
      <x:c r="D21" s="77" t="n">
        <x:v>1.9158664047452718</x:v>
      </x:c>
      <x:c r="E21" s="77" t="n">
        <x:v>6.897119057082978</x:v>
      </x:c>
      <x:c r="F21" s="77" t="n">
        <x:v>17.23689444644789</x:v>
      </x:c>
      <x:c r="G21" s="77" t="n">
        <x:v>45.66496546547411</x:v>
      </x:c>
      <x:c r="H21" s="77" t="n">
        <x:v>98.88395159208689</x:v>
      </x:c>
      <x:c r="I21" s="77" t="n">
        <x:v>342.35721962747334</x:v>
      </x:c>
      <x:c r="J21" s="61" t="str">
        <x:f>IF(AND(E21&gt;=$P$4,E21&lt;=$P$5),"PASS","FAIL")</x:f>
        <x:v>FAIL</x:v>
      </x:c>
      <x:c r="K21" s="61" t="str">
        <x:f>IF(G21&lt;=$P$6,"PASS","FAIL")</x:f>
        <x:v>PASS</x:v>
      </x:c>
      <x:c r="L21" s="61" t="str">
        <x:f>IF(F21&lt;=$P$7,"PASS","FAIL")</x:f>
        <x:v>PASS</x:v>
      </x:c>
      <x:c r="M21" s="61" t="str">
        <x:f>IF(AND(H21&gt;=$P$8,I21&lt;=$P$9),"PASS","FAIL")</x:f>
        <x:v>PASS</x:v>
      </x:c>
      <x:c r="N21" s="61" t="str">
        <x:f>IF(AND(J21="PASS",K21="PASS",L21="PASS",M21="PASS"),"PASS","FAIL")</x:f>
        <x:v>FAIL</x:v>
      </x:c>
      <x:c r="O21" s="61"/>
      <x:c r="P21" s="61"/>
      <x:c r="Q21" s="61"/>
    </x:row>
    <x:row r="22">
      <x:c r="A22" s="61" t="str">
        <x:v>52.60 / 4.30</x:v>
      </x:c>
      <x:c r="B22" s="77" t="n">
        <x:v>52.6</x:v>
      </x:c>
      <x:c r="C22" s="77" t="n">
        <x:v>4.3</x:v>
      </x:c>
      <x:c r="D22" s="77" t="n">
        <x:v>1.9155843724036783</x:v>
      </x:c>
      <x:c r="E22" s="77" t="n">
        <x:v>6.896103740653242</x:v>
      </x:c>
      <x:c r="F22" s="77" t="n">
        <x:v>17.23436287120762</x:v>
      </x:c>
      <x:c r="G22" s="77" t="n">
        <x:v>45.55207295574172</x:v>
      </x:c>
      <x:c r="H22" s="77" t="n">
        <x:v>98.88505743429093</x:v>
      </x:c>
      <x:c r="I22" s="77" t="n">
        <x:v>342.01808135382356</x:v>
      </x:c>
      <x:c r="J22" s="61" t="str">
        <x:f>IF(AND(E22&gt;=$P$4,E22&lt;=$P$5),"PASS","FAIL")</x:f>
        <x:v>FAIL</x:v>
      </x:c>
      <x:c r="K22" s="61" t="str">
        <x:f>IF(G22&lt;=$P$6,"PASS","FAIL")</x:f>
        <x:v>PASS</x:v>
      </x:c>
      <x:c r="L22" s="61" t="str">
        <x:f>IF(F22&lt;=$P$7,"PASS","FAIL")</x:f>
        <x:v>PASS</x:v>
      </x:c>
      <x:c r="M22" s="61" t="str">
        <x:f>IF(AND(H22&gt;=$P$8,I22&lt;=$P$9),"PASS","FAIL")</x:f>
        <x:v>PASS</x:v>
      </x:c>
      <x:c r="N22" s="61" t="str">
        <x:f>IF(AND(J22="PASS",K22="PASS",L22="PASS",M22="PASS"),"PASS","FAIL")</x:f>
        <x:v>FAIL</x:v>
      </x:c>
      <x:c r="O22" s="61"/>
      <x:c r="P22" s="61"/>
      <x:c r="Q22" s="61"/>
    </x:row>
    <x:row r="23">
      <x:c r="A23" s="61" t="str">
        <x:v>52.65 / 4.30</x:v>
      </x:c>
      <x:c r="B23" s="77" t="n">
        <x:v>52.65</x:v>
      </x:c>
      <x:c r="C23" s="77" t="n">
        <x:v>4.3</x:v>
      </x:c>
      <x:c r="D23" s="77" t="n">
        <x:v>1.9181949349895129</x:v>
      </x:c>
      <x:c r="E23" s="77" t="n">
        <x:v>6.905501765962247</x:v>
      </x:c>
      <x:c r="F23" s="77" t="n">
        <x:v>17.257853105822207</x:v>
      </x:c>
      <x:c r="G23" s="77" t="n">
        <x:v>45.614157857364695</x:v>
      </x:c>
      <x:c r="H23" s="77" t="n">
        <x:v>98.8856631802543</x:v>
      </x:c>
      <x:c r="I23" s="77" t="n">
        <x:v>341.8323118819894</x:v>
      </x:c>
      <x:c r="J23" s="61" t="str">
        <x:f>IF(AND(E23&gt;=$P$4,E23&lt;=$P$5),"PASS","FAIL")</x:f>
        <x:v>PASS</x:v>
      </x:c>
      <x:c r="K23" s="61" t="str">
        <x:f>IF(G23&lt;=$P$6,"PASS","FAIL")</x:f>
        <x:v>PASS</x:v>
      </x:c>
      <x:c r="L23" s="61" t="str">
        <x:f>IF(F23&lt;=$P$7,"PASS","FAIL")</x:f>
        <x:v>PASS</x:v>
      </x:c>
      <x:c r="M23" s="61" t="str">
        <x:f>IF(AND(H23&gt;=$P$8,I23&lt;=$P$9),"PASS","FAIL")</x:f>
        <x:v>PASS</x:v>
      </x:c>
      <x:c r="N23" s="61" t="str">
        <x:f>IF(AND(J23="PASS",K23="PASS",L23="PASS",M23="PASS"),"PASS","FAIL")</x:f>
        <x:v>PASS</x:v>
      </x:c>
      <x:c r="O23" s="61"/>
      <x:c r="P23" s="61"/>
      <x:c r="Q23" s="61"/>
    </x:row>
    <x:row r="24">
      <x:c r="A24" s="61"/>
      <x:c r="B24" s="61"/>
      <x:c r="C24" s="61"/>
      <x:c r="D24" s="61"/>
      <x:c r="E24" s="61"/>
      <x:c r="F24" s="61"/>
      <x:c r="G24" s="61"/>
      <x:c r="H24" s="61"/>
      <x:c r="I24" s="61"/>
      <x:c r="J24" s="61"/>
      <x:c r="K24" s="61"/>
      <x:c r="L24" s="61"/>
      <x:c r="M24" s="61"/>
      <x:c r="N24" s="61"/>
      <x:c r="O24" s="61"/>
      <x:c r="P24" s="61"/>
      <x:c r="Q24" s="61"/>
    </x:row>
    <x:row r="25">
      <x:c r="A25" s="61"/>
      <x:c r="B25" s="61"/>
      <x:c r="C25" s="61"/>
      <x:c r="D25" s="61"/>
      <x:c r="E25" s="61"/>
      <x:c r="F25" s="61"/>
      <x:c r="G25" s="61"/>
      <x:c r="H25" s="61"/>
      <x:c r="I25" s="61"/>
      <x:c r="J25" s="61"/>
      <x:c r="K25" s="61"/>
      <x:c r="L25" s="61"/>
      <x:c r="M25" s="61"/>
      <x:c r="N25" s="61"/>
      <x:c r="O25" s="61"/>
      <x:c r="P25" s="61"/>
      <x:c r="Q25" s="61"/>
    </x:row>
    <x:row r="26">
      <x:c r="A26" s="61"/>
      <x:c r="B26" s="61"/>
      <x:c r="C26" s="61"/>
      <x:c r="D26" s="61"/>
      <x:c r="E26" s="61"/>
      <x:c r="F26" s="61"/>
      <x:c r="G26" s="61"/>
      <x:c r="H26" s="61"/>
      <x:c r="I26" s="61"/>
      <x:c r="J26" s="61"/>
      <x:c r="K26" s="61"/>
      <x:c r="L26" s="61"/>
      <x:c r="M26" s="61"/>
      <x:c r="N26" s="61"/>
      <x:c r="O26" s="61"/>
      <x:c r="P26" s="61"/>
      <x:c r="Q26" s="61"/>
    </x:row>
    <x:row r="27">
      <x:c r="A27" s="61"/>
      <x:c r="B27" s="61"/>
      <x:c r="C27" s="61"/>
      <x:c r="D27" s="61"/>
      <x:c r="E27" s="61"/>
      <x:c r="F27" s="61"/>
      <x:c r="G27" s="61"/>
      <x:c r="H27" s="61"/>
      <x:c r="I27" s="61"/>
      <x:c r="J27" s="61"/>
      <x:c r="K27" s="61"/>
      <x:c r="L27" s="61"/>
      <x:c r="M27" s="61"/>
      <x:c r="N27" s="61"/>
      <x:c r="O27" s="61"/>
      <x:c r="P27" s="61"/>
      <x:c r="Q27" s="61"/>
    </x:row>
    <x:row r="28">
      <x:c r="A28" s="61"/>
      <x:c r="B28" s="61"/>
      <x:c r="C28" s="61"/>
      <x:c r="D28" s="61"/>
      <x:c r="E28" s="61"/>
      <x:c r="F28" s="61"/>
      <x:c r="G28" s="61"/>
      <x:c r="H28" s="61"/>
      <x:c r="I28" s="61"/>
      <x:c r="J28" s="61"/>
      <x:c r="K28" s="61"/>
      <x:c r="L28" s="61"/>
      <x:c r="M28" s="61"/>
      <x:c r="N28" s="61"/>
      <x:c r="O28" s="61"/>
      <x:c r="P28" s="61"/>
      <x:c r="Q28" s="61"/>
    </x:row>
    <x:row r="29">
      <x:c r="A29" s="61"/>
      <x:c r="B29" s="61"/>
      <x:c r="C29" s="61"/>
      <x:c r="D29" s="61"/>
      <x:c r="E29" s="61"/>
      <x:c r="F29" s="61"/>
      <x:c r="G29" s="61"/>
      <x:c r="H29" s="61"/>
      <x:c r="I29" s="61"/>
      <x:c r="J29" s="61"/>
      <x:c r="K29" s="61"/>
      <x:c r="L29" s="61"/>
      <x:c r="M29" s="61"/>
      <x:c r="N29" s="61"/>
      <x:c r="O29" s="61"/>
      <x:c r="P29" s="61"/>
      <x:c r="Q29" s="61"/>
    </x:row>
    <x:row r="30">
      <x:c r="A30" s="61"/>
      <x:c r="B30" s="61"/>
      <x:c r="C30" s="61"/>
      <x:c r="D30" s="61"/>
      <x:c r="E30" s="61"/>
      <x:c r="F30" s="61"/>
      <x:c r="G30" s="61"/>
      <x:c r="H30" s="61"/>
      <x:c r="I30" s="61"/>
      <x:c r="J30" s="61"/>
      <x:c r="K30" s="61"/>
      <x:c r="L30" s="61"/>
      <x:c r="M30" s="61"/>
      <x:c r="N30" s="61"/>
      <x:c r="O30" s="61"/>
      <x:c r="P30" s="61"/>
      <x:c r="Q30" s="61"/>
    </x:row>
    <x:row r="31" ht="52" customHeight="1">
      <x:c r="A31" s="76" t="str">
        <x:v>Final Engineering Conclusion
The production-maximizing allowed corner, 52.65/4.290, still gives Qp≈6.897&lt;6.90 while Recovery, Flux, and water quality pass. In this local operating region, increasing either Pressure or Feed flow increases Qp, yet both controls are already at their equipment limits. Therefore, no lower Pressure/Flow combination can recover production. Conclusion: no feasible setpoint exists under the current limits. At minimum, Feed flow must be allowed to reach 4.295 kg/s at 52.65 bar (already verified feasible), or the Pressure limit must be relaxed and revalidated.</x:v>
      </x:c>
      <x:c r="B31" s="76"/>
      <x:c r="C31" s="76"/>
      <x:c r="D31" s="76"/>
      <x:c r="E31" s="76"/>
      <x:c r="F31" s="76"/>
      <x:c r="G31" s="76"/>
      <x:c r="H31" s="76"/>
      <x:c r="I31" s="76"/>
      <x:c r="J31" s="76"/>
      <x:c r="K31" s="76"/>
      <x:c r="L31" s="76"/>
      <x:c r="M31" s="76"/>
      <x:c r="N31" s="76"/>
      <x:c r="O31" s="61"/>
      <x:c r="P31" s="61"/>
      <x:c r="Q31" s="61"/>
    </x:row>
    <x:row r="32" ht="52" customHeight="1">
      <x:c r="A32" s="76"/>
      <x:c r="B32" s="76"/>
      <x:c r="C32" s="76"/>
      <x:c r="D32" s="76"/>
      <x:c r="E32" s="76"/>
      <x:c r="F32" s="76"/>
      <x:c r="G32" s="76"/>
      <x:c r="H32" s="76"/>
      <x:c r="I32" s="76"/>
      <x:c r="J32" s="76"/>
      <x:c r="K32" s="76"/>
      <x:c r="L32" s="76"/>
      <x:c r="M32" s="76"/>
      <x:c r="N32" s="76"/>
      <x:c r="O32" s="61"/>
      <x:c r="P32" s="61"/>
      <x:c r="Q32" s="61"/>
    </x:row>
    <x:row r="33" ht="52" customHeight="1">
      <x:c r="A33" s="76"/>
      <x:c r="B33" s="76"/>
      <x:c r="C33" s="76"/>
      <x:c r="D33" s="76"/>
      <x:c r="E33" s="76"/>
      <x:c r="F33" s="76"/>
      <x:c r="G33" s="76"/>
      <x:c r="H33" s="76"/>
      <x:c r="I33" s="76"/>
      <x:c r="J33" s="76"/>
      <x:c r="K33" s="76"/>
      <x:c r="L33" s="76"/>
      <x:c r="M33" s="76"/>
      <x:c r="N33" s="76"/>
      <x:c r="O33" s="61"/>
      <x:c r="P33" s="61"/>
      <x:c r="Q33" s="61"/>
    </x:row>
    <x:row r="34" ht="52" customHeight="1">
      <x:c r="A34" s="76"/>
      <x:c r="B34" s="76"/>
      <x:c r="C34" s="76"/>
      <x:c r="D34" s="76"/>
      <x:c r="E34" s="76"/>
      <x:c r="F34" s="76"/>
      <x:c r="G34" s="76"/>
      <x:c r="H34" s="76"/>
      <x:c r="I34" s="76"/>
      <x:c r="J34" s="76"/>
      <x:c r="K34" s="76"/>
      <x:c r="L34" s="76"/>
      <x:c r="M34" s="76"/>
      <x:c r="N34" s="76"/>
      <x:c r="O34" s="61"/>
      <x:c r="P34" s="61"/>
      <x:c r="Q34" s="61"/>
    </x:row>
  </x:sheetData>
  <x:mergeCells>
    <x:mergeCell ref="A1:Q1"/>
    <x:mergeCell ref="A4:N5"/>
    <x:mergeCell ref="A8:F8"/>
    <x:mergeCell ref="A19:N19"/>
    <x:mergeCell ref="A31:N34"/>
  </x:mergeCells>
  <x:conditionalFormatting sqref="J21:J23">
    <x:cfRule type="expression" dxfId="0" priority="1">
      <x:formula>J21="PASS"</x:formula>
    </x:cfRule>
    <x:cfRule type="expression" dxfId="1" priority="2">
      <x:formula>J21="FAIL"</x:formula>
    </x:cfRule>
  </x:conditionalFormatting>
  <x:conditionalFormatting sqref="K21:K23">
    <x:cfRule type="expression" dxfId="2" priority="3">
      <x:formula>K21="PASS"</x:formula>
    </x:cfRule>
    <x:cfRule type="expression" dxfId="3" priority="4">
      <x:formula>K21="FAIL"</x:formula>
    </x:cfRule>
  </x:conditionalFormatting>
  <x:conditionalFormatting sqref="L21:L23">
    <x:cfRule type="expression" dxfId="4" priority="5">
      <x:formula>L21="PASS"</x:formula>
    </x:cfRule>
    <x:cfRule type="expression" dxfId="5" priority="6">
      <x:formula>L21="FAIL"</x:formula>
    </x:cfRule>
  </x:conditionalFormatting>
  <x:conditionalFormatting sqref="M21:M23">
    <x:cfRule type="expression" dxfId="6" priority="7">
      <x:formula>M21="PASS"</x:formula>
    </x:cfRule>
    <x:cfRule type="expression" dxfId="7" priority="8">
      <x:formula>M21="FAIL"</x:formula>
    </x:cfRule>
  </x:conditionalFormatting>
  <x:conditionalFormatting sqref="N21:N23">
    <x:cfRule type="expression" dxfId="8" priority="9">
      <x:formula>N21="PASS"</x:formula>
    </x:cfRule>
    <x:cfRule type="expression" dxfId="9" priority="10">
      <x:formula>N21="FAIL"</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5" hidden="0" customWidth="1"/>
    <x:col min="2" max="2" width="27" hidden="0" customWidth="1"/>
    <x:col min="3" max="3" width="48" hidden="0" customWidth="1"/>
    <x:col min="4" max="4" width="34" hidden="0" customWidth="1"/>
    <x:col min="5" max="5" width="36" hidden="0" customWidth="1"/>
    <x:col min="6" max="6" width="10" hidden="0" customWidth="1"/>
    <x:col min="7" max="7" width="10" hidden="0" customWidth="1"/>
  </x:cols>
  <x:sheetData>
    <x:row r="1">
      <x:c r="A1" s="4" t="str">
        <x:v>D2-2b: Trajectory Quality Rubric (100 points)</x:v>
      </x:c>
      <x:c r="B1" s="4"/>
      <x:c r="C1" s="4"/>
      <x:c r="D1" s="4"/>
      <x:c r="E1" s="4"/>
      <x:c r="F1" s="4"/>
      <x:c r="G1" s="4"/>
    </x:row>
    <x:row r="2">
      <x:c r="A2" s="61"/>
      <x:c r="B2" s="61"/>
      <x:c r="C2" s="61"/>
      <x:c r="D2" s="61"/>
      <x:c r="E2" s="61"/>
      <x:c r="F2" s="61"/>
      <x:c r="G2" s="61"/>
    </x:row>
    <x:row r="3">
      <x:c r="A3" s="61"/>
      <x:c r="B3" s="61"/>
      <x:c r="C3" s="61"/>
      <x:c r="D3" s="61"/>
      <x:c r="E3" s="61"/>
      <x:c r="F3" s="61"/>
      <x:c r="G3" s="61"/>
    </x:row>
    <x:row r="4">
      <x:c r="A4" s="82" t="str">
        <x:v>Evaluate the complete state → plan → tool call → observation → update → next action → stopping/decision trajectory. Alternative tool orders may earn full credit only if they respect the item-specific objective, control degrees of freedom, and stopping rule.</x:v>
      </x:c>
      <x:c r="B4" s="82"/>
      <x:c r="C4" s="82"/>
      <x:c r="D4" s="82"/>
      <x:c r="E4" s="82"/>
      <x:c r="F4" s="82"/>
      <x:c r="G4" s="82"/>
    </x:row>
    <x:row r="5">
      <x:c r="A5" s="82"/>
      <x:c r="B5" s="82"/>
      <x:c r="C5" s="82"/>
      <x:c r="D5" s="82"/>
      <x:c r="E5" s="82"/>
      <x:c r="F5" s="82"/>
      <x:c r="G5" s="82"/>
    </x:row>
    <x:row r="6">
      <x:c r="A6" s="61"/>
      <x:c r="B6" s="61"/>
      <x:c r="C6" s="61"/>
      <x:c r="D6" s="61"/>
      <x:c r="E6" s="61"/>
      <x:c r="F6" s="61"/>
      <x:c r="G6" s="61"/>
    </x:row>
    <x:row r="7">
      <x:c r="A7" s="61"/>
      <x:c r="B7" s="61"/>
      <x:c r="C7" s="61"/>
      <x:c r="D7" s="61"/>
      <x:c r="E7" s="61"/>
      <x:c r="F7" s="61"/>
      <x:c r="G7" s="61"/>
    </x:row>
    <x:row r="8">
      <x:c r="A8" s="88" t="str">
        <x:v>Trajectory dimension</x:v>
      </x:c>
      <x:c r="B8" s="88" t="str">
        <x:v>Evaluation focus</x:v>
      </x:c>
      <x:c r="C8" s="88" t="str">
        <x:v>Full-credit evidence</x:v>
      </x:c>
      <x:c r="D8" s="88" t="str">
        <x:v>Partial credit</x:v>
      </x:c>
      <x:c r="E8" s="88" t="str">
        <x:v>Critical failure mode</x:v>
      </x:c>
      <x:c r="F8" s="88" t="str">
        <x:v>Weight</x:v>
      </x:c>
      <x:c r="G8" s="88" t="str">
        <x:v>Score</x:v>
      </x:c>
    </x:row>
    <x:row r="9">
      <x:c r="A9" s="65" t="str">
        <x:v>TQ1 Problem framing</x:v>
      </x:c>
      <x:c r="B9" s="65" t="str">
        <x:v>Recognize D2-2b and the item-specific objective</x:v>
      </x:c>
      <x:c r="C9" s="65" t="str">
        <x:v>Prove infeasibility from the allowed upper corner; keep feed, membrane, and area fixed</x:v>
      </x:c>
      <x:c r="D9" s="65" t="str">
        <x:v>Understands setpoint correction but misses part of the special objective</x:v>
      </x:c>
      <x:c r="E9" s="65" t="str">
        <x:v>Changes feed/membrane or turns the task into design</x:v>
      </x:c>
      <x:c r="F9" s="65" t="n">
        <x:v>15</x:v>
      </x:c>
      <x:c r="G9" s="83"/>
    </x:row>
    <x:row r="10">
      <x:c r="A10" s="65" t="str">
        <x:v>TQ2 Plan quality</x:v>
      </x:c>
      <x:c r="B10" s="65" t="str">
        <x:v>Decompose in an information-efficient order</x:v>
      </x:c>
      <x:c r="C10" s="65" t="str">
        <x:v>Use evidence-driven branching/boundary logic rather than enumeration</x:v>
      </x:c>
      <x:c r="D10" s="65" t="str">
        <x:v>Mostly reasonable but skips a key stage</x:v>
      </x:c>
      <x:c r="E10" s="65" t="str">
        <x:v>Brute-force grid or ignores stated priority</x:v>
      </x:c>
      <x:c r="F10" s="65" t="n">
        <x:v>15</x:v>
      </x:c>
      <x:c r="G10" s="83"/>
    </x:row>
    <x:row r="11">
      <x:c r="A11" s="65" t="str">
        <x:v>TQ3 Tool-call correctness</x:v>
      </x:c>
      <x:c r="B11" s="65" t="str">
        <x:v>Change only allowed variables in simulate_ro</x:v>
      </x:c>
      <x:c r="C11" s="65" t="str">
        <x:v>All comparisons keep identical feed/membrane parameters; Pressure/Flow match the item</x:v>
      </x:c>
      <x:c r="D11" s="65" t="str">
        <x:v>Minor input/unit issue</x:v>
      </x:c>
      <x:c r="E11" s="65" t="str">
        <x:v>Changes salinity, temperature, area, A, or B</x:v>
      </x:c>
      <x:c r="F11" s="65" t="n">
        <x:v>20</x:v>
      </x:c>
      <x:c r="G11" s="83"/>
    </x:row>
    <x:row r="12">
      <x:c r="A12" s="65" t="str">
        <x:v>TQ4 Observation interpretation</x:v>
      </x:c>
      <x:c r="B12" s="65" t="str">
        <x:v>Read active constraints and FAIL/PASS precisely</x:v>
      </x:c>
      <x:c r="C12" s="65" t="str">
        <x:v>The production-maximizing allowed corner, 52.65/4.290, still gives Qp≈6.897&lt;6.90 while Recovery, Flux, and water quality pass. In </x:v>
      </x:c>
      <x:c r="D12" s="65" t="str">
        <x:v>Mostly correct but misses one boundary or failure mechanism</x:v>
      </x:c>
      <x:c r="E12" s="65" t="str">
        <x:v>Rounds near-fail to PASS or treats one passing metric as overall success</x:v>
      </x:c>
      <x:c r="F12" s="65" t="n">
        <x:v>20</x:v>
      </x:c>
      <x:c r="G12" s="83"/>
    </x:row>
    <x:row r="13">
      <x:c r="A13" s="65" t="str">
        <x:v>TQ5 Adaptation and pruning</x:v>
      </x:c>
      <x:c r="B13" s="65" t="str">
        <x:v>Let each result determine the next action</x:v>
      </x:c>
      <x:c r="C13" s="65" t="str">
        <x:v>Prove infeasibility from the allowed upper corner; stop once evidence is sufficient</x:v>
      </x:c>
      <x:c r="D13" s="65" t="str">
        <x:v>Some redundancy</x:v>
      </x:c>
      <x:c r="E13" s="65" t="str">
        <x:v>Continues disproved branches or performs unstructured enumeration</x:v>
      </x:c>
      <x:c r="F13" s="65" t="n">
        <x:v>20</x:v>
      </x:c>
      <x:c r="G13" s="83"/>
    </x:row>
    <x:row r="14">
      <x:c r="A14" s="65" t="str">
        <x:v>TQ6 Final decision</x:v>
      </x:c>
      <x:c r="B14" s="65" t="str">
        <x:v>Deliver the conclusion required by this objective</x:v>
      </x:c>
      <x:c r="C14" s="65" t="str">
        <x:v>inimum, Feed flow must be allowed to reach 4.295 kg/s at 52.65 bar (already verified feasible), or the Pressure limit must be relaxed and revalidated.</x:v>
      </x:c>
      <x:c r="D14" s="65" t="str">
        <x:v>Correct endpoint/conclusion with weak rationale</x:v>
      </x:c>
      <x:c r="E14" s="65" t="str">
        <x:v>Blindly applies the original 'minimum Pressure' objective</x:v>
      </x:c>
      <x:c r="F14" s="65" t="n">
        <x:v>10</x:v>
      </x:c>
      <x:c r="G14" s="83"/>
    </x:row>
    <x:row r="15">
      <x:c r="A15" s="61"/>
      <x:c r="B15" s="61"/>
      <x:c r="C15" s="61"/>
      <x:c r="D15" s="61"/>
      <x:c r="E15" s="61"/>
      <x:c r="F15" s="61"/>
      <x:c r="G15" s="61"/>
    </x:row>
    <x:row r="16">
      <x:c r="A16" s="61"/>
      <x:c r="B16" s="61"/>
      <x:c r="C16" s="61"/>
      <x:c r="D16" s="61"/>
      <x:c r="E16" s="84" t="str">
        <x:v>Trajectory Quality Total</x:v>
      </x:c>
      <x:c r="F16" s="84" t="n">
        <x:v>100</x:v>
      </x:c>
      <x:c r="G16" s="84" t="n">
        <x:f>SUM(G9:G14)</x:f>
        <x:v>0</x:v>
      </x:c>
    </x:row>
  </x:sheetData>
  <x:mergeCells>
    <x:mergeCell ref="A1:G1"/>
    <x:mergeCell ref="A4:G5"/>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8" hidden="0" customWidth="1"/>
    <x:col min="3" max="3" width="35" hidden="0" customWidth="1"/>
    <x:col min="4" max="4" width="35" hidden="0" customWidth="1"/>
    <x:col min="5" max="5" width="35" hidden="0" customWidth="1"/>
    <x:col min="6" max="6" width="48" hidden="0" customWidth="1"/>
    <x:col min="7" max="7" width="10" hidden="0" customWidth="1"/>
  </x:cols>
  <x:sheetData>
    <x:row r="1">
      <x:c r="A1" s="4" t="str">
        <x:v>D2-2b: Tool Usage Efficiency (100 points)</x:v>
      </x:c>
      <x:c r="B1" s="4"/>
      <x:c r="C1" s="4"/>
      <x:c r="D1" s="4"/>
      <x:c r="E1" s="4"/>
      <x:c r="F1" s="4"/>
      <x:c r="G1" s="4"/>
    </x:row>
    <x:row r="2">
      <x:c r="A2" s="61"/>
      <x:c r="B2" s="61"/>
      <x:c r="C2" s="61"/>
      <x:c r="D2" s="61"/>
      <x:c r="E2" s="61"/>
      <x:c r="F2" s="61"/>
      <x:c r="G2" s="61"/>
    </x:row>
    <x:row r="3">
      <x:c r="A3" s="61"/>
      <x:c r="B3" s="61"/>
      <x:c r="C3" s="61"/>
      <x:c r="D3" s="61"/>
      <x:c r="E3" s="61"/>
      <x:c r="F3" s="61"/>
      <x:c r="G3" s="61"/>
    </x:row>
    <x:row r="4">
      <x:c r="A4" s="82" t="str">
        <x:v>Tool efficiency is scored separately (100 points). The primary scientific tool is simulate_ro. Item focus: 1 decisive upper-corner call plus nearby monotonicity evidence; full-grid search is inefficient. Call count is secondary to information gain, adaptation, pruning, and evidence-based stopping.</x:v>
      </x:c>
      <x:c r="B4" s="82"/>
      <x:c r="C4" s="82"/>
      <x:c r="D4" s="82"/>
      <x:c r="E4" s="82"/>
      <x:c r="F4" s="82"/>
      <x:c r="G4" s="82"/>
    </x:row>
    <x:row r="5">
      <x:c r="A5" s="82"/>
      <x:c r="B5" s="82"/>
      <x:c r="C5" s="82"/>
      <x:c r="D5" s="82"/>
      <x:c r="E5" s="82"/>
      <x:c r="F5" s="82"/>
      <x:c r="G5" s="82"/>
    </x:row>
    <x:row r="6">
      <x:c r="A6" s="61"/>
      <x:c r="B6" s="61"/>
      <x:c r="C6" s="61"/>
      <x:c r="D6" s="61"/>
      <x:c r="E6" s="61"/>
      <x:c r="F6" s="61"/>
      <x:c r="G6" s="61"/>
    </x:row>
    <x:row r="7">
      <x:c r="A7" s="61"/>
      <x:c r="B7" s="61"/>
      <x:c r="C7" s="61"/>
      <x:c r="D7" s="61"/>
      <x:c r="E7" s="61"/>
      <x:c r="F7" s="61"/>
      <x:c r="G7" s="61"/>
    </x:row>
    <x:row r="8">
      <x:c r="A8" s="88" t="str">
        <x:v>Efficiency dimension</x:v>
      </x:c>
      <x:c r="B8" s="88" t="str">
        <x:v>Evaluation focus</x:v>
      </x:c>
      <x:c r="C8" s="88" t="str">
        <x:v>High performance</x:v>
      </x:c>
      <x:c r="D8" s="88" t="str">
        <x:v>Medium performance</x:v>
      </x:c>
      <x:c r="E8" s="88" t="str">
        <x:v>Low performance</x:v>
      </x:c>
      <x:c r="F8" s="88" t="str">
        <x:v>Item-specific observation</x:v>
      </x:c>
      <x:c r="G8" s="88" t="str">
        <x:v>Points</x:v>
      </x:c>
    </x:row>
    <x:row r="9">
      <x:c r="A9" s="65" t="str">
        <x:v>E1 Tool selection</x:v>
      </x:c>
      <x:c r="B9" s="65" t="str">
        <x:v>Use only tools relevant to operating setpoints</x:v>
      </x:c>
      <x:c r="C9" s="65" t="str">
        <x:v>Primarily simulate_ro; no unrelated plant/chemistry calls</x:v>
      </x:c>
      <x:c r="D9" s="65" t="str">
        <x:v>Minor irrelevant calls</x:v>
      </x:c>
      <x:c r="E9" s="65" t="str">
        <x:v>Wrong tool or excessive metadata</x:v>
      </x:c>
      <x:c r="F9" s="65" t="str">
        <x:v>1 decisive upper-corner call plus nearby monotonicity evidence; full-grid search is inefficient.</x:v>
      </x:c>
      <x:c r="G9" s="65" t="n">
        <x:v>20</x:v>
      </x:c>
    </x:row>
    <x:row r="10">
      <x:c r="A10" s="65" t="str">
        <x:v>E2 Information gain</x:v>
      </x:c>
      <x:c r="B10" s="65" t="str">
        <x:v>Test the most discriminating points first</x:v>
      </x:c>
      <x:c r="C10" s="65" t="str">
        <x:v>Key branch/boundary/upper-corner tests first</x:v>
      </x:c>
      <x:c r="D10" s="65" t="str">
        <x:v>Mostly reasonable order</x:v>
      </x:c>
      <x:c r="E10" s="65" t="str">
        <x:v>Dense full-grid search first</x:v>
      </x:c>
      <x:c r="F10" s="65" t="str">
        <x:v>1 decisive upper-corner call plus nearby monotonicity evidence; full-grid search is inefficient.</x:v>
      </x:c>
      <x:c r="G10" s="65" t="n">
        <x:v>20</x:v>
      </x:c>
    </x:row>
    <x:row r="11">
      <x:c r="A11" s="65" t="str">
        <x:v>E3 Adaptation</x:v>
      </x:c>
      <x:c r="B11" s="65" t="str">
        <x:v>Let each result trigger the next call</x:v>
      </x:c>
      <x:c r="C11" s="65" t="str">
        <x:v>FAIL/PASS directly determines the next action</x:v>
      </x:c>
      <x:c r="D11" s="65" t="str">
        <x:v>Partly adaptive</x:v>
      </x:c>
      <x:c r="E11" s="65" t="str">
        <x:v>Preset enumeration ignores results</x:v>
      </x:c>
      <x:c r="F11" s="65" t="str">
        <x:v>1 decisive upper-corner call plus nearby monotonicity evidence; full-grid search is inefficient.</x:v>
      </x:c>
      <x:c r="G11" s="65" t="n">
        <x:v>20</x:v>
      </x:c>
    </x:row>
    <x:row r="12">
      <x:c r="A12" s="65" t="str">
        <x:v>E4 Pruning</x:v>
      </x:c>
      <x:c r="B12" s="65" t="str">
        <x:v>Stop invalid branches once proven</x:v>
      </x:c>
      <x:c r="C12" s="65" t="str">
        <x:v>Prompt stopping; no equivalent repeats</x:v>
      </x:c>
      <x:c r="D12" s="65" t="str">
        <x:v>Some repetition</x:v>
      </x:c>
      <x:c r="E12" s="65" t="str">
        <x:v>Keeps testing disproved options</x:v>
      </x:c>
      <x:c r="F12" s="65" t="str">
        <x:v>1 decisive upper-corner call plus nearby monotonicity evidence; full-grid search is inefficient.</x:v>
      </x:c>
      <x:c r="G12" s="65" t="n">
        <x:v>20</x:v>
      </x:c>
    </x:row>
    <x:row r="13">
      <x:c r="A13" s="65" t="str">
        <x:v>E5 Convergence</x:v>
      </x:c>
      <x:c r="B13" s="65" t="str">
        <x:v>Use minimal but sufficient evidence</x:v>
      </x:c>
      <x:c r="C13" s="65" t="str">
        <x:v>Call budget matches the item structure</x:v>
      </x:c>
      <x:c r="D13" s="65" t="str">
        <x:v>2–3 extra calls but still reasonable</x:v>
      </x:c>
      <x:c r="E13" s="65" t="str">
        <x:v>Too many calls or missing critical evidence</x:v>
      </x:c>
      <x:c r="F13" s="65" t="str">
        <x:v>1 decisive upper-corner call plus nearby monotonicity evidence; full-grid search is inefficient.</x:v>
      </x:c>
      <x:c r="G13" s="65" t="n">
        <x:v>20</x:v>
      </x:c>
    </x:row>
    <x:row r="14">
      <x:c r="A14" s="61"/>
      <x:c r="B14" s="61"/>
      <x:c r="C14" s="61"/>
      <x:c r="D14" s="61"/>
      <x:c r="E14" s="61"/>
      <x:c r="F14" s="61"/>
      <x:c r="G14" s="61"/>
    </x:row>
    <x:row r="15">
      <x:c r="A15" s="61"/>
      <x:c r="B15" s="61"/>
      <x:c r="C15" s="61"/>
      <x:c r="D15" s="61"/>
      <x:c r="E15" s="61"/>
      <x:c r="F15" s="84" t="str">
        <x:v>Tool Efficiency Total</x:v>
      </x:c>
      <x:c r="G15" s="84" t="n">
        <x:v>100</x:v>
      </x:c>
    </x:row>
  </x:sheetData>
  <x:mergeCells>
    <x:mergeCell ref="A1:G1"/>
    <x:mergeCell ref="A4:G5"/>
  </x:mergeCells>
  <x:pageMargins left="0.7" right="0.7" top="0.75" bottom="0.75" header="0.3" footer="0.3"/>
</x:worksheet>
</file>