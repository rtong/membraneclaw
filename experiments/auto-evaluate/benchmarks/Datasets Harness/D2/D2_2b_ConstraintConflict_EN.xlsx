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92307d0e5f4d0d" /></Relationships>
</file>

<file path=xl/workbook.xml><?xml version="1.0" encoding="utf-8"?>
<x:workbook xmlns:x="http://schemas.openxmlformats.org/spreadsheetml/2006/main">
  <x:sheets>
    <x:sheet xmlns:r="http://schemas.openxmlformats.org/officeDocument/2006/relationships" name="Question" sheetId="1" r:id="Raec1b3c59f8a4e83"/>
    <x:sheet xmlns:r="http://schemas.openxmlformats.org/officeDocument/2006/relationships" name="Gold_Answer" sheetId="2" r:id="R17fd4aa3a0ad41b9"/>
    <x:sheet xmlns:r="http://schemas.openxmlformats.org/officeDocument/2006/relationships" name="Trajectory_Rubric" sheetId="3" r:id="Rc9c9a9f7781e4fed"/>
    <x:sheet xmlns:r="http://schemas.openxmlformats.org/officeDocument/2006/relationships" name="Tool_Efficiency" sheetId="4" r:id="R6de799ab7b92480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5"/>
      <x:color rgb="FFFFFFFF"/>
      <x:name val="Arial"/>
    </x:font>
    <x:font>
      <x:b/>
      <x:sz val="10"/>
      <x:color rgb="FF17365D"/>
      <x:name val="Arial"/>
    </x:font>
    <x:font>
      <x:b/>
      <x:sz val="11"/>
      <x:color rgb="FF17365D"/>
      <x:name val="Arial"/>
    </x:font>
    <x:font>
      <x:b/>
      <x:sz val="11"/>
      <x:color rgb="FFFFFFFF"/>
      <x:name val="Arial"/>
    </x:font>
    <x:font>
      <x:sz val="10"/>
      <x:name val="Arial"/>
    </x:font>
    <x:font>
      <x:i/>
      <x:sz val="11"/>
      <x:color rgb="FF7F6000"/>
      <x:name val="Arial"/>
    </x:font>
    <x:font>
      <x:b/>
      <x:sz val="11"/>
      <x:color rgb="FF385723"/>
      <x:name val="Arial"/>
    </x:font>
    <x:font>
      <x:sz val="11"/>
      <x:color rgb="FF17365D"/>
      <x:name val="Arial"/>
    </x:font>
    <x:font>
      <x:b/>
      <x:sz val="10"/>
      <x:color rgb="FF1F1F1F"/>
      <x:name val="Arial"/>
    </x:font>
    <x:font>
      <x:sz val="10"/>
      <x:color rgb="FF1F1F1F"/>
      <x:name val="Arial"/>
    </x:font>
    <x:font>
      <x:i/>
      <x:sz val="10"/>
      <x:color rgb="FF1F1F1F"/>
      <x:name val="Arial"/>
    </x:font>
    <x:font>
      <x:b/>
      <x:sz val="10"/>
      <x:color rgb="FFFFFFFF"/>
      <x:name val="Arial"/>
    </x:font>
  </x:fonts>
  <x:fills count="7">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2F75B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x:xf numFmtId="0" fontId="5" fillId="0" borderId="1"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wrapText="1"/>
    </x:xf>
    <x:xf numFmtId="0" fontId="6" fillId="5" borderId="1"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center" wrapText="1"/>
    </x:xf>
    <x:xf numFmtId="0" fontId="4" fillId="4" borderId="0" xfId="0" applyNumberFormat="1" applyFont="1" applyFill="1" applyBorder="1" applyAlignment="1">
      <x:alignment horizontal="center"/>
    </x:xf>
    <x:xf numFmtId="0" fontId="4"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1" xfId="0" applyNumberFormat="1" applyFont="1" applyFill="1" applyBorder="1"/>
    <x:xf numFmtId="0" fontId="8" fillId="3"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9" fillId="2" borderId="0" xfId="0" applyNumberFormat="1" applyFont="1" applyFill="1" applyBorder="1" applyAlignment="1">
      <x:alignment horizontal="center" vertical="center"/>
    </x:xf>
    <x:xf numFmtId="0" fontId="10" fillId="0" borderId="0" xfId="0" applyNumberFormat="1" applyFont="1" applyFill="1" applyBorder="1"/>
    <x:xf numFmtId="0" fontId="9" fillId="3" borderId="0" xfId="0" applyNumberFormat="1" applyFont="1" applyFill="1" applyBorder="1" applyAlignment="1">
      <x:alignment vertical="center" wrapText="1"/>
    </x:xf>
    <x:xf numFmtId="0" fontId="9" fillId="3" borderId="0" xfId="0" applyNumberFormat="1" applyFont="1" applyFill="1" applyBorder="1"/>
    <x:xf numFmtId="0" fontId="9" fillId="4" borderId="0" xfId="0" applyNumberFormat="1" applyFont="1" applyFill="1" applyBorder="1" applyAlignment="1">
      <x:alignment horizontal="center" wrapText="1"/>
    </x:xf>
    <x:xf numFmtId="0" fontId="10" fillId="0" borderId="0" xfId="0" applyNumberFormat="1" applyFont="1" applyFill="1" applyBorder="1" applyAlignment="1">
      <x:alignment wrapText="1"/>
    </x:xf>
    <x:xf numFmtId="0" fontId="11" fillId="5" borderId="0" xfId="0" applyNumberFormat="1" applyFont="1" applyFill="1" applyBorder="1" applyAlignment="1">
      <x:alignment vertical="center" wrapText="1"/>
    </x:xf>
    <x:xf numFmtId="0" fontId="9" fillId="2" borderId="1" xfId="0" applyNumberFormat="1" applyFont="1" applyFill="1" applyBorder="1" applyAlignment="1">
      <x:alignment horizontal="center" vertical="center"/>
    </x:xf>
    <x:xf numFmtId="0" fontId="10" fillId="0" borderId="1" xfId="0" applyNumberFormat="1" applyFont="1" applyFill="1" applyBorder="1"/>
    <x:xf numFmtId="0" fontId="9" fillId="3" borderId="1" xfId="0" applyNumberFormat="1" applyFont="1" applyFill="1" applyBorder="1" applyAlignment="1">
      <x:alignment vertical="center" wrapText="1"/>
    </x:xf>
    <x:xf numFmtId="0" fontId="9" fillId="3" borderId="1" xfId="0" applyNumberFormat="1" applyFont="1" applyFill="1" applyBorder="1"/>
    <x:xf numFmtId="0" fontId="9" fillId="4" borderId="1" xfId="0" applyNumberFormat="1" applyFont="1" applyFill="1" applyBorder="1" applyAlignment="1">
      <x:alignment horizontal="center" wrapText="1"/>
    </x:xf>
    <x:xf numFmtId="0" fontId="10" fillId="0" borderId="1" xfId="0" applyNumberFormat="1" applyFont="1" applyFill="1" applyBorder="1" applyAlignment="1">
      <x:alignment wrapText="1"/>
    </x:xf>
    <x:xf numFmtId="0" fontId="11" fillId="5" borderId="1" xfId="0" applyNumberFormat="1" applyFont="1" applyFill="1" applyBorder="1" applyAlignment="1">
      <x:alignment vertical="center" wrapText="1"/>
    </x:xf>
    <x:xf numFmtId="0" fontId="9" fillId="2" borderId="0" xfId="0" applyNumberFormat="1" applyFont="1" applyFill="1" applyBorder="1" applyAlignment="1">
      <x:alignment horizontal="center"/>
    </x:xf>
    <x:xf numFmtId="0" fontId="9" fillId="4" borderId="0" xfId="0" applyNumberFormat="1" applyFont="1" applyFill="1" applyBorder="1" applyAlignment="1">
      <x:alignment horizontal="center"/>
    </x:xf>
    <x:xf numFmtId="0" fontId="9" fillId="6" borderId="0" xfId="0" applyNumberFormat="1" applyFont="1" applyFill="1" applyBorder="1" applyAlignment="1">
      <x:alignment vertical="center" wrapText="1"/>
    </x:xf>
    <x:xf numFmtId="200" fontId="10" fillId="0" borderId="0" xfId="0" applyNumberFormat="1" applyFont="1" applyFill="1" applyBorder="1"/>
    <x:xf numFmtId="0" fontId="9" fillId="2" borderId="1" xfId="0" applyNumberFormat="1" applyFont="1" applyFill="1" applyBorder="1" applyAlignment="1">
      <x:alignment horizontal="center"/>
    </x:xf>
    <x:xf numFmtId="0" fontId="9" fillId="4" borderId="1" xfId="0" applyNumberFormat="1" applyFont="1" applyFill="1" applyBorder="1" applyAlignment="1">
      <x:alignment horizontal="center"/>
    </x:xf>
    <x:xf numFmtId="0" fontId="9" fillId="6" borderId="1" xfId="0" applyNumberFormat="1" applyFont="1" applyFill="1" applyBorder="1" applyAlignment="1">
      <x:alignment vertical="center" wrapText="1"/>
    </x:xf>
    <x:xf numFmtId="200" fontId="10" fillId="0" borderId="1" xfId="0" applyNumberFormat="1" applyFont="1" applyFill="1" applyBorder="1"/>
    <x:xf numFmtId="0" fontId="10" fillId="3" borderId="0" xfId="0" applyNumberFormat="1" applyFont="1" applyFill="1" applyBorder="1" applyAlignment="1">
      <x:alignment wrapText="1"/>
    </x:xf>
    <x:xf numFmtId="0" fontId="10" fillId="5" borderId="0" xfId="0" applyNumberFormat="1" applyFont="1" applyFill="1" applyBorder="1" applyAlignment="1">
      <x:alignment wrapText="1"/>
    </x:xf>
    <x:xf numFmtId="0" fontId="9" fillId="6" borderId="0" xfId="0" applyNumberFormat="1" applyFont="1" applyFill="1" applyBorder="1"/>
    <x:xf numFmtId="0" fontId="10" fillId="3" borderId="1" xfId="0" applyNumberFormat="1" applyFont="1" applyFill="1" applyBorder="1" applyAlignment="1">
      <x:alignment wrapText="1"/>
    </x:xf>
    <x:xf numFmtId="0" fontId="10" fillId="5" borderId="1" xfId="0" applyNumberFormat="1" applyFont="1" applyFill="1" applyBorder="1" applyAlignment="1">
      <x:alignment wrapText="1"/>
    </x:xf>
    <x:xf numFmtId="0" fontId="9" fillId="6" borderId="1" xfId="0" applyNumberFormat="1" applyFont="1" applyFill="1" applyBorder="1"/>
    <x:xf numFmtId="0" fontId="12" fillId="4" borderId="0" xfId="0" applyNumberFormat="1" applyFont="1" applyFill="1" applyBorder="1" applyAlignment="1">
      <x:alignment horizontal="center" wrapText="1"/>
    </x:xf>
    <x:xf numFmtId="0" fontId="12" fillId="4" borderId="1" xfId="0" applyNumberFormat="1" applyFont="1" applyFill="1" applyBorder="1" applyAlignment="1">
      <x:alignment horizontal="center" wrapText="1"/>
    </x:xf>
    <x:xf numFmtId="0" fontId="12" fillId="4" borderId="0" xfId="0" applyNumberFormat="1" applyFont="1" applyFill="1" applyBorder="1" applyAlignment="1">
      <x:alignment horizontal="center"/>
    </x:xf>
    <x:xf numFmtId="0" fontId="12" fillId="4" borderId="1" xfId="0" applyNumberFormat="1" applyFont="1" applyFill="1" applyBorder="1" applyAlignment="1">
      <x:alignment horizontal="center"/>
    </x:xf>
  </x:cellXfs>
  <x:cellStyles count="1">
    <x:cellStyle name="Normal" xfId="0"/>
  </x:cellStyles>
  <x:dxfs count="10">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bf3f7f3bede4cd8" /><Relationship Type="http://schemas.openxmlformats.org/officeDocument/2006/relationships/theme" Target="/xl/theme/theme1.xml" Id="Rf850e0c882a3460b" /><Relationship Type="http://schemas.openxmlformats.org/officeDocument/2006/relationships/sharedStrings" Target="/xl/sharedStrings.xml" Id="R9dfe2b32b1b043d2" /><Relationship Type="http://schemas.openxmlformats.org/officeDocument/2006/relationships/worksheet" Target="/xl/worksheets/sheet1.xml" Id="Raec1b3c59f8a4e83" /><Relationship Type="http://schemas.openxmlformats.org/officeDocument/2006/relationships/worksheet" Target="/xl/worksheets/sheet2.xml" Id="R17fd4aa3a0ad41b9" /><Relationship Type="http://schemas.openxmlformats.org/officeDocument/2006/relationships/worksheet" Target="/xl/worksheets/sheet3.xml" Id="Rc9c9a9f7781e4fed" /><Relationship Type="http://schemas.openxmlformats.org/officeDocument/2006/relationships/worksheet" Target="/xl/worksheets/sheet4.xml" Id="R6de799ab7b92480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28" hidden="0" customWidth="1"/>
    <x:col min="3" max="3" width="16" hidden="0" customWidth="1"/>
    <x:col min="4" max="4" width="26" hidden="0" customWidth="1"/>
    <x:col min="5" max="5" width="3" hidden="0" customWidth="1"/>
    <x:col min="6" max="6" width="28" hidden="0" customWidth="1"/>
    <x:col min="7" max="7" width="26" hidden="0" customWidth="1"/>
    <x:col min="8" max="8" width="31" hidden="0" customWidth="1"/>
  </x:cols>
  <x:sheetData>
    <x:row r="1" ht="30" customHeight="1">
      <x:c r="A1" s="5" t="str">
        <x:v>D2-2b: Pressure–Flow Correction under Conflicting Constraints</x:v>
      </x:c>
      <x:c r="B1" s="5"/>
      <x:c r="C1" s="5"/>
      <x:c r="D1" s="5"/>
      <x:c r="E1" s="5"/>
      <x:c r="F1" s="5"/>
      <x:c r="G1" s="5"/>
      <x:c r="H1" s="5"/>
    </x:row>
    <x:row r="2">
      <x:c r="A2" s="61"/>
      <x:c r="B2" s="61"/>
      <x:c r="C2" s="61"/>
      <x:c r="D2" s="61"/>
      <x:c r="E2" s="61"/>
      <x:c r="F2" s="61"/>
      <x:c r="G2" s="61"/>
      <x:c r="H2" s="61"/>
    </x:row>
    <x:row r="3">
      <x:c r="A3" s="61"/>
      <x:c r="B3" s="61"/>
      <x:c r="C3" s="61"/>
      <x:c r="D3" s="61"/>
      <x:c r="E3" s="61"/>
      <x:c r="F3" s="61"/>
      <x:c r="G3" s="61"/>
      <x:c r="H3" s="61"/>
    </x:row>
    <x:row r="4" ht="36" customHeight="1">
      <x:c r="A4" s="62" t="str">
        <x:v>An operating SWRO train has normal feed, membrane properties, and area, but the current 55.0 bar / 4.073 kg/s setpoint drives Recovery well above its limit. Only Pressure and Feed flow may be adjusted. First test pressure-only and flow-only branches. Escalate to coordinated control only after both are disproved, then apply a lexicographic objective: lowest feasible Pressure first, then the smallest Feed-flow increase.</x:v>
      </x:c>
      <x:c r="B4" s="62"/>
      <x:c r="C4" s="62"/>
      <x:c r="D4" s="62"/>
      <x:c r="E4" s="62"/>
      <x:c r="F4" s="62"/>
      <x:c r="G4" s="62"/>
      <x:c r="H4" s="62"/>
    </x:row>
    <x:row r="5" ht="36" customHeight="1">
      <x:c r="A5" s="62"/>
      <x:c r="B5" s="62"/>
      <x:c r="C5" s="62"/>
      <x:c r="D5" s="62"/>
      <x:c r="E5" s="62"/>
      <x:c r="F5" s="62"/>
      <x:c r="G5" s="62"/>
      <x:c r="H5" s="62"/>
    </x:row>
    <x:row r="6">
      <x:c r="A6" s="61"/>
      <x:c r="B6" s="61"/>
      <x:c r="C6" s="61"/>
      <x:c r="D6" s="61"/>
      <x:c r="E6" s="61"/>
      <x:c r="F6" s="61"/>
      <x:c r="G6" s="61"/>
      <x:c r="H6" s="61"/>
    </x:row>
    <x:row r="7">
      <x:c r="A7" s="61"/>
      <x:c r="B7" s="61"/>
      <x:c r="C7" s="61"/>
      <x:c r="D7" s="61"/>
      <x:c r="E7" s="61"/>
      <x:c r="F7" s="61"/>
      <x:c r="G7" s="61"/>
      <x:c r="H7" s="61"/>
    </x:row>
    <x:row r="8">
      <x:c r="A8" s="63" t="str">
        <x:v>Fixed System Parameters</x:v>
      </x:c>
      <x:c r="B8" s="63"/>
      <x:c r="C8" s="63"/>
      <x:c r="D8" s="63"/>
      <x:c r="E8" s="61"/>
      <x:c r="F8" s="63" t="str">
        <x:v>Operating Objectives and Item Constraints</x:v>
      </x:c>
      <x:c r="G8" s="63"/>
      <x:c r="H8" s="63"/>
    </x:row>
    <x:row r="9">
      <x:c r="A9" s="88" t="str">
        <x:v>Category</x:v>
      </x:c>
      <x:c r="B9" s="88" t="str">
        <x:v>Parameter</x:v>
      </x:c>
      <x:c r="C9" s="88" t="str">
        <x:v>Value</x:v>
      </x:c>
      <x:c r="D9" s="88" t="str">
        <x:v>Note</x:v>
      </x:c>
      <x:c r="E9" s="61"/>
      <x:c r="F9" s="88" t="str">
        <x:v>Item</x:v>
      </x:c>
      <x:c r="G9" s="88" t="str">
        <x:v>Requirement / Value</x:v>
      </x:c>
      <x:c r="H9" s="88" t="str">
        <x:v>Note</x:v>
      </x:c>
    </x:row>
    <x:row r="10">
      <x:c r="A10" s="65" t="str">
        <x:v>Feed</x:v>
      </x:c>
      <x:c r="B10" s="65" t="str">
        <x:v>NaCl mass fraction</x:v>
      </x:c>
      <x:c r="C10" s="65" t="n">
        <x:v>0.03</x:v>
      </x:c>
      <x:c r="D10" s="65" t="str">
        <x:v>Fixed; ~30.5 g/L</x:v>
      </x:c>
      <x:c r="E10" s="61"/>
      <x:c r="F10" s="65" t="str">
        <x:v>Qp minimum</x:v>
      </x:c>
      <x:c r="G10" s="65" t="n">
        <x:v>6.9</x:v>
      </x:c>
      <x:c r="H10" s="65" t="str">
        <x:v>m³/h</x:v>
      </x:c>
    </x:row>
    <x:row r="11">
      <x:c r="A11" s="65" t="str">
        <x:v>Feed</x:v>
      </x:c>
      <x:c r="B11" s="65" t="str">
        <x:v>Temperature</x:v>
      </x:c>
      <x:c r="C11" s="65" t="n">
        <x:v>32</x:v>
      </x:c>
      <x:c r="D11" s="65" t="str">
        <x:v>°C; fixed</x:v>
      </x:c>
      <x:c r="E11" s="61"/>
      <x:c r="F11" s="65" t="str">
        <x:v>Qp maximum</x:v>
      </x:c>
      <x:c r="G11" s="65" t="str">
        <x:v>None</x:v>
      </x:c>
      <x:c r="H11" s="65" t="str">
        <x:v>No upper limit</x:v>
      </x:c>
    </x:row>
    <x:row r="12">
      <x:c r="A12" s="65" t="str">
        <x:v>Membrane</x:v>
      </x:c>
      <x:c r="B12" s="65" t="str">
        <x:v>Effective membrane area</x:v>
      </x:c>
      <x:c r="C12" s="65" t="n">
        <x:v>400</x:v>
      </x:c>
      <x:c r="D12" s="65" t="str">
        <x:v>m²; fixed</x:v>
      </x:c>
      <x:c r="E12" s="61"/>
      <x:c r="F12" s="65" t="str">
        <x:v>Recovery maximum</x:v>
      </x:c>
      <x:c r="G12" s="65" t="n">
        <x:v>46</x:v>
      </x:c>
      <x:c r="H12" s="65" t="str">
        <x:v>%</x:v>
      </x:c>
    </x:row>
    <x:row r="13">
      <x:c r="A13" s="65" t="str">
        <x:v>Membrane</x:v>
      </x:c>
      <x:c r="B13" s="65" t="str">
        <x:v>A_comp</x:v>
      </x:c>
      <x:c r="C13" s="65" t="n">
        <x:v>4.2e-12</x:v>
      </x:c>
      <x:c r="D13" s="65" t="str">
        <x:v>m/s/Pa; fixed</x:v>
      </x:c>
      <x:c r="E13" s="61"/>
      <x:c r="F13" s="65" t="str">
        <x:v>Flux maximum</x:v>
      </x:c>
      <x:c r="G13" s="65" t="n">
        <x:v>18</x:v>
      </x:c>
      <x:c r="H13" s="65" t="str">
        <x:v>LMH</x:v>
      </x:c>
    </x:row>
    <x:row r="14">
      <x:c r="A14" s="65" t="str">
        <x:v>Membrane</x:v>
      </x:c>
      <x:c r="B14" s="65" t="str">
        <x:v>B_comp</x:v>
      </x:c>
      <x:c r="C14" s="65" t="n">
        <x:v>3.4e-8</x:v>
      </x:c>
      <x:c r="D14" s="65" t="str">
        <x:v>m/s; fixed</x:v>
      </x:c>
      <x:c r="E14" s="61"/>
      <x:c r="F14" s="65" t="str">
        <x:v>Salt rejection minimum</x:v>
      </x:c>
      <x:c r="G14" s="65" t="n">
        <x:v>98.7</x:v>
      </x:c>
      <x:c r="H14" s="65" t="str">
        <x:v>%</x:v>
      </x:c>
    </x:row>
    <x:row r="15">
      <x:c r="A15" s="65" t="str">
        <x:v>Hydraulics</x:v>
      </x:c>
      <x:c r="B15" s="65" t="str">
        <x:v>Permeate pressure</x:v>
      </x:c>
      <x:c r="C15" s="65" t="n">
        <x:v>1.013</x:v>
      </x:c>
      <x:c r="D15" s="65" t="str">
        <x:v>bar</x:v>
      </x:c>
      <x:c r="E15" s="61"/>
      <x:c r="F15" s="65" t="str">
        <x:v>Permeate NaCl maximum</x:v>
      </x:c>
      <x:c r="G15" s="65" t="n">
        <x:v>400</x:v>
      </x:c>
      <x:c r="H15" s="65" t="str">
        <x:v>mg/L</x:v>
      </x:c>
    </x:row>
    <x:row r="16">
      <x:c r="A16" s="65" t="str">
        <x:v>Hydraulics</x:v>
      </x:c>
      <x:c r="B16" s="65" t="str">
        <x:v>Pressure drop</x:v>
      </x:c>
      <x:c r="C16" s="65" t="n">
        <x:v>0.653</x:v>
      </x:c>
      <x:c r="D16" s="65" t="str">
        <x:v>bar</x:v>
      </x:c>
      <x:c r="E16" s="61"/>
      <x:c r="F16" s="65" t="str">
        <x:v>Current setpoint</x:v>
      </x:c>
      <x:c r="G16" s="65" t="str">
        <x:v>55.0 bar / 4.073 kg/s</x:v>
      </x:c>
      <x:c r="H16" s="65" t="str">
        <x:v>Recovery is excessive</x:v>
      </x:c>
    </x:row>
    <x:row r="17">
      <x:c r="A17" s="65" t="str">
        <x:v>Channel</x:v>
      </x:c>
      <x:c r="B17" s="65" t="str">
        <x:v>Channel height</x:v>
      </x:c>
      <x:c r="C17" s="65" t="n">
        <x:v>0.002</x:v>
      </x:c>
      <x:c r="D17" s="65" t="str">
        <x:v>m</x:v>
      </x:c>
      <x:c r="E17" s="61"/>
      <x:c r="F17" s="65" t="str">
        <x:v>Pressure range</x:v>
      </x:c>
      <x:c r="G17" s="65" t="str">
        <x:v>50–55 bar</x:v>
      </x:c>
      <x:c r="H17" s="65" t="str">
        <x:v>0.05-bar resolution</x:v>
      </x:c>
    </x:row>
    <x:row r="18">
      <x:c r="A18" s="65" t="str">
        <x:v>Channel</x:v>
      </x:c>
      <x:c r="B18" s="65" t="str">
        <x:v>Spacer porosity</x:v>
      </x:c>
      <x:c r="C18" s="65" t="n">
        <x:v>0.75</x:v>
      </x:c>
      <x:c r="D18" s="65" t="str">
        <x:v>-</x:v>
      </x:c>
      <x:c r="E18" s="61"/>
      <x:c r="F18" s="65" t="str">
        <x:v>Feed-flow range</x:v>
      </x:c>
      <x:c r="G18" s="65" t="str">
        <x:v>4.073–4.30 kg/s</x:v>
      </x:c>
      <x:c r="H18" s="65" t="str">
        <x:v>0.005 kg/s for second-stage refinement</x:v>
      </x:c>
    </x:row>
    <x:row r="19">
      <x:c r="A19" s="65" t="str">
        <x:v>Channel</x:v>
      </x:c>
      <x:c r="B19" s="65" t="str">
        <x:v>Equivalent module length</x:v>
      </x:c>
      <x:c r="C19" s="65" t="n">
        <x:v>20</x:v>
      </x:c>
      <x:c r="D19" s="65" t="str">
        <x:v>m</x:v>
      </x:c>
      <x:c r="E19" s="61"/>
      <x:c r="F19" s="65" t="str">
        <x:v>Optimization objective</x:v>
      </x:c>
      <x:c r="G19" s="65" t="str">
        <x:v>① lowest feasible Pressure; ② smallest flow increase at that P</x:v>
      </x:c>
      <x:c r="H19" s="65" t="str">
        <x:v>Prune failed single-variable branches</x:v>
      </x:c>
    </x:row>
    <x:row r="20">
      <x:c r="A20" s="65" t="str">
        <x:v>Model</x:v>
      </x:c>
      <x:c r="B20" s="65" t="str">
        <x:v>Concentration polarization / mass transfer</x:v>
      </x:c>
      <x:c r="C20" s="65" t="str">
        <x:v>calculated</x:v>
      </x:c>
      <x:c r="D20" s="65" t="str">
        <x:v>WaterTAP calculated</x:v>
      </x:c>
      <x:c r="E20" s="61"/>
      <x:c r="F20" s="61"/>
      <x:c r="G20" s="61"/>
      <x:c r="H20" s="61"/>
    </x:row>
    <x:row r="21">
      <x:c r="A21" s="61"/>
      <x:c r="B21" s="61"/>
      <x:c r="C21" s="61"/>
      <x:c r="D21" s="61"/>
      <x:c r="E21" s="61"/>
      <x:c r="F21" s="61"/>
      <x:c r="G21" s="61"/>
      <x:c r="H21" s="61"/>
    </x:row>
    <x:row r="22">
      <x:c r="A22" s="61"/>
      <x:c r="B22" s="61"/>
      <x:c r="C22" s="61"/>
      <x:c r="D22" s="61"/>
      <x:c r="E22" s="61"/>
      <x:c r="F22" s="63" t="str">
        <x:v>Required Tasks</x:v>
      </x:c>
      <x:c r="G22" s="63"/>
      <x:c r="H22" s="63"/>
    </x:row>
    <x:row r="23" ht="34" customHeight="1">
      <x:c r="A23" s="61"/>
      <x:c r="B23" s="61"/>
      <x:c r="C23" s="61"/>
      <x:c r="D23" s="61"/>
      <x:c r="E23" s="61"/>
      <x:c r="F23" s="65" t="str">
        <x:v>1. Diagnose which hard constraints are violated at the current setpoint.</x:v>
      </x:c>
      <x:c r="G23" s="65"/>
      <x:c r="H23" s="65"/>
    </x:row>
    <x:row r="24" ht="34" customHeight="1">
      <x:c r="A24" s="61"/>
      <x:c r="B24" s="61"/>
      <x:c r="C24" s="61"/>
      <x:c r="D24" s="61"/>
      <x:c r="E24" s="61"/>
      <x:c r="F24" s="65" t="str">
        <x:v>2. Test pressure-only and flow-only branches; stop each branch once infeasibility is established.</x:v>
      </x:c>
      <x:c r="G24" s="65"/>
      <x:c r="H24" s="65"/>
    </x:row>
    <x:row r="25" ht="34" customHeight="1">
      <x:c r="A25" s="61"/>
      <x:c r="B25" s="61"/>
      <x:c r="C25" s="61"/>
      <x:c r="D25" s="61"/>
      <x:c r="E25" s="61"/>
      <x:c r="F25" s="65" t="str">
        <x:v>3. Enter coordinated Pressure–Flow control and bracket the minimum feasible Pressure.</x:v>
      </x:c>
      <x:c r="G25" s="65"/>
      <x:c r="H25" s="65"/>
    </x:row>
    <x:row r="26" ht="34" customHeight="1">
      <x:c r="A26" s="61"/>
      <x:c r="B26" s="61"/>
      <x:c r="C26" s="61"/>
      <x:c r="D26" s="61"/>
      <x:c r="E26" s="61"/>
      <x:c r="F26" s="65" t="str">
        <x:v>4. Fix that Pressure and bracket the minimum Feed-flow increase.</x:v>
      </x:c>
      <x:c r="G26" s="65"/>
      <x:c r="H26" s="65"/>
    </x:row>
    <x:row r="27" ht="34" customHeight="1">
      <x:c r="A27" s="61"/>
      <x:c r="B27" s="61"/>
      <x:c r="C27" s="61"/>
      <x:c r="D27" s="61"/>
      <x:c r="E27" s="61"/>
      <x:c r="F27" s="65" t="str">
        <x:v>5. Report the unique setpoint and explain why the first feasible point is not the final answer.</x:v>
      </x:c>
      <x:c r="G27" s="65"/>
      <x:c r="H27" s="65"/>
    </x:row>
    <x:row r="28">
      <x:c r="A28" s="61"/>
      <x:c r="B28" s="61"/>
      <x:c r="C28" s="61"/>
      <x:c r="D28" s="61"/>
      <x:c r="E28" s="61"/>
      <x:c r="F28" s="61"/>
      <x:c r="G28" s="61"/>
      <x:c r="H28" s="61"/>
    </x:row>
    <x:row r="29">
      <x:c r="A29" s="66" t="str">
        <x:v>Task boundary: In D2-2b, feed conditions, membrane properties, area, and system structure remain fixed. The problem arises from the operating setpoint or the allowed operating envelope. Do not change feed quality, temperature, membrane area, or A/B.</x:v>
      </x:c>
      <x:c r="B29" s="66"/>
      <x:c r="C29" s="66"/>
      <x:c r="D29" s="66"/>
      <x:c r="E29" s="61"/>
      <x:c r="F29" s="61"/>
      <x:c r="G29" s="61"/>
      <x:c r="H29" s="61"/>
    </x:row>
    <x:row r="30">
      <x:c r="A30" s="66"/>
      <x:c r="B30" s="66"/>
      <x:c r="C30" s="66"/>
      <x:c r="D30" s="66"/>
      <x:c r="E30" s="61"/>
      <x:c r="F30" s="61"/>
      <x:c r="G30" s="61"/>
      <x:c r="H30" s="61"/>
    </x:row>
  </x:sheetData>
  <x:mergeCells>
    <x:mergeCell ref="A1:H1"/>
    <x:mergeCell ref="A4:H5"/>
    <x:mergeCell ref="A8:D8"/>
    <x:mergeCell ref="F8:H8"/>
    <x:mergeCell ref="F22:H22"/>
    <x:mergeCell ref="F23:H23"/>
    <x:mergeCell ref="F24:H24"/>
    <x:mergeCell ref="F25:H25"/>
    <x:mergeCell ref="F26:H26"/>
    <x:mergeCell ref="F27:H27"/>
    <x:mergeCell ref="A29:D30"/>
  </x:mergeCell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2" hidden="0" customWidth="1"/>
    <x:col min="11" max="11" width="12" hidden="0" customWidth="1"/>
    <x:col min="12" max="12" width="12" hidden="0" customWidth="1"/>
    <x:col min="13" max="13" width="12" hidden="0" customWidth="1"/>
    <x:col min="14" max="14" width="12" hidden="0" customWidth="1"/>
    <x:col min="15" max="15" width="20" hidden="0" customWidth="1"/>
    <x:col min="16" max="16" width="14" hidden="0" customWidth="1"/>
    <x:col min="17" max="17" width="12" hidden="0" customWidth="1"/>
  </x:cols>
  <x:sheetData>
    <x:row r="1" ht="30" customHeight="1">
      <x:c r="A1" s="4" t="str">
        <x:v>D2-2b: Gold Answer — Advanced Operating Setpoint Adjustment</x:v>
      </x:c>
      <x:c r="B1" s="4"/>
      <x:c r="C1" s="4"/>
      <x:c r="D1" s="4"/>
      <x:c r="E1" s="4"/>
      <x:c r="F1" s="4"/>
      <x:c r="G1" s="4"/>
      <x:c r="H1" s="4"/>
      <x:c r="I1" s="4"/>
      <x:c r="J1" s="4"/>
      <x:c r="K1" s="4"/>
      <x:c r="L1" s="4"/>
      <x:c r="M1" s="4"/>
      <x:c r="N1" s="4"/>
      <x:c r="O1" s="4"/>
      <x:c r="P1" s="4"/>
      <x:c r="Q1" s="4"/>
    </x:row>
    <x:row r="2">
      <x:c r="A2" s="61"/>
      <x:c r="B2" s="61"/>
      <x:c r="C2" s="61"/>
      <x:c r="D2" s="61"/>
      <x:c r="E2" s="61"/>
      <x:c r="F2" s="61"/>
      <x:c r="G2" s="61"/>
      <x:c r="H2" s="61"/>
      <x:c r="I2" s="61"/>
      <x:c r="J2" s="61"/>
      <x:c r="K2" s="61"/>
      <x:c r="L2" s="61"/>
      <x:c r="M2" s="61"/>
      <x:c r="N2" s="61"/>
      <x:c r="O2" s="61"/>
      <x:c r="P2" s="61"/>
      <x:c r="Q2" s="61"/>
    </x:row>
    <x:row r="3">
      <x:c r="A3" s="61"/>
      <x:c r="B3" s="61"/>
      <x:c r="C3" s="61"/>
      <x:c r="D3" s="61"/>
      <x:c r="E3" s="61"/>
      <x:c r="F3" s="61"/>
      <x:c r="G3" s="61"/>
      <x:c r="H3" s="61"/>
      <x:c r="I3" s="61"/>
      <x:c r="J3" s="61"/>
      <x:c r="K3" s="61"/>
      <x:c r="L3" s="61"/>
      <x:c r="M3" s="61"/>
      <x:c r="N3" s="61"/>
      <x:c r="O3" s="90" t="str">
        <x:v>Constraint</x:v>
      </x:c>
      <x:c r="P3" s="90" t="str">
        <x:v>Value</x:v>
      </x:c>
      <x:c r="Q3" s="90" t="str">
        <x:v>Unit</x:v>
      </x:c>
    </x:row>
    <x:row r="4" ht="44" customHeight="1">
      <x:c r="A4" s="76" t="str">
        <x:v>Pressure-only control at 52 bar fails production (Qp≈6.594 m³/h). Flow-only control at 55 bar / 4.30 kg/s still violates Recovery (≈48.46%) and Flux (≈18.33 LMH). Under coordinated control, 52.60/4.30 fails Qp while 52.65/4.30 establishes the minimum feasible Pressure. At 52.65 bar, 4.290 kg/s still fails Qp whereas 4.295 kg/s passes all constraints. Final setpoint: 52.65 bar + 4.295 kg/s.</x:v>
      </x:c>
      <x:c r="B4" s="76"/>
      <x:c r="C4" s="76"/>
      <x:c r="D4" s="76"/>
      <x:c r="E4" s="76"/>
      <x:c r="F4" s="76"/>
      <x:c r="G4" s="76"/>
      <x:c r="H4" s="76"/>
      <x:c r="I4" s="76"/>
      <x:c r="J4" s="76"/>
      <x:c r="K4" s="76"/>
      <x:c r="L4" s="76"/>
      <x:c r="M4" s="76"/>
      <x:c r="N4" s="76"/>
      <x:c r="O4" s="77" t="str">
        <x:v>Qp min</x:v>
      </x:c>
      <x:c r="P4" s="77" t="n">
        <x:v>6.9</x:v>
      </x:c>
      <x:c r="Q4" s="77" t="str">
        <x:v>m³/h</x:v>
      </x:c>
    </x:row>
    <x:row r="5" ht="44" customHeight="1">
      <x:c r="A5" s="76"/>
      <x:c r="B5" s="76"/>
      <x:c r="C5" s="76"/>
      <x:c r="D5" s="76"/>
      <x:c r="E5" s="76"/>
      <x:c r="F5" s="76"/>
      <x:c r="G5" s="76"/>
      <x:c r="H5" s="76"/>
      <x:c r="I5" s="76"/>
      <x:c r="J5" s="76"/>
      <x:c r="K5" s="76"/>
      <x:c r="L5" s="76"/>
      <x:c r="M5" s="76"/>
      <x:c r="N5" s="76"/>
      <x:c r="O5" s="77" t="str">
        <x:v>Qp max</x:v>
      </x:c>
      <x:c r="P5" s="77" t="n">
        <x:v>999</x:v>
      </x:c>
      <x:c r="Q5" s="77" t="str">
        <x:v>m³/h</x:v>
      </x:c>
    </x:row>
    <x:row r="6">
      <x:c r="A6" s="61"/>
      <x:c r="B6" s="61"/>
      <x:c r="C6" s="61"/>
      <x:c r="D6" s="61"/>
      <x:c r="E6" s="61"/>
      <x:c r="F6" s="61"/>
      <x:c r="G6" s="61"/>
      <x:c r="H6" s="61"/>
      <x:c r="I6" s="61"/>
      <x:c r="J6" s="61"/>
      <x:c r="K6" s="61"/>
      <x:c r="L6" s="61"/>
      <x:c r="M6" s="61"/>
      <x:c r="N6" s="61"/>
      <x:c r="O6" s="77" t="str">
        <x:v>Recovery max</x:v>
      </x:c>
      <x:c r="P6" s="77" t="n">
        <x:v>46</x:v>
      </x:c>
      <x:c r="Q6" s="77" t="str">
        <x:v>%</x:v>
      </x:c>
    </x:row>
    <x:row r="7">
      <x:c r="A7" s="61"/>
      <x:c r="B7" s="61"/>
      <x:c r="C7" s="61"/>
      <x:c r="D7" s="61"/>
      <x:c r="E7" s="61"/>
      <x:c r="F7" s="61"/>
      <x:c r="G7" s="61"/>
      <x:c r="H7" s="61"/>
      <x:c r="I7" s="61"/>
      <x:c r="J7" s="61"/>
      <x:c r="K7" s="61"/>
      <x:c r="L7" s="61"/>
      <x:c r="M7" s="61"/>
      <x:c r="N7" s="61"/>
      <x:c r="O7" s="77" t="str">
        <x:v>Flux max</x:v>
      </x:c>
      <x:c r="P7" s="77" t="n">
        <x:v>18</x:v>
      </x:c>
      <x:c r="Q7" s="77" t="str">
        <x:v>LMH</x:v>
      </x:c>
    </x:row>
    <x:row r="8">
      <x:c r="A8" s="63" t="str">
        <x:v>Continuous Reasoning Trajectory</x:v>
      </x:c>
      <x:c r="B8" s="63"/>
      <x:c r="C8" s="63"/>
      <x:c r="D8" s="63"/>
      <x:c r="E8" s="63"/>
      <x:c r="F8" s="63"/>
      <x:c r="G8" s="61"/>
      <x:c r="H8" s="61"/>
      <x:c r="I8" s="61"/>
      <x:c r="J8" s="61"/>
      <x:c r="K8" s="61"/>
      <x:c r="L8" s="61"/>
      <x:c r="M8" s="61"/>
      <x:c r="N8" s="61"/>
      <x:c r="O8" s="77" t="str">
        <x:v>Rejection min</x:v>
      </x:c>
      <x:c r="P8" s="77" t="n">
        <x:v>98.7</x:v>
      </x:c>
      <x:c r="Q8" s="77" t="str">
        <x:v>%</x:v>
      </x:c>
    </x:row>
    <x:row r="9">
      <x:c r="A9" s="88" t="str">
        <x:v>Node</x:v>
      </x:c>
      <x:c r="B9" s="88" t="str">
        <x:v>Evidence point</x:v>
      </x:c>
      <x:c r="C9" s="88" t="str">
        <x:v>Key observation</x:v>
      </x:c>
      <x:c r="D9" s="88" t="str">
        <x:v>State update</x:v>
      </x:c>
      <x:c r="E9" s="88" t="str">
        <x:v>Engineering meaning</x:v>
      </x:c>
      <x:c r="F9" s="88" t="str">
        <x:v>Decision</x:v>
      </x:c>
      <x:c r="G9" s="61"/>
      <x:c r="H9" s="61"/>
      <x:c r="I9" s="61"/>
      <x:c r="J9" s="61"/>
      <x:c r="K9" s="61"/>
      <x:c r="L9" s="61"/>
      <x:c r="M9" s="61"/>
      <x:c r="N9" s="61"/>
      <x:c r="O9" s="77" t="str">
        <x:v>NaCl max</x:v>
      </x:c>
      <x:c r="P9" s="77" t="n">
        <x:v>400</x:v>
      </x:c>
      <x:c r="Q9" s="77" t="str">
        <x:v>mg/L</x:v>
      </x:c>
    </x:row>
    <x:row r="10" ht="60" customHeight="1">
      <x:c r="A10" s="65" t="str">
        <x:v>Current diagnosis</x:v>
      </x:c>
      <x:c r="B10" s="65" t="str">
        <x:v>A</x:v>
      </x:c>
      <x:c r="C10" s="65" t="str">
        <x:v>Recovery exceeds the limit; other core metrics pass</x:v>
      </x:c>
      <x:c r="D10" s="65" t="str">
        <x:v>Operating correction is required</x:v>
      </x:c>
      <x:c r="E10" s="65" t="str">
        <x:v>Use branch tests before coordinated search</x:v>
      </x:c>
      <x:c r="F10" s="65" t="str">
        <x:v>Continue</x:v>
      </x:c>
      <x:c r="G10" s="61"/>
      <x:c r="H10" s="61"/>
      <x:c r="I10" s="61"/>
      <x:c r="J10" s="61"/>
      <x:c r="K10" s="61"/>
      <x:c r="L10" s="61"/>
      <x:c r="M10" s="61"/>
      <x:c r="N10" s="61"/>
      <x:c r="O10" s="61"/>
      <x:c r="P10" s="61"/>
      <x:c r="Q10" s="61"/>
    </x:row>
    <x:row r="11" ht="60" customHeight="1">
      <x:c r="A11" s="65" t="str">
        <x:v>Pressure-only</x:v>
      </x:c>
      <x:c r="B11" s="65" t="str">
        <x:v>B</x:v>
      </x:c>
      <x:c r="C11" s="65" t="str">
        <x:v>Recovery passes but Qp fails</x:v>
      </x:c>
      <x:c r="D11" s="65" t="str">
        <x:v>Prune pressure-only</x:v>
      </x:c>
      <x:c r="E11" s="65" t="str">
        <x:v>Single-variable control is infeasible</x:v>
      </x:c>
      <x:c r="F11" s="65" t="str">
        <x:v>Stop branch</x:v>
      </x:c>
      <x:c r="G11" s="61"/>
      <x:c r="H11" s="61"/>
      <x:c r="I11" s="61"/>
      <x:c r="J11" s="61"/>
      <x:c r="K11" s="61"/>
      <x:c r="L11" s="61"/>
      <x:c r="M11" s="61"/>
      <x:c r="N11" s="61"/>
      <x:c r="O11" s="61"/>
      <x:c r="P11" s="61"/>
      <x:c r="Q11" s="61"/>
    </x:row>
    <x:row r="12" ht="60" customHeight="1">
      <x:c r="A12" s="65" t="str">
        <x:v>Flow-only</x:v>
      </x:c>
      <x:c r="B12" s="65" t="str">
        <x:v>C</x:v>
      </x:c>
      <x:c r="C12" s="65" t="str">
        <x:v>Recovery and Flux still fail</x:v>
      </x:c>
      <x:c r="D12" s="65" t="str">
        <x:v>Prune flow-only</x:v>
      </x:c>
      <x:c r="E12" s="65" t="str">
        <x:v>Single-variable control is infeasible</x:v>
      </x:c>
      <x:c r="F12" s="65" t="str">
        <x:v>Stop branch</x:v>
      </x:c>
      <x:c r="G12" s="61"/>
      <x:c r="H12" s="61"/>
      <x:c r="I12" s="61"/>
      <x:c r="J12" s="61"/>
      <x:c r="K12" s="61"/>
      <x:c r="L12" s="61"/>
      <x:c r="M12" s="61"/>
      <x:c r="N12" s="61"/>
      <x:c r="O12" s="61"/>
      <x:c r="P12" s="61"/>
      <x:c r="Q12" s="61"/>
    </x:row>
    <x:row r="13" ht="60" customHeight="1">
      <x:c r="A13" s="65" t="str">
        <x:v>Coarse coordinated search</x:v>
      </x:c>
      <x:c r="B13" s="65" t="str">
        <x:v>D→E</x:v>
      </x:c>
      <x:c r="C13" s="65" t="str">
        <x:v>53 bar slightly exceeds Recovery; 52.90 passes all</x:v>
      </x:c>
      <x:c r="D13" s="65" t="str">
        <x:v>Continue lowering Pressure</x:v>
      </x:c>
      <x:c r="E13" s="65" t="str">
        <x:v>A feasible coordinated region exists</x:v>
      </x:c>
      <x:c r="F13" s="65" t="str">
        <x:v>Continue</x:v>
      </x:c>
      <x:c r="G13" s="61"/>
      <x:c r="H13" s="61"/>
      <x:c r="I13" s="61"/>
      <x:c r="J13" s="61"/>
      <x:c r="K13" s="61"/>
      <x:c r="L13" s="61"/>
      <x:c r="M13" s="61"/>
      <x:c r="N13" s="61"/>
      <x:c r="O13" s="61"/>
      <x:c r="P13" s="61"/>
      <x:c r="Q13" s="61"/>
    </x:row>
    <x:row r="14" ht="60" customHeight="1">
      <x:c r="A14" s="65" t="str">
        <x:v>Pressure boundary</x:v>
      </x:c>
      <x:c r="B14" s="65" t="str">
        <x:v>F→G</x:v>
      </x:c>
      <x:c r="C14" s="65" t="str">
        <x:v>52.60 fails Qp; 52.65 passes</x:v>
      </x:c>
      <x:c r="D14" s="65" t="str">
        <x:v>Set Pmin=52.65 bar</x:v>
      </x:c>
      <x:c r="E14" s="65" t="str">
        <x:v>First optimization layer completed</x:v>
      </x:c>
      <x:c r="F14" s="65" t="str">
        <x:v>Proceed to flow refinement</x:v>
      </x:c>
      <x:c r="G14" s="61"/>
      <x:c r="H14" s="61"/>
      <x:c r="I14" s="61"/>
      <x:c r="J14" s="61"/>
      <x:c r="K14" s="61"/>
      <x:c r="L14" s="61"/>
      <x:c r="M14" s="61"/>
      <x:c r="N14" s="61"/>
      <x:c r="O14" s="61"/>
      <x:c r="P14" s="61"/>
      <x:c r="Q14" s="61"/>
    </x:row>
    <x:row r="15" ht="60" customHeight="1">
      <x:c r="A15" s="65" t="str">
        <x:v>Flow boundary</x:v>
      </x:c>
      <x:c r="B15" s="65" t="str">
        <x:v>H→I</x:v>
      </x:c>
      <x:c r="C15" s="65" t="str">
        <x:v>4.290 fails Qp; 4.295 passes</x:v>
      </x:c>
      <x:c r="D15" s="65" t="str">
        <x:v>Final setpoint found</x:v>
      </x:c>
      <x:c r="E15" s="65" t="str">
        <x:v>Second optimization layer completed</x:v>
      </x:c>
      <x:c r="F15" s="65" t="str">
        <x:v>Stop</x:v>
      </x:c>
      <x:c r="G15" s="61"/>
      <x:c r="H15" s="61"/>
      <x:c r="I15" s="61"/>
      <x:c r="J15" s="61"/>
      <x:c r="K15" s="61"/>
      <x:c r="L15" s="61"/>
      <x:c r="M15" s="61"/>
      <x:c r="N15" s="61"/>
      <x:c r="O15" s="61"/>
      <x:c r="P15" s="61"/>
      <x:c r="Q15" s="61"/>
    </x:row>
    <x:row r="16">
      <x:c r="A16" s="61"/>
      <x:c r="B16" s="61"/>
      <x:c r="C16" s="61"/>
      <x:c r="D16" s="61"/>
      <x:c r="E16" s="61"/>
      <x:c r="F16" s="61"/>
      <x:c r="G16" s="61"/>
      <x:c r="H16" s="61"/>
      <x:c r="I16" s="61"/>
      <x:c r="J16" s="61"/>
      <x:c r="K16" s="61"/>
      <x:c r="L16" s="61"/>
      <x:c r="M16" s="61"/>
      <x:c r="N16" s="61"/>
      <x:c r="O16" s="61"/>
      <x:c r="P16" s="61"/>
      <x:c r="Q16" s="61"/>
    </x:row>
    <x:row r="17">
      <x:c r="A17" s="61"/>
      <x:c r="B17" s="61"/>
      <x:c r="C17" s="61"/>
      <x:c r="D17" s="61"/>
      <x:c r="E17" s="61"/>
      <x:c r="F17" s="61"/>
      <x:c r="G17" s="61"/>
      <x:c r="H17" s="61"/>
      <x:c r="I17" s="61"/>
      <x:c r="J17" s="61"/>
      <x:c r="K17" s="61"/>
      <x:c r="L17" s="61"/>
      <x:c r="M17" s="61"/>
      <x:c r="N17" s="61"/>
      <x:c r="O17" s="61"/>
      <x:c r="P17" s="61"/>
      <x:c r="Q17" s="61"/>
    </x:row>
    <x:row r="18">
      <x:c r="A18" s="61"/>
      <x:c r="B18" s="61"/>
      <x:c r="C18" s="61"/>
      <x:c r="D18" s="61"/>
      <x:c r="E18" s="61"/>
      <x:c r="F18" s="61"/>
      <x:c r="G18" s="61"/>
      <x:c r="H18" s="61"/>
      <x:c r="I18" s="61"/>
      <x:c r="J18" s="61"/>
      <x:c r="K18" s="61"/>
      <x:c r="L18" s="61"/>
      <x:c r="M18" s="61"/>
      <x:c r="N18" s="61"/>
      <x:c r="O18" s="61"/>
      <x:c r="P18" s="61"/>
      <x:c r="Q18" s="61"/>
    </x:row>
    <x:row r="19">
      <x:c r="A19" s="63" t="str">
        <x:v>simulate_ro Evidence and Constraint Checks</x:v>
      </x:c>
      <x:c r="B19" s="63"/>
      <x:c r="C19" s="63"/>
      <x:c r="D19" s="63"/>
      <x:c r="E19" s="63"/>
      <x:c r="F19" s="63"/>
      <x:c r="G19" s="63"/>
      <x:c r="H19" s="63"/>
      <x:c r="I19" s="63"/>
      <x:c r="J19" s="63"/>
      <x:c r="K19" s="63"/>
      <x:c r="L19" s="63"/>
      <x:c r="M19" s="63"/>
      <x:c r="N19" s="63"/>
      <x:c r="O19" s="61"/>
      <x:c r="P19" s="61"/>
      <x:c r="Q19" s="61"/>
    </x:row>
    <x:row r="20">
      <x:c r="A20" s="88" t="str">
        <x:v>Scenario</x:v>
      </x:c>
      <x:c r="B20" s="88" t="str">
        <x:v>Pressure bar</x:v>
      </x:c>
      <x:c r="C20" s="88" t="str">
        <x:v>Feed kg/s</x:v>
      </x:c>
      <x:c r="D20" s="88" t="str">
        <x:v>Permeate kg/s</x:v>
      </x:c>
      <x:c r="E20" s="88" t="str">
        <x:v>Qp m³/h</x:v>
      </x:c>
      <x:c r="F20" s="88" t="str">
        <x:v>Flux LMH</x:v>
      </x:c>
      <x:c r="G20" s="88" t="str">
        <x:v>Recovery %</x:v>
      </x:c>
      <x:c r="H20" s="88" t="str">
        <x:v>Rejection %</x:v>
      </x:c>
      <x:c r="I20" s="88" t="str">
        <x:v>NaCl mg/L</x:v>
      </x:c>
      <x:c r="J20" s="88" t="str">
        <x:v>Qp</x:v>
      </x:c>
      <x:c r="K20" s="88" t="str">
        <x:v>Recovery</x:v>
      </x:c>
      <x:c r="L20" s="88" t="str">
        <x:v>Flux</x:v>
      </x:c>
      <x:c r="M20" s="88" t="str">
        <x:v>Water quality</x:v>
      </x:c>
      <x:c r="N20" s="88" t="str">
        <x:v>Overall</x:v>
      </x:c>
      <x:c r="O20" s="61"/>
      <x:c r="P20" s="61"/>
      <x:c r="Q20" s="61"/>
    </x:row>
    <x:row r="21">
      <x:c r="A21" s="61" t="str">
        <x:v>55 / 4.073 current baseline</x:v>
      </x:c>
      <x:c r="B21" s="77" t="n">
        <x:v>55</x:v>
      </x:c>
      <x:c r="C21" s="77" t="n">
        <x:v>4.073</x:v>
      </x:c>
      <x:c r="D21" s="77" t="n">
        <x:v>1.9797506995925969</x:v>
      </x:c>
      <x:c r="E21" s="77" t="n">
        <x:v>7.1271025185333485</x:v>
      </x:c>
      <x:c r="F21" s="77" t="n">
        <x:v>17.811580432718966</x:v>
      </x:c>
      <x:c r="G21" s="77" t="n">
        <x:v>49.7015456420662</x:v>
      </x:c>
      <x:c r="H21" s="77" t="n">
        <x:v>98.87007497431281</x:v>
      </x:c>
      <x:c r="I21" s="77" t="n">
        <x:v>346.61286818012763</x:v>
      </x:c>
      <x:c r="J21" s="61" t="str">
        <x:f>IF(AND(E21&gt;=$P$4,E21&lt;=$P$5),"PASS","FAIL")</x:f>
        <x:v>PASS</x:v>
      </x:c>
      <x:c r="K21" s="61" t="str">
        <x:f>IF(G21&lt;=$P$6,"PASS","FAIL")</x:f>
        <x:v>FAIL</x:v>
      </x:c>
      <x:c r="L21" s="61" t="str">
        <x:f>IF(F21&lt;=$P$7,"PASS","FAIL")</x:f>
        <x:v>PASS</x:v>
      </x:c>
      <x:c r="M21" s="61" t="str">
        <x:f>IF(AND(H21&gt;=$P$8,I21&lt;=$P$9),"PASS","FAIL")</x:f>
        <x:v>PASS</x:v>
      </x:c>
      <x:c r="N21" s="61" t="str">
        <x:f>IF(AND(J21="PASS",K21="PASS",L21="PASS",M21="PASS"),"PASS","FAIL")</x:f>
        <x:v>FAIL</x:v>
      </x:c>
      <x:c r="O21" s="61"/>
      <x:c r="P21" s="61"/>
      <x:c r="Q21" s="61"/>
    </x:row>
    <x:row r="22">
      <x:c r="A22" s="61" t="str">
        <x:v>52 / 4.073 pressure-only</x:v>
      </x:c>
      <x:c r="B22" s="77" t="n">
        <x:v>52</x:v>
      </x:c>
      <x:c r="C22" s="77" t="n">
        <x:v>4.073</x:v>
      </x:c>
      <x:c r="D22" s="77" t="n">
        <x:v>1.8317024077875053</x:v>
      </x:c>
      <x:c r="E22" s="77" t="n">
        <x:v>6.594128668035019</x:v>
      </x:c>
      <x:c r="F22" s="77" t="n">
        <x:v>16.479440695464636</x:v>
      </x:c>
      <x:c r="G22" s="77" t="n">
        <x:v>45.9844466906034</x:v>
      </x:c>
      <x:c r="H22" s="77" t="n">
        <x:v>98.83705234864722</x:v>
      </x:c>
      <x:c r="I22" s="77" t="n">
        <x:v>356.7400588598959</x:v>
      </x:c>
      <x:c r="J22" s="61" t="str">
        <x:f>IF(AND(E22&gt;=$P$4,E22&lt;=$P$5),"PASS","FAIL")</x:f>
        <x:v>FAIL</x:v>
      </x:c>
      <x:c r="K22" s="61" t="str">
        <x:f>IF(G22&lt;=$P$6,"PASS","FAIL")</x:f>
        <x:v>PASS</x:v>
      </x:c>
      <x:c r="L22" s="61" t="str">
        <x:f>IF(F22&lt;=$P$7,"PASS","FAIL")</x:f>
        <x:v>PASS</x:v>
      </x:c>
      <x:c r="M22" s="61" t="str">
        <x:f>IF(AND(H22&gt;=$P$8,I22&lt;=$P$9),"PASS","FAIL")</x:f>
        <x:v>PASS</x:v>
      </x:c>
      <x:c r="N22" s="61" t="str">
        <x:f>IF(AND(J22="PASS",K22="PASS",L22="PASS",M22="PASS"),"PASS","FAIL")</x:f>
        <x:v>FAIL</x:v>
      </x:c>
      <x:c r="O22" s="61"/>
      <x:c r="P22" s="61"/>
      <x:c r="Q22" s="61"/>
    </x:row>
    <x:row r="23">
      <x:c r="A23" s="61" t="str">
        <x:v>55 / 4.30 flow-only</x:v>
      </x:c>
      <x:c r="B23" s="77" t="n">
        <x:v>55</x:v>
      </x:c>
      <x:c r="C23" s="77" t="n">
        <x:v>4.3</x:v>
      </x:c>
      <x:c r="D23" s="77" t="n">
        <x:v>2.037760099414168</x:v>
      </x:c>
      <x:c r="E23" s="77" t="n">
        <x:v>7.335936357891005</x:v>
      </x:c>
      <x:c r="F23" s="77" t="n">
        <x:v>18.33371090113622</x:v>
      </x:c>
      <x:c r="G23" s="77" t="n">
        <x:v>48.457664489109035</x:v>
      </x:c>
      <x:c r="H23" s="77" t="n">
        <x:v>98.91040444694139</x:v>
      </x:c>
      <x:c r="I23" s="77" t="n">
        <x:v>334.2446440226825</x:v>
      </x:c>
      <x:c r="J23" s="61" t="str">
        <x:f>IF(AND(E23&gt;=$P$4,E23&lt;=$P$5),"PASS","FAIL")</x:f>
        <x:v>PASS</x:v>
      </x:c>
      <x:c r="K23" s="61" t="str">
        <x:f>IF(G23&lt;=$P$6,"PASS","FAIL")</x:f>
        <x:v>FAIL</x:v>
      </x:c>
      <x:c r="L23" s="61" t="str">
        <x:f>IF(F23&lt;=$P$7,"PASS","FAIL")</x:f>
        <x:v>FAIL</x:v>
      </x:c>
      <x:c r="M23" s="61" t="str">
        <x:f>IF(AND(H23&gt;=$P$8,I23&lt;=$P$9),"PASS","FAIL")</x:f>
        <x:v>PASS</x:v>
      </x:c>
      <x:c r="N23" s="61" t="str">
        <x:f>IF(AND(J23="PASS",K23="PASS",L23="PASS",M23="PASS"),"PASS","FAIL")</x:f>
        <x:v>FAIL</x:v>
      </x:c>
      <x:c r="O23" s="61"/>
      <x:c r="P23" s="61"/>
      <x:c r="Q23" s="61"/>
    </x:row>
    <x:row r="24">
      <x:c r="A24" s="61" t="str">
        <x:v>53 / 4.30</x:v>
      </x:c>
      <x:c r="B24" s="77" t="n">
        <x:v>53</x:v>
      </x:c>
      <x:c r="C24" s="77" t="n">
        <x:v>4.3</x:v>
      </x:c>
      <x:c r="D24" s="77" t="n">
        <x:v>1.936389470542942</x:v>
      </x:c>
      <x:c r="E24" s="77" t="n">
        <x:v>6.971002093954592</x:v>
      </x:c>
      <x:c r="F24" s="77" t="n">
        <x:v>17.42157007973964</x:v>
      </x:c>
      <x:c r="G24" s="77" t="n">
        <x:v>46.04686341611642</x:v>
      </x:c>
      <x:c r="H24" s="77" t="n">
        <x:v>98.88980362822365</x:v>
      </x:c>
      <x:c r="I24" s="77" t="n">
        <x:v>340.5625226813322</x:v>
      </x:c>
      <x:c r="J24" s="61" t="str">
        <x:f>IF(AND(E24&gt;=$P$4,E24&lt;=$P$5),"PASS","FAIL")</x:f>
        <x:v>PASS</x:v>
      </x:c>
      <x:c r="K24" s="61" t="str">
        <x:f>IF(G24&lt;=$P$6,"PASS","FAIL")</x:f>
        <x:v>FAIL</x:v>
      </x:c>
      <x:c r="L24" s="61" t="str">
        <x:f>IF(F24&lt;=$P$7,"PASS","FAIL")</x:f>
        <x:v>PASS</x:v>
      </x:c>
      <x:c r="M24" s="61" t="str">
        <x:f>IF(AND(H24&gt;=$P$8,I24&lt;=$P$9),"PASS","FAIL")</x:f>
        <x:v>PASS</x:v>
      </x:c>
      <x:c r="N24" s="61" t="str">
        <x:f>IF(AND(J24="PASS",K24="PASS",L24="PASS",M24="PASS"),"PASS","FAIL")</x:f>
        <x:v>FAIL</x:v>
      </x:c>
      <x:c r="O24" s="61"/>
      <x:c r="P24" s="61"/>
      <x:c r="Q24" s="61"/>
    </x:row>
    <x:row r="25">
      <x:c r="A25" s="61" t="str">
        <x:v>52.90 / 4.30</x:v>
      </x:c>
      <x:c r="B25" s="77" t="n">
        <x:v>52.9</x:v>
      </x:c>
      <x:c r="C25" s="77" t="n">
        <x:v>4.3</x:v>
      </x:c>
      <x:c r="D25" s="77" t="n">
        <x:v>1.9312051679303568</x:v>
      </x:c>
      <x:c r="E25" s="77" t="n">
        <x:v>6.9523386045492845</x:v>
      </x:c>
      <x:c r="F25" s="77" t="n">
        <x:v>17.374921034588446</x:v>
      </x:c>
      <x:c r="G25" s="77" t="n">
        <x:v>45.92356951296811</x:v>
      </x:c>
      <x:c r="H25" s="77" t="n">
        <x:v>98.88863825382515</x:v>
      </x:c>
      <x:c r="I25" s="77" t="n">
        <x:v>340.91991899743056</x:v>
      </x:c>
      <x:c r="J25" s="61" t="str">
        <x:f>IF(AND(E25&gt;=$P$4,E25&lt;=$P$5),"PASS","FAIL")</x:f>
        <x:v>PASS</x:v>
      </x:c>
      <x:c r="K25" s="61" t="str">
        <x:f>IF(G25&lt;=$P$6,"PASS","FAIL")</x:f>
        <x:v>PASS</x:v>
      </x:c>
      <x:c r="L25" s="61" t="str">
        <x:f>IF(F25&lt;=$P$7,"PASS","FAIL")</x:f>
        <x:v>PASS</x:v>
      </x:c>
      <x:c r="M25" s="61" t="str">
        <x:f>IF(AND(H25&gt;=$P$8,I25&lt;=$P$9),"PASS","FAIL")</x:f>
        <x:v>PASS</x:v>
      </x:c>
      <x:c r="N25" s="61" t="str">
        <x:f>IF(AND(J25="PASS",K25="PASS",L25="PASS",M25="PASS"),"PASS","FAIL")</x:f>
        <x:v>PASS</x:v>
      </x:c>
      <x:c r="O25" s="61"/>
      <x:c r="P25" s="61"/>
      <x:c r="Q25" s="61"/>
    </x:row>
    <x:row r="26">
      <x:c r="A26" s="61" t="str">
        <x:v>52.60 / 4.30</x:v>
      </x:c>
      <x:c r="B26" s="77" t="n">
        <x:v>52.6</x:v>
      </x:c>
      <x:c r="C26" s="77" t="n">
        <x:v>4.3</x:v>
      </x:c>
      <x:c r="D26" s="77" t="n">
        <x:v>1.9155843724036783</x:v>
      </x:c>
      <x:c r="E26" s="77" t="n">
        <x:v>6.896103740653242</x:v>
      </x:c>
      <x:c r="F26" s="77" t="n">
        <x:v>17.23436287120762</x:v>
      </x:c>
      <x:c r="G26" s="77" t="n">
        <x:v>45.55207295574172</x:v>
      </x:c>
      <x:c r="H26" s="77" t="n">
        <x:v>98.88505743429093</x:v>
      </x:c>
      <x:c r="I26" s="77" t="n">
        <x:v>342.01808135382356</x:v>
      </x:c>
      <x:c r="J26" s="61" t="str">
        <x:f>IF(AND(E26&gt;=$P$4,E26&lt;=$P$5),"PASS","FAIL")</x:f>
        <x:v>FAIL</x:v>
      </x:c>
      <x:c r="K26" s="61" t="str">
        <x:f>IF(G26&lt;=$P$6,"PASS","FAIL")</x:f>
        <x:v>PASS</x:v>
      </x:c>
      <x:c r="L26" s="61" t="str">
        <x:f>IF(F26&lt;=$P$7,"PASS","FAIL")</x:f>
        <x:v>PASS</x:v>
      </x:c>
      <x:c r="M26" s="61" t="str">
        <x:f>IF(AND(H26&gt;=$P$8,I26&lt;=$P$9),"PASS","FAIL")</x:f>
        <x:v>PASS</x:v>
      </x:c>
      <x:c r="N26" s="61" t="str">
        <x:f>IF(AND(J26="PASS",K26="PASS",L26="PASS",M26="PASS"),"PASS","FAIL")</x:f>
        <x:v>FAIL</x:v>
      </x:c>
      <x:c r="O26" s="61"/>
      <x:c r="P26" s="61"/>
      <x:c r="Q26" s="61"/>
    </x:row>
    <x:row r="27">
      <x:c r="A27" s="61" t="str">
        <x:v>52.65 / 4.30</x:v>
      </x:c>
      <x:c r="B27" s="77" t="n">
        <x:v>52.65</x:v>
      </x:c>
      <x:c r="C27" s="77" t="n">
        <x:v>4.3</x:v>
      </x:c>
      <x:c r="D27" s="77" t="n">
        <x:v>1.9181949349895129</x:v>
      </x:c>
      <x:c r="E27" s="77" t="n">
        <x:v>6.905501765962247</x:v>
      </x:c>
      <x:c r="F27" s="77" t="n">
        <x:v>17.257853105822207</x:v>
      </x:c>
      <x:c r="G27" s="77" t="n">
        <x:v>45.614157857364695</x:v>
      </x:c>
      <x:c r="H27" s="77" t="n">
        <x:v>98.8856631802543</x:v>
      </x:c>
      <x:c r="I27" s="77" t="n">
        <x:v>341.8323118819894</x:v>
      </x:c>
      <x:c r="J27" s="61" t="str">
        <x:f>IF(AND(E27&gt;=$P$4,E27&lt;=$P$5),"PASS","FAIL")</x:f>
        <x:v>PASS</x:v>
      </x:c>
      <x:c r="K27" s="61" t="str">
        <x:f>IF(G27&lt;=$P$6,"PASS","FAIL")</x:f>
        <x:v>PASS</x:v>
      </x:c>
      <x:c r="L27" s="61" t="str">
        <x:f>IF(F27&lt;=$P$7,"PASS","FAIL")</x:f>
        <x:v>PASS</x:v>
      </x:c>
      <x:c r="M27" s="61" t="str">
        <x:f>IF(AND(H27&gt;=$P$8,I27&lt;=$P$9),"PASS","FAIL")</x:f>
        <x:v>PASS</x:v>
      </x:c>
      <x:c r="N27" s="61" t="str">
        <x:f>IF(AND(J27="PASS",K27="PASS",L27="PASS",M27="PASS"),"PASS","FAIL")</x:f>
        <x:v>PASS</x:v>
      </x:c>
      <x:c r="O27" s="61"/>
      <x:c r="P27" s="61"/>
      <x:c r="Q27" s="61"/>
    </x:row>
    <x:row r="28">
      <x:c r="A28" s="61" t="str">
        <x:v>52.65 / 4.290</x:v>
      </x:c>
      <x:c r="B28" s="77" t="n">
        <x:v>52.65</x:v>
      </x:c>
      <x:c r="C28" s="77" t="n">
        <x:v>4.29</x:v>
      </x:c>
      <x:c r="D28" s="77" t="n">
        <x:v>1.9158664047452718</x:v>
      </x:c>
      <x:c r="E28" s="77" t="n">
        <x:v>6.897119057082978</x:v>
      </x:c>
      <x:c r="F28" s="77" t="n">
        <x:v>17.23689444644789</x:v>
      </x:c>
      <x:c r="G28" s="77" t="n">
        <x:v>45.66496546547411</x:v>
      </x:c>
      <x:c r="H28" s="77" t="n">
        <x:v>98.88395159208689</x:v>
      </x:c>
      <x:c r="I28" s="77" t="n">
        <x:v>342.35721962747334</x:v>
      </x:c>
      <x:c r="J28" s="61" t="str">
        <x:f>IF(AND(E28&gt;=$P$4,E28&lt;=$P$5),"PASS","FAIL")</x:f>
        <x:v>FAIL</x:v>
      </x:c>
      <x:c r="K28" s="61" t="str">
        <x:f>IF(G28&lt;=$P$6,"PASS","FAIL")</x:f>
        <x:v>PASS</x:v>
      </x:c>
      <x:c r="L28" s="61" t="str">
        <x:f>IF(F28&lt;=$P$7,"PASS","FAIL")</x:f>
        <x:v>PASS</x:v>
      </x:c>
      <x:c r="M28" s="61" t="str">
        <x:f>IF(AND(H28&gt;=$P$8,I28&lt;=$P$9),"PASS","FAIL")</x:f>
        <x:v>PASS</x:v>
      </x:c>
      <x:c r="N28" s="61" t="str">
        <x:f>IF(AND(J28="PASS",K28="PASS",L28="PASS",M28="PASS"),"PASS","FAIL")</x:f>
        <x:v>FAIL</x:v>
      </x:c>
      <x:c r="O28" s="61"/>
      <x:c r="P28" s="61"/>
      <x:c r="Q28" s="61"/>
    </x:row>
    <x:row r="29">
      <x:c r="A29" s="61" t="str">
        <x:v>52.65 / 4.295</x:v>
      </x:c>
      <x:c r="B29" s="77" t="n">
        <x:v>52.65</x:v>
      </x:c>
      <x:c r="C29" s="77" t="n">
        <x:v>4.295</x:v>
      </x:c>
      <x:c r="D29" s="77" t="n">
        <x:v>1.917031086827258</x:v>
      </x:c>
      <x:c r="E29" s="77" t="n">
        <x:v>6.901311912578129</x:v>
      </x:c>
      <x:c r="F29" s="77" t="n">
        <x:v>17.247377528991624</x:v>
      </x:c>
      <x:c r="G29" s="77" t="n">
        <x:v>45.639542017473474</x:v>
      </x:c>
      <x:c r="H29" s="77" t="n">
        <x:v>98.88480818986883</x:v>
      </x:c>
      <x:c r="I29" s="77" t="n">
        <x:v>342.09451932985843</x:v>
      </x:c>
      <x:c r="J29" s="61" t="str">
        <x:f>IF(AND(E29&gt;=$P$4,E29&lt;=$P$5),"PASS","FAIL")</x:f>
        <x:v>PASS</x:v>
      </x:c>
      <x:c r="K29" s="61" t="str">
        <x:f>IF(G29&lt;=$P$6,"PASS","FAIL")</x:f>
        <x:v>PASS</x:v>
      </x:c>
      <x:c r="L29" s="61" t="str">
        <x:f>IF(F29&lt;=$P$7,"PASS","FAIL")</x:f>
        <x:v>PASS</x:v>
      </x:c>
      <x:c r="M29" s="61" t="str">
        <x:f>IF(AND(H29&gt;=$P$8,I29&lt;=$P$9),"PASS","FAIL")</x:f>
        <x:v>PASS</x:v>
      </x:c>
      <x:c r="N29" s="61" t="str">
        <x:f>IF(AND(J29="PASS",K29="PASS",L29="PASS",M29="PASS"),"PASS","FAIL")</x:f>
        <x:v>PASS</x:v>
      </x:c>
      <x:c r="O29" s="61"/>
      <x:c r="P29" s="61"/>
      <x:c r="Q29" s="61"/>
    </x:row>
    <x:row r="30">
      <x:c r="A30" s="61"/>
      <x:c r="B30" s="61"/>
      <x:c r="C30" s="61"/>
      <x:c r="D30" s="61"/>
      <x:c r="E30" s="61"/>
      <x:c r="F30" s="61"/>
      <x:c r="G30" s="61"/>
      <x:c r="H30" s="61"/>
      <x:c r="I30" s="61"/>
      <x:c r="J30" s="61"/>
      <x:c r="K30" s="61"/>
      <x:c r="L30" s="61"/>
      <x:c r="M30" s="61"/>
      <x:c r="N30" s="61"/>
      <x:c r="O30" s="61"/>
      <x:c r="P30" s="61"/>
      <x:c r="Q30" s="61"/>
    </x:row>
    <x:row r="31" ht="52" customHeight="1">
      <x:c r="A31" s="76" t="str">
        <x:v>Final Engineering Conclusion
Pressure-only control at 52 bar fails production (Qp≈6.594 m³/h). Flow-only control at 55 bar / 4.30 kg/s still violates Recovery (≈48.46%) and Flux (≈18.33 LMH). Under coordinated control, 52.60/4.30 fails Qp while 52.65/4.30 establishes the minimum feasible Pressure. At 52.65 bar, 4.290 kg/s still fails Qp whereas 4.295 kg/s passes all constraints. Final setpoint: 52.65 bar + 4.295 kg/s.</x:v>
      </x:c>
      <x:c r="B31" s="76"/>
      <x:c r="C31" s="76"/>
      <x:c r="D31" s="76"/>
      <x:c r="E31" s="76"/>
      <x:c r="F31" s="76"/>
      <x:c r="G31" s="76"/>
      <x:c r="H31" s="76"/>
      <x:c r="I31" s="76"/>
      <x:c r="J31" s="76"/>
      <x:c r="K31" s="76"/>
      <x:c r="L31" s="76"/>
      <x:c r="M31" s="76"/>
      <x:c r="N31" s="76"/>
      <x:c r="O31" s="61"/>
      <x:c r="P31" s="61"/>
      <x:c r="Q31" s="61"/>
    </x:row>
    <x:row r="32" ht="52" customHeight="1">
      <x:c r="A32" s="76"/>
      <x:c r="B32" s="76"/>
      <x:c r="C32" s="76"/>
      <x:c r="D32" s="76"/>
      <x:c r="E32" s="76"/>
      <x:c r="F32" s="76"/>
      <x:c r="G32" s="76"/>
      <x:c r="H32" s="76"/>
      <x:c r="I32" s="76"/>
      <x:c r="J32" s="76"/>
      <x:c r="K32" s="76"/>
      <x:c r="L32" s="76"/>
      <x:c r="M32" s="76"/>
      <x:c r="N32" s="76"/>
      <x:c r="O32" s="61"/>
      <x:c r="P32" s="61"/>
      <x:c r="Q32" s="61"/>
    </x:row>
    <x:row r="33" ht="52" customHeight="1">
      <x:c r="A33" s="76"/>
      <x:c r="B33" s="76"/>
      <x:c r="C33" s="76"/>
      <x:c r="D33" s="76"/>
      <x:c r="E33" s="76"/>
      <x:c r="F33" s="76"/>
      <x:c r="G33" s="76"/>
      <x:c r="H33" s="76"/>
      <x:c r="I33" s="76"/>
      <x:c r="J33" s="76"/>
      <x:c r="K33" s="76"/>
      <x:c r="L33" s="76"/>
      <x:c r="M33" s="76"/>
      <x:c r="N33" s="76"/>
      <x:c r="O33" s="61"/>
      <x:c r="P33" s="61"/>
      <x:c r="Q33" s="61"/>
    </x:row>
    <x:row r="34" ht="52" customHeight="1">
      <x:c r="A34" s="76"/>
      <x:c r="B34" s="76"/>
      <x:c r="C34" s="76"/>
      <x:c r="D34" s="76"/>
      <x:c r="E34" s="76"/>
      <x:c r="F34" s="76"/>
      <x:c r="G34" s="76"/>
      <x:c r="H34" s="76"/>
      <x:c r="I34" s="76"/>
      <x:c r="J34" s="76"/>
      <x:c r="K34" s="76"/>
      <x:c r="L34" s="76"/>
      <x:c r="M34" s="76"/>
      <x:c r="N34" s="76"/>
      <x:c r="O34" s="61"/>
      <x:c r="P34" s="61"/>
      <x:c r="Q34" s="61"/>
    </x:row>
  </x:sheetData>
  <x:mergeCells>
    <x:mergeCell ref="A1:Q1"/>
    <x:mergeCell ref="A4:N5"/>
    <x:mergeCell ref="A8:F8"/>
    <x:mergeCell ref="A19:N19"/>
    <x:mergeCell ref="A31:N34"/>
  </x:mergeCells>
  <x:conditionalFormatting sqref="J21:J29">
    <x:cfRule type="expression" dxfId="0" priority="1">
      <x:formula>J21="PASS"</x:formula>
    </x:cfRule>
    <x:cfRule type="expression" dxfId="1" priority="2">
      <x:formula>J21="FAIL"</x:formula>
    </x:cfRule>
  </x:conditionalFormatting>
  <x:conditionalFormatting sqref="K21:K29">
    <x:cfRule type="expression" dxfId="2" priority="3">
      <x:formula>K21="PASS"</x:formula>
    </x:cfRule>
    <x:cfRule type="expression" dxfId="3" priority="4">
      <x:formula>K21="FAIL"</x:formula>
    </x:cfRule>
  </x:conditionalFormatting>
  <x:conditionalFormatting sqref="L21:L29">
    <x:cfRule type="expression" dxfId="4" priority="5">
      <x:formula>L21="PASS"</x:formula>
    </x:cfRule>
    <x:cfRule type="expression" dxfId="5" priority="6">
      <x:formula>L21="FAIL"</x:formula>
    </x:cfRule>
  </x:conditionalFormatting>
  <x:conditionalFormatting sqref="M21:M29">
    <x:cfRule type="expression" dxfId="6" priority="7">
      <x:formula>M21="PASS"</x:formula>
    </x:cfRule>
    <x:cfRule type="expression" dxfId="7" priority="8">
      <x:formula>M21="FAIL"</x:formula>
    </x:cfRule>
  </x:conditionalFormatting>
  <x:conditionalFormatting sqref="N21:N29">
    <x:cfRule type="expression" dxfId="8" priority="9">
      <x:formula>N21="PASS"</x:formula>
    </x:cfRule>
    <x:cfRule type="expression" dxfId="9" priority="10">
      <x:formula>N21="FAIL"</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27" hidden="0" customWidth="1"/>
    <x:col min="3" max="3" width="48" hidden="0" customWidth="1"/>
    <x:col min="4" max="4" width="34" hidden="0" customWidth="1"/>
    <x:col min="5" max="5" width="36" hidden="0" customWidth="1"/>
    <x:col min="6" max="6" width="10" hidden="0" customWidth="1"/>
    <x:col min="7" max="7" width="10" hidden="0" customWidth="1"/>
  </x:cols>
  <x:sheetData>
    <x:row r="1">
      <x:c r="A1" s="4" t="str">
        <x:v>D2-2b: Trajectory Quality Rubric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Evaluate the complete state → plan → tool call → observation → update → next action → stopping/decision trajectory. Alternative tool orders may earn full credit only if they respect the item-specific objective, control degrees of freedom, and stopping rule.</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Trajectory dimension</x:v>
      </x:c>
      <x:c r="B8" s="88" t="str">
        <x:v>Evaluation focus</x:v>
      </x:c>
      <x:c r="C8" s="88" t="str">
        <x:v>Full-credit evidence</x:v>
      </x:c>
      <x:c r="D8" s="88" t="str">
        <x:v>Partial credit</x:v>
      </x:c>
      <x:c r="E8" s="88" t="str">
        <x:v>Critical failure mode</x:v>
      </x:c>
      <x:c r="F8" s="88" t="str">
        <x:v>Weight</x:v>
      </x:c>
      <x:c r="G8" s="88" t="str">
        <x:v>Score</x:v>
      </x:c>
    </x:row>
    <x:row r="9">
      <x:c r="A9" s="65" t="str">
        <x:v>TQ1 Problem framing</x:v>
      </x:c>
      <x:c r="B9" s="65" t="str">
        <x:v>Recognize D2-2b and the item-specific objective</x:v>
      </x:c>
      <x:c r="C9" s="65" t="str">
        <x:v>Prune single-variable branches, then complete two-stage boundary search; keep feed, membrane, and area fixed</x:v>
      </x:c>
      <x:c r="D9" s="65" t="str">
        <x:v>Understands setpoint correction but misses part of the special objective</x:v>
      </x:c>
      <x:c r="E9" s="65" t="str">
        <x:v>Changes feed/membrane or turns the task into design</x:v>
      </x:c>
      <x:c r="F9" s="65" t="n">
        <x:v>15</x:v>
      </x:c>
      <x:c r="G9" s="83"/>
    </x:row>
    <x:row r="10">
      <x:c r="A10" s="65" t="str">
        <x:v>TQ2 Plan quality</x:v>
      </x:c>
      <x:c r="B10" s="65" t="str">
        <x:v>Decompose in an information-efficient order</x:v>
      </x:c>
      <x:c r="C10" s="65" t="str">
        <x:v>Use evidence-driven branching/boundary logic rather than enumeration</x:v>
      </x:c>
      <x:c r="D10" s="65" t="str">
        <x:v>Mostly reasonable but skips a key stage</x:v>
      </x:c>
      <x:c r="E10" s="65" t="str">
        <x:v>Brute-force grid or ignores stated priority</x:v>
      </x:c>
      <x:c r="F10" s="65" t="n">
        <x:v>15</x:v>
      </x:c>
      <x:c r="G10" s="83"/>
    </x:row>
    <x:row r="11">
      <x:c r="A11" s="65" t="str">
        <x:v>TQ3 Tool-call correctness</x:v>
      </x:c>
      <x:c r="B11" s="65" t="str">
        <x:v>Change only allowed variables in simulate_ro</x:v>
      </x:c>
      <x:c r="C11" s="65" t="str">
        <x:v>All comparisons keep identical feed/membrane parameters; Pressure/Flow match the item</x:v>
      </x:c>
      <x:c r="D11" s="65" t="str">
        <x:v>Minor input/unit issue</x:v>
      </x:c>
      <x:c r="E11" s="65" t="str">
        <x:v>Changes salinity, temperature, area, A, or B</x:v>
      </x:c>
      <x:c r="F11" s="65" t="n">
        <x:v>20</x:v>
      </x:c>
      <x:c r="G11" s="83"/>
    </x:row>
    <x:row r="12">
      <x:c r="A12" s="65" t="str">
        <x:v>TQ4 Observation interpretation</x:v>
      </x:c>
      <x:c r="B12" s="65" t="str">
        <x:v>Read active constraints and FAIL/PASS precisely</x:v>
      </x:c>
      <x:c r="C12" s="65" t="str">
        <x:v>Pressure-only control at 52 bar fails production (Qp≈6.594 m³/h). Flow-only control at 55 bar / 4.30 kg/s still violates Recovery </x:v>
      </x:c>
      <x:c r="D12" s="65" t="str">
        <x:v>Mostly correct but misses one boundary or failure mechanism</x:v>
      </x:c>
      <x:c r="E12" s="65" t="str">
        <x:v>Rounds near-fail to PASS or treats one passing metric as overall success</x:v>
      </x:c>
      <x:c r="F12" s="65" t="n">
        <x:v>20</x:v>
      </x:c>
      <x:c r="G12" s="83"/>
    </x:row>
    <x:row r="13">
      <x:c r="A13" s="65" t="str">
        <x:v>TQ5 Adaptation and pruning</x:v>
      </x:c>
      <x:c r="B13" s="65" t="str">
        <x:v>Let each result determine the next action</x:v>
      </x:c>
      <x:c r="C13" s="65" t="str">
        <x:v>Prune single-variable branches, then complete two-stage boundary search; stop once evidence is sufficient</x:v>
      </x:c>
      <x:c r="D13" s="65" t="str">
        <x:v>Some redundancy</x:v>
      </x:c>
      <x:c r="E13" s="65" t="str">
        <x:v>Continues disproved branches or performs unstructured enumeration</x:v>
      </x:c>
      <x:c r="F13" s="65" t="n">
        <x:v>20</x:v>
      </x:c>
      <x:c r="G13" s="83"/>
    </x:row>
    <x:row r="14">
      <x:c r="A14" s="65" t="str">
        <x:v>TQ6 Final decision</x:v>
      </x:c>
      <x:c r="B14" s="65" t="str">
        <x:v>Deliver the conclusion required by this objective</x:v>
      </x:c>
      <x:c r="C14" s="65" t="str">
        <x:v> minimum feasible Pressure. At 52.65 bar, 4.290 kg/s still fails Qp whereas 4.295 kg/s passes all constraints. Final setpoint: 52.65 bar + 4.295 kg/s.</x:v>
      </x:c>
      <x:c r="D14" s="65" t="str">
        <x:v>Correct endpoint/conclusion with weak rationale</x:v>
      </x:c>
      <x:c r="E14" s="65" t="str">
        <x:v>Blindly applies the original 'minimum Pressure' objective</x:v>
      </x:c>
      <x:c r="F14" s="65" t="n">
        <x:v>10</x:v>
      </x:c>
      <x:c r="G14" s="83"/>
    </x:row>
    <x:row r="15">
      <x:c r="A15" s="61"/>
      <x:c r="B15" s="61"/>
      <x:c r="C15" s="61"/>
      <x:c r="D15" s="61"/>
      <x:c r="E15" s="61"/>
      <x:c r="F15" s="61"/>
      <x:c r="G15" s="61"/>
    </x:row>
    <x:row r="16">
      <x:c r="A16" s="61"/>
      <x:c r="B16" s="61"/>
      <x:c r="C16" s="61"/>
      <x:c r="D16" s="61"/>
      <x:c r="E16" s="84" t="str">
        <x:v>Trajectory Quality Total</x:v>
      </x:c>
      <x:c r="F16" s="84" t="n">
        <x:v>100</x:v>
      </x:c>
      <x:c r="G16" s="84" t="n">
        <x:f>SUM(G9:G14)</x:f>
        <x:v>0</x:v>
      </x:c>
    </x:row>
  </x:sheetData>
  <x:mergeCells>
    <x:mergeCell ref="A1:G1"/>
    <x:mergeCell ref="A4:G5"/>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8" hidden="0" customWidth="1"/>
    <x:col min="3" max="3" width="35" hidden="0" customWidth="1"/>
    <x:col min="4" max="4" width="35" hidden="0" customWidth="1"/>
    <x:col min="5" max="5" width="35" hidden="0" customWidth="1"/>
    <x:col min="6" max="6" width="48" hidden="0" customWidth="1"/>
    <x:col min="7" max="7" width="10" hidden="0" customWidth="1"/>
  </x:cols>
  <x:sheetData>
    <x:row r="1">
      <x:c r="A1" s="4" t="str">
        <x:v>D2-2b: Tool Usage Efficiency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Tool efficiency is scored separately (100 points). The primary scientific tool is simulate_ro. Item focus: ~9 simulate_ro evidence points; branch pruning and two-stage bracketing are essential. Call count is secondary to information gain, adaptation, pruning, and evidence-based stopping.</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Efficiency dimension</x:v>
      </x:c>
      <x:c r="B8" s="88" t="str">
        <x:v>Evaluation focus</x:v>
      </x:c>
      <x:c r="C8" s="88" t="str">
        <x:v>High performance</x:v>
      </x:c>
      <x:c r="D8" s="88" t="str">
        <x:v>Medium performance</x:v>
      </x:c>
      <x:c r="E8" s="88" t="str">
        <x:v>Low performance</x:v>
      </x:c>
      <x:c r="F8" s="88" t="str">
        <x:v>Item-specific observation</x:v>
      </x:c>
      <x:c r="G8" s="88" t="str">
        <x:v>Points</x:v>
      </x:c>
    </x:row>
    <x:row r="9">
      <x:c r="A9" s="65" t="str">
        <x:v>E1 Tool selection</x:v>
      </x:c>
      <x:c r="B9" s="65" t="str">
        <x:v>Use only tools relevant to operating setpoints</x:v>
      </x:c>
      <x:c r="C9" s="65" t="str">
        <x:v>Primarily simulate_ro; no unrelated plant/chemistry calls</x:v>
      </x:c>
      <x:c r="D9" s="65" t="str">
        <x:v>Minor irrelevant calls</x:v>
      </x:c>
      <x:c r="E9" s="65" t="str">
        <x:v>Wrong tool or excessive metadata</x:v>
      </x:c>
      <x:c r="F9" s="65" t="str">
        <x:v>~9 simulate_ro evidence points; branch pruning and two-stage bracketing are essential.</x:v>
      </x:c>
      <x:c r="G9" s="65" t="n">
        <x:v>20</x:v>
      </x:c>
    </x:row>
    <x:row r="10">
      <x:c r="A10" s="65" t="str">
        <x:v>E2 Information gain</x:v>
      </x:c>
      <x:c r="B10" s="65" t="str">
        <x:v>Test the most discriminating points first</x:v>
      </x:c>
      <x:c r="C10" s="65" t="str">
        <x:v>Key branch/boundary/upper-corner tests first</x:v>
      </x:c>
      <x:c r="D10" s="65" t="str">
        <x:v>Mostly reasonable order</x:v>
      </x:c>
      <x:c r="E10" s="65" t="str">
        <x:v>Dense full-grid search first</x:v>
      </x:c>
      <x:c r="F10" s="65" t="str">
        <x:v>~9 simulate_ro evidence points; branch pruning and two-stage bracketing are essential.</x:v>
      </x:c>
      <x:c r="G10" s="65" t="n">
        <x:v>20</x:v>
      </x:c>
    </x:row>
    <x:row r="11">
      <x:c r="A11" s="65" t="str">
        <x:v>E3 Adaptation</x:v>
      </x:c>
      <x:c r="B11" s="65" t="str">
        <x:v>Let each result trigger the next call</x:v>
      </x:c>
      <x:c r="C11" s="65" t="str">
        <x:v>FAIL/PASS directly determines the next action</x:v>
      </x:c>
      <x:c r="D11" s="65" t="str">
        <x:v>Partly adaptive</x:v>
      </x:c>
      <x:c r="E11" s="65" t="str">
        <x:v>Preset enumeration ignores results</x:v>
      </x:c>
      <x:c r="F11" s="65" t="str">
        <x:v>~9 simulate_ro evidence points; branch pruning and two-stage bracketing are essential.</x:v>
      </x:c>
      <x:c r="G11" s="65" t="n">
        <x:v>20</x:v>
      </x:c>
    </x:row>
    <x:row r="12">
      <x:c r="A12" s="65" t="str">
        <x:v>E4 Pruning</x:v>
      </x:c>
      <x:c r="B12" s="65" t="str">
        <x:v>Stop invalid branches once proven</x:v>
      </x:c>
      <x:c r="C12" s="65" t="str">
        <x:v>Prompt stopping; no equivalent repeats</x:v>
      </x:c>
      <x:c r="D12" s="65" t="str">
        <x:v>Some repetition</x:v>
      </x:c>
      <x:c r="E12" s="65" t="str">
        <x:v>Keeps testing disproved options</x:v>
      </x:c>
      <x:c r="F12" s="65" t="str">
        <x:v>~9 simulate_ro evidence points; branch pruning and two-stage bracketing are essential.</x:v>
      </x:c>
      <x:c r="G12" s="65" t="n">
        <x:v>20</x:v>
      </x:c>
    </x:row>
    <x:row r="13">
      <x:c r="A13" s="65" t="str">
        <x:v>E5 Convergence</x:v>
      </x:c>
      <x:c r="B13" s="65" t="str">
        <x:v>Use minimal but sufficient evidence</x:v>
      </x:c>
      <x:c r="C13" s="65" t="str">
        <x:v>Call budget matches the item structure</x:v>
      </x:c>
      <x:c r="D13" s="65" t="str">
        <x:v>2–3 extra calls but still reasonable</x:v>
      </x:c>
      <x:c r="E13" s="65" t="str">
        <x:v>Too many calls or missing critical evidence</x:v>
      </x:c>
      <x:c r="F13" s="65" t="str">
        <x:v>~9 simulate_ro evidence points; branch pruning and two-stage bracketing are essential.</x:v>
      </x:c>
      <x:c r="G13" s="65" t="n">
        <x:v>20</x:v>
      </x:c>
    </x:row>
    <x:row r="14">
      <x:c r="A14" s="61"/>
      <x:c r="B14" s="61"/>
      <x:c r="C14" s="61"/>
      <x:c r="D14" s="61"/>
      <x:c r="E14" s="61"/>
      <x:c r="F14" s="61"/>
      <x:c r="G14" s="61"/>
    </x:row>
    <x:row r="15">
      <x:c r="A15" s="61"/>
      <x:c r="B15" s="61"/>
      <x:c r="C15" s="61"/>
      <x:c r="D15" s="61"/>
      <x:c r="E15" s="61"/>
      <x:c r="F15" s="84" t="str">
        <x:v>Tool Efficiency Total</x:v>
      </x:c>
      <x:c r="G15" s="84" t="n">
        <x:v>100</x:v>
      </x:c>
    </x:row>
  </x:sheetData>
  <x:mergeCells>
    <x:mergeCell ref="A1:G1"/>
    <x:mergeCell ref="A4:G5"/>
  </x:mergeCells>
  <x:pageMargins left="0.7" right="0.7" top="0.75" bottom="0.75" header="0.3" footer="0.3"/>
</x:worksheet>
</file>