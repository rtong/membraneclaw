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2d0304e5a245c0" /></Relationships>
</file>

<file path=xl/workbook.xml><?xml version="1.0" encoding="utf-8"?>
<x:workbook xmlns:x="http://schemas.openxmlformats.org/spreadsheetml/2006/main">
  <x:sheets>
    <x:sheet xmlns:r="http://schemas.openxmlformats.org/officeDocument/2006/relationships" name="Question" sheetId="1" r:id="Rb93b9fbebd574d5b"/>
    <x:sheet xmlns:r="http://schemas.openxmlformats.org/officeDocument/2006/relationships" name="Gold_Answer" sheetId="2" r:id="Rd9a0e45a6952434d"/>
    <x:sheet xmlns:r="http://schemas.openxmlformats.org/officeDocument/2006/relationships" name="Trajectory_Rubric" sheetId="3" r:id="R806d3d0edf5b449a"/>
    <x:sheet xmlns:r="http://schemas.openxmlformats.org/officeDocument/2006/relationships" name="Tool_Efficiency" sheetId="4" r:id="Rb6163e4ea42c41a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
  </x:numFmts>
  <x:fonts count="14">
    <x:font>
      <x:sz val="11"/>
      <x:name val="Carlito"/>
    </x:font>
    <x:font>
      <x:b/>
      <x:sz val="15"/>
      <x:color rgb="FFFFFFFF"/>
      <x:name val="Carlito"/>
    </x:font>
    <x:font>
      <x:sz val="10"/>
      <x:name val="Carlito"/>
    </x:font>
    <x:font>
      <x:b/>
      <x:sz val="11"/>
      <x:color rgb="FF1F1F1F"/>
      <x:name val="Carlito"/>
    </x:font>
    <x:font>
      <x:b/>
      <x:sz val="11"/>
      <x:color rgb="FFFFFFFF"/>
      <x:name val="Carlito"/>
    </x:font>
    <x:font>
      <x:b/>
      <x:sz val="11"/>
      <x:name val="Carlito"/>
    </x:font>
    <x:font>
      <x:b/>
      <x:sz val="15"/>
      <x:color rgb="FFFFFFFF"/>
      <x:name val="Aptos"/>
    </x:font>
    <x:font>
      <x:sz val="11"/>
      <x:name val="Aptos"/>
    </x:font>
    <x:font>
      <x:sz val="10"/>
      <x:name val="Aptos"/>
    </x:font>
    <x:font>
      <x:b/>
      <x:sz val="11"/>
      <x:color rgb="FF1F1F1F"/>
      <x:name val="Aptos"/>
    </x:font>
    <x:font>
      <x:b/>
      <x:sz val="11"/>
      <x:name val="Aptos"/>
    </x:font>
    <x:font>
      <x:b/>
      <x:sz val="11"/>
      <x:color rgb="FFFFFFFF"/>
      <x:name val="Aptos"/>
    </x:font>
    <x:font>
      <x:b/>
      <x:sz val="14"/>
      <x:color rgb="FFFFFFFF"/>
      <x:name val="Carlito"/>
    </x:font>
    <x:font>
      <x:b/>
      <x:sz val="14"/>
      <x:color rgb="FFFFFFFF"/>
      <x:name val="Aptos"/>
    </x:font>
  </x:fonts>
  <x:fills count="8">
    <x:fill>
      <x:patternFill patternType="none"/>
    </x:fill>
    <x:fill>
      <x:patternFill patternType="gray125"/>
    </x:fill>
    <x:fill>
      <x:patternFill patternType="solid">
        <x:fgColor rgb="FF1F4E78"/>
      </x:patternFill>
    </x:fill>
    <x:fill>
      <x:patternFill patternType="solid">
        <x:fgColor rgb="FFF7FBFF"/>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6" fillId="2" borderId="0" xfId="0" applyNumberFormat="1" applyFont="1" applyFill="1" applyBorder="1" applyAlignment="1">
      <x:alignment horizontal="center" vertical="center"/>
    </x:xf>
    <x:xf numFmtId="0" fontId="7" fillId="0" borderId="0" xfId="0" applyNumberFormat="1" applyFont="1" applyFill="1" applyBorder="1"/>
    <x:xf numFmtId="0" fontId="8" fillId="3" borderId="0" xfId="0" applyNumberFormat="1" applyFont="1" applyFill="1" applyBorder="1" applyAlignment="1">
      <x:alignment vertical="top" wrapText="1"/>
    </x:xf>
    <x:xf numFmtId="0" fontId="9" fillId="4" borderId="0" xfId="0" applyNumberFormat="1" applyFont="1" applyFill="1" applyBorder="1" applyAlignment="1">
      <x:alignment horizontal="center"/>
    </x:xf>
    <x:xf numFmtId="0" fontId="10" fillId="4" borderId="0" xfId="0" applyNumberFormat="1" applyFont="1" applyFill="1" applyBorder="1" applyAlignment="1">
      <x:alignment horizontal="center"/>
    </x:xf>
    <x:xf numFmtId="0" fontId="11" fillId="5"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6"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6" fillId="2" borderId="1" xfId="0" applyNumberFormat="1" applyFont="1" applyFill="1" applyBorder="1" applyAlignment="1">
      <x:alignment horizontal="center" vertical="center"/>
    </x:xf>
    <x:xf numFmtId="0" fontId="7" fillId="0" borderId="1" xfId="0" applyNumberFormat="1" applyFont="1" applyFill="1" applyBorder="1"/>
    <x:xf numFmtId="0" fontId="8" fillId="3" borderId="1" xfId="0" applyNumberFormat="1" applyFont="1" applyFill="1" applyBorder="1" applyAlignment="1">
      <x:alignment vertical="top" wrapText="1"/>
    </x:xf>
    <x:xf numFmtId="0" fontId="9" fillId="4" borderId="1" xfId="0" applyNumberFormat="1" applyFont="1" applyFill="1" applyBorder="1" applyAlignment="1">
      <x:alignment horizontal="center"/>
    </x:xf>
    <x:xf numFmtId="0" fontId="10" fillId="4" borderId="1" xfId="0" applyNumberFormat="1" applyFont="1" applyFill="1" applyBorder="1" applyAlignment="1">
      <x:alignment horizontal="center"/>
    </x:xf>
    <x:xf numFmtId="0" fontId="11" fillId="5"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7" fillId="6"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6" fillId="2" borderId="0" xfId="0" applyNumberFormat="1" applyFont="1" applyFill="1" applyBorder="1" applyAlignment="1">
      <x:alignment horizontal="center"/>
    </x:xf>
    <x:xf numFmtId="0" fontId="7" fillId="3" borderId="0" xfId="0" applyNumberFormat="1" applyFont="1" applyFill="1" applyBorder="1" applyAlignment="1">
      <x:alignment wrapText="1"/>
    </x:xf>
    <x:xf numFmtId="200" fontId="7" fillId="0" borderId="0"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0" fontId="7" fillId="7" borderId="0" xfId="0" applyNumberFormat="1" applyFont="1" applyFill="1" applyBorder="1" applyAlignment="1">
      <x:alignment vertical="top" wrapText="1"/>
    </x:xf>
    <x:xf numFmtId="0" fontId="6" fillId="2" borderId="1" xfId="0" applyNumberFormat="1" applyFont="1" applyFill="1" applyBorder="1" applyAlignment="1">
      <x:alignment horizontal="center"/>
    </x:xf>
    <x:xf numFmtId="0" fontId="7" fillId="3" borderId="1" xfId="0" applyNumberFormat="1" applyFont="1" applyFill="1" applyBorder="1" applyAlignment="1">
      <x:alignment wrapText="1"/>
    </x:xf>
    <x:xf numFmtId="200" fontId="7" fillId="0" borderId="1" xfId="0" applyNumberFormat="1" applyFont="1" applyFill="1" applyBorder="1" applyAlignment="1">
      <x:alignment vertical="center" wrapText="1"/>
    </x:xf>
    <x:xf numFmtId="201" fontId="7" fillId="0" borderId="1" xfId="0" applyNumberFormat="1" applyFont="1" applyFill="1" applyBorder="1" applyAlignment="1">
      <x:alignment vertical="center" wrapText="1"/>
    </x:xf>
    <x:xf numFmtId="0" fontId="7" fillId="7"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1" xfId="0" applyNumberFormat="1" applyFont="1" applyFill="1" applyBorder="1"/>
    <x:xf numFmtId="0" fontId="12" fillId="2" borderId="1" xfId="0" applyNumberFormat="1" applyFont="1" applyFill="1" applyBorder="1" applyAlignment="1">
      <x:alignment horizontal="center"/>
    </x:xf>
    <x:xf numFmtId="0" fontId="13" fillId="2" borderId="0" xfId="0" applyNumberFormat="1" applyFont="1" applyFill="1" applyBorder="1" applyAlignment="1">
      <x:alignment horizontal="center"/>
    </x:xf>
    <x:xf numFmtId="0" fontId="13" fillId="2" borderId="1" xfId="0" applyNumberFormat="1" applyFont="1" applyFill="1" applyBorder="1" applyAlignment="1">
      <x:alignment horizontal="center"/>
    </x:xf>
  </x:cellXfs>
  <x:cellStyles count="1">
    <x:cellStyle name="Normal" xfId="0"/>
  </x:cellStyles>
  <x:dxfs count="2">
    <x:dxf>
      <x:fill>
        <x:patternFill patternType="solid">
          <x:bgColor rgb="FFC6E0B4"/>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8a589e99f646d5" /><Relationship Type="http://schemas.openxmlformats.org/officeDocument/2006/relationships/theme" Target="/xl/theme/theme1.xml" Id="R980c57c0fb304e95" /><Relationship Type="http://schemas.openxmlformats.org/officeDocument/2006/relationships/sharedStrings" Target="/xl/sharedStrings.xml" Id="R47d3f59748ea4e7d" /><Relationship Type="http://schemas.openxmlformats.org/officeDocument/2006/relationships/worksheet" Target="/xl/worksheets/sheet1.xml" Id="Rb93b9fbebd574d5b" /><Relationship Type="http://schemas.openxmlformats.org/officeDocument/2006/relationships/worksheet" Target="/xl/worksheets/sheet2.xml" Id="Rd9a0e45a6952434d" /><Relationship Type="http://schemas.openxmlformats.org/officeDocument/2006/relationships/worksheet" Target="/xl/worksheets/sheet3.xml" Id="R806d3d0edf5b449a" /><Relationship Type="http://schemas.openxmlformats.org/officeDocument/2006/relationships/worksheet" Target="/xl/worksheets/sheet4.xml" Id="Rb6163e4ea42c41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22" hidden="0" customWidth="1"/>
    <x:col min="3" max="3" width="14" hidden="0" customWidth="1"/>
    <x:col min="4" max="4" width="20" hidden="0" customWidth="1"/>
    <x:col min="5" max="5" width="3" hidden="0" customWidth="1"/>
    <x:col min="6" max="6" width="20" hidden="0" customWidth="1"/>
    <x:col min="7" max="7" width="28" hidden="0" customWidth="1"/>
    <x:col min="8" max="8" width="25" hidden="0" customWidth="1"/>
  </x:cols>
  <x:sheetData>
    <x:row r="1" ht="28" customHeight="1">
      <x:c r="A1" s="51" t="str">
        <x:v>D2-2a: Production Protection During a Heatwave</x:v>
      </x:c>
      <x:c r="B1" s="51"/>
      <x:c r="C1" s="51"/>
      <x:c r="D1" s="51"/>
      <x:c r="E1" s="51"/>
      <x:c r="F1" s="51"/>
      <x:c r="G1" s="51"/>
      <x:c r="H1" s="51"/>
    </x:row>
    <x:row r="2">
      <x:c r="A2" s="52"/>
      <x:c r="B2" s="52"/>
      <x:c r="C2" s="52"/>
      <x:c r="D2" s="52"/>
      <x:c r="E2" s="52"/>
      <x:c r="F2" s="52"/>
      <x:c r="G2" s="52"/>
      <x:c r="H2" s="52"/>
    </x:row>
    <x:row r="3">
      <x:c r="A3" s="53" t="str">
        <x:v>An operating SWRO train is stable at 32°C, 52 bar, and 4.073 kg/s. During a heatwave, intake temperature is expected to rise to 38°C for several hours. Membrane type, membrane area, and feed flow must remain unchanged; operators may adjust only the high-pressure pump setpoint. Quantify the temperature disturbance at the unchanged setpoint, then determine the minimum pressure that satisfies all operating constraints to 0.01 bar. The boundary must be supported by adjacent fail/pass simulations.</x:v>
      </x:c>
      <x:c r="B3" s="53"/>
      <x:c r="C3" s="53"/>
      <x:c r="D3" s="53"/>
      <x:c r="E3" s="53"/>
      <x:c r="F3" s="53"/>
      <x:c r="G3" s="53"/>
      <x:c r="H3" s="53"/>
    </x:row>
    <x:row r="4">
      <x:c r="A4" s="53"/>
      <x:c r="B4" s="53"/>
      <x:c r="C4" s="53"/>
      <x:c r="D4" s="53"/>
      <x:c r="E4" s="53"/>
      <x:c r="F4" s="53"/>
      <x:c r="G4" s="53"/>
      <x:c r="H4" s="53"/>
    </x:row>
    <x:row r="5">
      <x:c r="A5" s="53"/>
      <x:c r="B5" s="53"/>
      <x:c r="C5" s="53"/>
      <x:c r="D5" s="53"/>
      <x:c r="E5" s="53"/>
      <x:c r="F5" s="53"/>
      <x:c r="G5" s="53"/>
      <x:c r="H5" s="53"/>
    </x:row>
    <x:row r="6">
      <x:c r="A6" s="52"/>
      <x:c r="B6" s="52"/>
      <x:c r="C6" s="52"/>
      <x:c r="D6" s="52"/>
      <x:c r="E6" s="52"/>
      <x:c r="F6" s="52"/>
      <x:c r="G6" s="52"/>
      <x:c r="H6" s="52"/>
    </x:row>
    <x:row r="7">
      <x:c r="A7" s="54" t="str">
        <x:v>Fixed system parameters</x:v>
      </x:c>
      <x:c r="B7" s="54"/>
      <x:c r="C7" s="54"/>
      <x:c r="D7" s="54"/>
      <x:c r="E7" s="52"/>
      <x:c r="F7" s="55" t="str">
        <x:v>Disturbance and operating constraints</x:v>
      </x:c>
      <x:c r="G7" s="55"/>
      <x:c r="H7" s="55"/>
    </x:row>
    <x:row r="8">
      <x:c r="A8" s="56" t="str">
        <x:v>Category</x:v>
      </x:c>
      <x:c r="B8" s="56" t="str">
        <x:v>Parameter</x:v>
      </x:c>
      <x:c r="C8" s="56" t="str">
        <x:v>Value</x:v>
      </x:c>
      <x:c r="D8" s="56" t="str">
        <x:v>Unit / note</x:v>
      </x:c>
      <x:c r="E8" s="52"/>
      <x:c r="F8" s="56" t="str">
        <x:v>Item</x:v>
      </x:c>
      <x:c r="G8" s="56" t="str">
        <x:v>Requirement / value</x:v>
      </x:c>
      <x:c r="H8" s="56" t="str">
        <x:v>Note</x:v>
      </x:c>
    </x:row>
    <x:row r="9">
      <x:c r="A9" s="57" t="str">
        <x:v>Feed</x:v>
      </x:c>
      <x:c r="B9" s="57" t="str">
        <x:v>NaCl mass fraction</x:v>
      </x:c>
      <x:c r="C9" s="57" t="n">
        <x:v>0.03</x:v>
      </x:c>
      <x:c r="D9" s="57" t="str">
        <x:v>WaterTAP equivalent</x:v>
      </x:c>
      <x:c r="E9" s="52"/>
      <x:c r="F9" s="57" t="str">
        <x:v>Heatwave disturbance</x:v>
      </x:c>
      <x:c r="G9" s="57" t="str">
        <x:v>38°C</x:v>
      </x:c>
      <x:c r="H9" s="57" t="str">
        <x:v>Other feed conditions unchanged</x:v>
      </x:c>
    </x:row>
    <x:row r="10">
      <x:c r="A10" s="57" t="str">
        <x:v>Normal setpoint</x:v>
      </x:c>
      <x:c r="B10" s="57" t="str">
        <x:v>Feed pressure</x:v>
      </x:c>
      <x:c r="C10" s="57" t="n">
        <x:v>52</x:v>
      </x:c>
      <x:c r="D10" s="57" t="str">
        <x:v>bar</x:v>
      </x:c>
      <x:c r="E10" s="52"/>
      <x:c r="F10" s="57" t="str">
        <x:v>Control freedom</x:v>
      </x:c>
      <x:c r="G10" s="57" t="str">
        <x:v>Pressure only: 50.5–58 bar; feed flow fixed at 4.073 kg/s</x:v>
      </x:c>
      <x:c r="H10" s="57" t="str"/>
    </x:row>
    <x:row r="11">
      <x:c r="A11" s="57" t="str">
        <x:v>Normal setpoint</x:v>
      </x:c>
      <x:c r="B11" s="57" t="str">
        <x:v>Feed mass flow</x:v>
      </x:c>
      <x:c r="C11" s="57" t="n">
        <x:v>4.073</x:v>
      </x:c>
      <x:c r="D11" s="57" t="str">
        <x:v>kg/s</x:v>
      </x:c>
      <x:c r="E11" s="52"/>
      <x:c r="F11" s="57" t="str">
        <x:v>Permeate flow</x:v>
      </x:c>
      <x:c r="G11" s="57" t="str">
        <x:v>≥ 6.50 m³/h</x:v>
      </x:c>
      <x:c r="H11" s="57" t="str">
        <x:v>Hard constraint</x:v>
      </x:c>
    </x:row>
    <x:row r="12">
      <x:c r="A12" s="57" t="str">
        <x:v>Feed</x:v>
      </x:c>
      <x:c r="B12" s="57" t="str">
        <x:v>Normal temperature</x:v>
      </x:c>
      <x:c r="C12" s="57" t="n">
        <x:v>32</x:v>
      </x:c>
      <x:c r="D12" s="57" t="str">
        <x:v>°C</x:v>
      </x:c>
      <x:c r="E12" s="52"/>
      <x:c r="F12" s="57" t="str">
        <x:v>Recovery</x:v>
      </x:c>
      <x:c r="G12" s="57" t="str">
        <x:v>≤ 46.5%</x:v>
      </x:c>
      <x:c r="H12" s="57" t="str">
        <x:v>Operating limit</x:v>
      </x:c>
    </x:row>
    <x:row r="13">
      <x:c r="A13" s="57" t="str">
        <x:v>Membrane</x:v>
      </x:c>
      <x:c r="B13" s="57" t="str">
        <x:v>Effective membrane area</x:v>
      </x:c>
      <x:c r="C13" s="57" t="n">
        <x:v>400</x:v>
      </x:c>
      <x:c r="D13" s="57" t="str">
        <x:v>m², fixed</x:v>
      </x:c>
      <x:c r="E13" s="52"/>
      <x:c r="F13" s="57" t="str">
        <x:v>Flux</x:v>
      </x:c>
      <x:c r="G13" s="57" t="str">
        <x:v>≤ 18.0 LMH</x:v>
      </x:c>
      <x:c r="H13" s="57" t="str">
        <x:v>Operating limit</x:v>
      </x:c>
    </x:row>
    <x:row r="14">
      <x:c r="A14" s="57" t="str">
        <x:v>Membrane</x:v>
      </x:c>
      <x:c r="B14" s="57" t="str">
        <x:v>A_comp</x:v>
      </x:c>
      <x:c r="C14" s="57" t="n">
        <x:v>4.2e-12</x:v>
      </x:c>
      <x:c r="D14" s="57" t="str">
        <x:v>m/s/Pa, fixed</x:v>
      </x:c>
      <x:c r="E14" s="52"/>
      <x:c r="F14" s="57" t="str">
        <x:v>Salt rejection</x:v>
      </x:c>
      <x:c r="G14" s="57" t="str">
        <x:v>≥ 98.7%</x:v>
      </x:c>
      <x:c r="H14" s="57" t="str">
        <x:v>Quality</x:v>
      </x:c>
    </x:row>
    <x:row r="15">
      <x:c r="A15" s="57" t="str">
        <x:v>Membrane</x:v>
      </x:c>
      <x:c r="B15" s="57" t="str">
        <x:v>B_comp</x:v>
      </x:c>
      <x:c r="C15" s="57" t="n">
        <x:v>3.4e-8</x:v>
      </x:c>
      <x:c r="D15" s="57" t="str">
        <x:v>m/s, fixed</x:v>
      </x:c>
      <x:c r="E15" s="52"/>
      <x:c r="F15" s="57" t="str">
        <x:v>Permeate NaCl</x:v>
      </x:c>
      <x:c r="G15" s="57" t="str">
        <x:v>≤ 400 mg/L</x:v>
      </x:c>
      <x:c r="H15" s="57" t="str">
        <x:v>Quality</x:v>
      </x:c>
    </x:row>
    <x:row r="16">
      <x:c r="A16" s="57" t="str">
        <x:v>Hydraulics</x:v>
      </x:c>
      <x:c r="B16" s="57" t="str">
        <x:v>Permeate pressure</x:v>
      </x:c>
      <x:c r="C16" s="57" t="n">
        <x:v>1.013</x:v>
      </x:c>
      <x:c r="D16" s="57" t="str">
        <x:v>bar</x:v>
      </x:c>
      <x:c r="E16" s="52"/>
      <x:c r="F16" s="52"/>
      <x:c r="G16" s="52"/>
      <x:c r="H16" s="52"/>
    </x:row>
    <x:row r="17">
      <x:c r="A17" s="57" t="str">
        <x:v>Hydraulics</x:v>
      </x:c>
      <x:c r="B17" s="57" t="str">
        <x:v>Module pressure drop</x:v>
      </x:c>
      <x:c r="C17" s="57" t="n">
        <x:v>0.653</x:v>
      </x:c>
      <x:c r="D17" s="57" t="str">
        <x:v>bar</x:v>
      </x:c>
      <x:c r="E17" s="52"/>
      <x:c r="F17" s="52"/>
      <x:c r="G17" s="52"/>
      <x:c r="H17" s="52"/>
    </x:row>
    <x:row r="18">
      <x:c r="A18" s="57" t="str">
        <x:v>Channel</x:v>
      </x:c>
      <x:c r="B18" s="57" t="str">
        <x:v>Channel height</x:v>
      </x:c>
      <x:c r="C18" s="57" t="n">
        <x:v>0.002</x:v>
      </x:c>
      <x:c r="D18" s="57" t="str">
        <x:v>m</x:v>
      </x:c>
      <x:c r="E18" s="52"/>
      <x:c r="F18" s="52"/>
      <x:c r="G18" s="52"/>
      <x:c r="H18" s="52"/>
    </x:row>
    <x:row r="19">
      <x:c r="A19" s="57" t="str">
        <x:v>Channel</x:v>
      </x:c>
      <x:c r="B19" s="57" t="str">
        <x:v>Spacer porosity</x:v>
      </x:c>
      <x:c r="C19" s="57" t="n">
        <x:v>0.75</x:v>
      </x:c>
      <x:c r="D19" s="57" t="str">
        <x:v>-</x:v>
      </x:c>
      <x:c r="E19" s="52"/>
      <x:c r="F19" s="52"/>
      <x:c r="G19" s="52"/>
      <x:c r="H19" s="52"/>
    </x:row>
    <x:row r="20">
      <x:c r="A20" s="57" t="str">
        <x:v>Channel</x:v>
      </x:c>
      <x:c r="B20" s="57" t="str">
        <x:v>Equivalent channel length</x:v>
      </x:c>
      <x:c r="C20" s="57" t="n">
        <x:v>20</x:v>
      </x:c>
      <x:c r="D20" s="57" t="str">
        <x:v>m</x:v>
      </x:c>
      <x:c r="E20" s="52"/>
      <x:c r="F20" s="52"/>
      <x:c r="G20" s="52"/>
      <x:c r="H20" s="52"/>
    </x:row>
    <x:row r="21">
      <x:c r="A21" s="57" t="str">
        <x:v>Model</x:v>
      </x:c>
      <x:c r="B21" s="57" t="str">
        <x:v>CP / mass-transfer coefficient</x:v>
      </x:c>
      <x:c r="C21" s="57" t="str">
        <x:v>calculated</x:v>
      </x:c>
      <x:c r="D21" s="57" t="str">
        <x:v>WaterTAP calculated</x:v>
      </x:c>
      <x:c r="E21" s="52"/>
      <x:c r="F21" s="52"/>
      <x:c r="G21" s="52"/>
      <x:c r="H21" s="52"/>
    </x:row>
    <x:row r="22">
      <x:c r="A22" s="52"/>
      <x:c r="B22" s="52"/>
      <x:c r="C22" s="52"/>
      <x:c r="D22" s="52"/>
      <x:c r="E22" s="52"/>
      <x:c r="F22" s="52"/>
      <x:c r="G22" s="52"/>
      <x:c r="H22" s="52"/>
    </x:row>
    <x:row r="23">
      <x:c r="A23" s="52"/>
      <x:c r="B23" s="52"/>
      <x:c r="C23" s="52"/>
      <x:c r="D23" s="52"/>
      <x:c r="E23" s="52"/>
      <x:c r="F23" s="52"/>
      <x:c r="G23" s="52"/>
      <x:c r="H23" s="52"/>
    </x:row>
    <x:row r="24" ht="24" customHeight="1">
      <x:c r="A24" s="58" t="str">
        <x:v>Task boundary: the disturbance source is feed temperature. The membrane and system design remain fixed. The benchmark evaluates same-setpoint causal comparison followed by evidence-driven pressure or Pressure–Flow response.</x:v>
      </x:c>
      <x:c r="B24" s="58"/>
      <x:c r="C24" s="58"/>
      <x:c r="D24" s="58"/>
      <x:c r="E24" s="52"/>
      <x:c r="F24" s="55" t="str">
        <x:v>Required tasks</x:v>
      </x:c>
      <x:c r="G24" s="55"/>
      <x:c r="H24" s="55"/>
    </x:row>
    <x:row r="25" ht="24" customHeight="1">
      <x:c r="A25" s="58"/>
      <x:c r="B25" s="58"/>
      <x:c r="C25" s="58"/>
      <x:c r="D25" s="58"/>
      <x:c r="E25" s="52"/>
      <x:c r="F25" s="59" t="str">
        <x:v>1. Classify the problem as a feed-temperature disturbance response, not a membrane redesign task.</x:v>
      </x:c>
      <x:c r="G25" s="59"/>
      <x:c r="H25" s="59"/>
    </x:row>
    <x:row r="26" ht="24" customHeight="1">
      <x:c r="A26" s="58"/>
      <x:c r="B26" s="58"/>
      <x:c r="C26" s="58"/>
      <x:c r="D26" s="58"/>
      <x:c r="E26" s="52"/>
      <x:c r="F26" s="59" t="str">
        <x:v>2. Establish the 32°C baseline and simulate the 38°C disturbance at the unchanged 52 bar setpoint.</x:v>
      </x:c>
      <x:c r="G26" s="59"/>
      <x:c r="H26" s="59"/>
    </x:row>
    <x:row r="27" ht="24" customHeight="1">
      <x:c r="A27" s="58"/>
      <x:c r="B27" s="58"/>
      <x:c r="C27" s="58"/>
      <x:c r="D27" s="58"/>
      <x:c r="E27" s="52"/>
      <x:c r="F27" s="59" t="str">
        <x:v>3. Identify the controlling failure and explain why pressure, not membrane area or feed flow, is the correct first response.</x:v>
      </x:c>
      <x:c r="G27" s="59"/>
      <x:c r="H27" s="59"/>
    </x:row>
    <x:row r="28" ht="24" customHeight="1">
      <x:c r="A28" s="58"/>
      <x:c r="B28" s="58"/>
      <x:c r="C28" s="58"/>
      <x:c r="D28" s="58"/>
      <x:c r="E28" s="52"/>
      <x:c r="F28" s="59" t="str">
        <x:v>4. Use adaptive bracketing to determine the minimum fully feasible pressure at 38°C to 0.01 bar.</x:v>
      </x:c>
      <x:c r="G28" s="59"/>
      <x:c r="H28" s="59"/>
    </x:row>
    <x:row r="29" ht="24" customHeight="1">
      <x:c r="A29" s="58"/>
      <x:c r="B29" s="58"/>
      <x:c r="C29" s="58"/>
      <x:c r="D29" s="58"/>
      <x:c r="E29" s="52"/>
      <x:c r="F29" s="59" t="str">
        <x:v>5. Provide adjacent fail/pass boundary evidence and verify that Recovery, Flux, and water quality remain within limits.</x:v>
      </x:c>
      <x:c r="G29" s="59"/>
      <x:c r="H29" s="59"/>
    </x:row>
    <x:row r="30" ht="36" customHeight="1">
      <x:c r="A30" s="52"/>
      <x:c r="B30" s="52"/>
      <x:c r="C30" s="52"/>
      <x:c r="D30" s="52"/>
      <x:c r="E30" s="52"/>
      <x:c r="F30" s="59" t="str">
        <x:v>6. Report the heatwave setpoint and the rollback action when temperature returns to 32°C.</x:v>
      </x:c>
      <x:c r="G30" s="59"/>
      <x:c r="H30" s="59"/>
    </x:row>
    <x:row r="31">
      <x:c r="A31" s="52"/>
      <x:c r="B31" s="52"/>
      <x:c r="C31" s="52"/>
      <x:c r="D31" s="52"/>
      <x:c r="E31" s="52"/>
      <x:c r="F31" s="52"/>
      <x:c r="G31" s="52"/>
      <x:c r="H31" s="52"/>
    </x:row>
    <x:row r="32">
      <x:c r="A32" s="52"/>
      <x:c r="B32" s="52"/>
      <x:c r="C32" s="52"/>
      <x:c r="D32" s="52"/>
      <x:c r="E32" s="52"/>
      <x:c r="F32" s="52"/>
      <x:c r="G32" s="52"/>
      <x:c r="H32" s="52"/>
    </x:row>
  </x:sheetData>
  <x:mergeCells>
    <x:mergeCell ref="A1:H1"/>
    <x:mergeCell ref="A3:H5"/>
    <x:mergeCell ref="A7:D7"/>
    <x:mergeCell ref="F7:H7"/>
    <x:mergeCell ref="F24:H24"/>
    <x:mergeCell ref="F25:H25"/>
    <x:mergeCell ref="F26:H26"/>
    <x:mergeCell ref="F27:H27"/>
    <x:mergeCell ref="F28:H28"/>
    <x:mergeCell ref="F29:H29"/>
    <x:mergeCell ref="F30:H30"/>
    <x:mergeCell ref="A24: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24" hidden="0" customWidth="1"/>
    <x:col min="3" max="3" width="20" hidden="0" customWidth="1"/>
    <x:col min="4" max="4" width="22" hidden="0" customWidth="1"/>
    <x:col min="5" max="5" width="18" hidden="0" customWidth="1"/>
    <x:col min="6" max="6" width="18" hidden="0" customWidth="1"/>
    <x:col min="7" max="7" width="18" hidden="0" customWidth="1"/>
    <x:col min="8" max="8" width="15" hidden="0" customWidth="1"/>
    <x:col min="9" max="9" width="15" hidden="0" customWidth="1"/>
    <x:col min="10" max="10" width="15" hidden="0" customWidth="1"/>
    <x:col min="11" max="11" width="12" hidden="0" customWidth="1"/>
    <x:col min="12" max="12" width="12" hidden="0" customWidth="1"/>
    <x:col min="13" max="13" width="12" hidden="0" customWidth="1"/>
    <x:col min="14" max="14" width="12" hidden="0" customWidth="1"/>
  </x:cols>
  <x:sheetData>
    <x:row r="1" ht="28" customHeight="1">
      <x:c r="A1" s="81" t="str">
        <x:v>D2-2a: Gold Answer — Heatwave</x:v>
      </x:c>
      <x:c r="B1" s="81"/>
      <x:c r="C1" s="81"/>
      <x:c r="D1" s="81"/>
      <x:c r="E1" s="81"/>
      <x:c r="F1" s="81"/>
      <x:c r="G1" s="81"/>
      <x:c r="H1" s="81"/>
      <x:c r="I1" s="81"/>
      <x:c r="J1" s="81"/>
      <x:c r="K1" s="81"/>
      <x:c r="L1" s="81"/>
      <x:c r="M1" s="81"/>
      <x:c r="N1" s="81"/>
    </x:row>
    <x:row r="2">
      <x:c r="A2" s="52"/>
      <x:c r="B2" s="52"/>
      <x:c r="C2" s="52"/>
      <x:c r="D2" s="52"/>
      <x:c r="E2" s="52"/>
      <x:c r="F2" s="52"/>
      <x:c r="G2" s="52"/>
      <x:c r="H2" s="52"/>
      <x:c r="I2" s="52"/>
      <x:c r="J2" s="52"/>
      <x:c r="K2" s="52"/>
      <x:c r="L2" s="52"/>
      <x:c r="M2" s="52"/>
      <x:c r="N2" s="52"/>
    </x:row>
    <x:row r="3">
      <x:c r="A3" s="82" t="str">
        <x:v>Reference efficient trajectory: about 4–6 simulate_ro calls. Preserve the feed-temperature causal comparison and stop once boundary evidence is sufficient.</x:v>
      </x:c>
      <x:c r="B3" s="82"/>
      <x:c r="C3" s="82"/>
      <x:c r="D3" s="82"/>
      <x:c r="E3" s="82"/>
      <x:c r="F3" s="82"/>
      <x:c r="G3" s="82"/>
      <x:c r="H3" s="82"/>
      <x:c r="I3" s="82"/>
      <x:c r="J3" s="82"/>
      <x:c r="K3" s="82"/>
      <x:c r="L3" s="82"/>
      <x:c r="M3" s="82"/>
      <x:c r="N3" s="82"/>
    </x:row>
    <x:row r="4">
      <x:c r="A4" s="82"/>
      <x:c r="B4" s="82"/>
      <x:c r="C4" s="82"/>
      <x:c r="D4" s="82"/>
      <x:c r="E4" s="82"/>
      <x:c r="F4" s="82"/>
      <x:c r="G4" s="82"/>
      <x:c r="H4" s="82"/>
      <x:c r="I4" s="82"/>
      <x:c r="J4" s="82"/>
      <x:c r="K4" s="82"/>
      <x:c r="L4" s="82"/>
      <x:c r="M4" s="82"/>
      <x:c r="N4" s="82"/>
    </x:row>
    <x:row r="5">
      <x:c r="A5" s="52"/>
      <x:c r="B5" s="52"/>
      <x:c r="C5" s="52"/>
      <x:c r="D5" s="52"/>
      <x:c r="E5" s="52"/>
      <x:c r="F5" s="52"/>
      <x:c r="G5" s="52"/>
      <x:c r="H5" s="52"/>
      <x:c r="I5" s="52"/>
      <x:c r="J5" s="52"/>
      <x:c r="K5" s="52"/>
      <x:c r="L5" s="52"/>
      <x:c r="M5" s="52"/>
      <x:c r="N5" s="52"/>
    </x:row>
    <x:row r="6">
      <x:c r="A6" s="55" t="str">
        <x:v>Human-view reasoning trajectory</x:v>
      </x:c>
      <x:c r="B6" s="55"/>
      <x:c r="C6" s="55"/>
      <x:c r="D6" s="55"/>
      <x:c r="E6" s="55"/>
      <x:c r="F6" s="55"/>
      <x:c r="G6" s="55"/>
      <x:c r="H6" s="52"/>
      <x:c r="I6" s="52"/>
      <x:c r="J6" s="52"/>
      <x:c r="K6" s="52"/>
      <x:c r="L6" s="52"/>
      <x:c r="M6" s="52"/>
      <x:c r="N6" s="52"/>
    </x:row>
    <x:row r="7">
      <x:c r="A7" s="56" t="str">
        <x:v>Step</x:v>
      </x:c>
      <x:c r="B7" s="56" t="str">
        <x:v>Human action</x:v>
      </x:c>
      <x:c r="C7" s="56" t="str">
        <x:v>Input</x:v>
      </x:c>
      <x:c r="D7" s="56" t="str">
        <x:v>Tool call / action</x:v>
      </x:c>
      <x:c r="E7" s="56" t="str">
        <x:v>Key output</x:v>
      </x:c>
      <x:c r="F7" s="56" t="str">
        <x:v>How it informs next step</x:v>
      </x:c>
      <x:c r="G7" s="56" t="str">
        <x:v>Primary criterion</x:v>
      </x:c>
      <x:c r="H7" s="52"/>
      <x:c r="I7" s="52"/>
      <x:c r="J7" s="52"/>
      <x:c r="K7" s="52"/>
      <x:c r="L7" s="52"/>
      <x:c r="M7" s="52"/>
      <x:c r="N7" s="52"/>
    </x:row>
    <x:row r="8" ht="36" customHeight="1">
      <x:c r="A8" s="57" t="n">
        <x:v>1</x:v>
      </x:c>
      <x:c r="B8" s="57" t="str">
        <x:v>Establish the 32°C baseline</x:v>
      </x:c>
      <x:c r="C8" s="57" t="str">
        <x:v>32°C; 52 bar; 4.073 kg/s</x:v>
      </x:c>
      <x:c r="D8" s="57" t="str">
        <x:v>simulate_ro #1</x:v>
      </x:c>
      <x:c r="E8" s="57" t="str">
        <x:v>Qp≈6.594 m³/h; all constraints pass</x:v>
      </x:c>
      <x:c r="F8" s="57" t="str">
        <x:v>Use as disturbance reference</x:v>
      </x:c>
      <x:c r="G8" s="57" t="str"/>
      <x:c r="H8" s="52"/>
      <x:c r="I8" s="52"/>
      <x:c r="J8" s="52"/>
      <x:c r="K8" s="52"/>
      <x:c r="L8" s="52"/>
      <x:c r="M8" s="52"/>
      <x:c r="N8" s="52"/>
    </x:row>
    <x:row r="9" ht="36" customHeight="1">
      <x:c r="A9" s="57" t="n">
        <x:v>2</x:v>
      </x:c>
      <x:c r="B9" s="57" t="str">
        <x:v>Test 38°C at unchanged setpoint</x:v>
      </x:c>
      <x:c r="C9" s="57" t="str">
        <x:v>38°C; 52 bar; 4.073 kg/s</x:v>
      </x:c>
      <x:c r="D9" s="57" t="str">
        <x:v>simulate_ro #2</x:v>
      </x:c>
      <x:c r="E9" s="57" t="str">
        <x:v>Qp≈6.458 &lt; 6.50; other constraints pass</x:v>
      </x:c>
      <x:c r="F9" s="57" t="str">
        <x:v>Production becomes the controlling constraint</x:v>
      </x:c>
      <x:c r="G9" s="57" t="str"/>
      <x:c r="H9" s="52"/>
      <x:c r="I9" s="52"/>
      <x:c r="J9" s="52"/>
      <x:c r="K9" s="52"/>
      <x:c r="L9" s="52"/>
      <x:c r="M9" s="52"/>
      <x:c r="N9" s="52"/>
    </x:row>
    <x:row r="10" ht="36" customHeight="1">
      <x:c r="A10" s="57" t="n">
        <x:v>3</x:v>
      </x:c>
      <x:c r="B10" s="57" t="str">
        <x:v>Locate the hot-condition pressure boundary</x:v>
      </x:c>
      <x:c r="C10" s="57" t="str">
        <x:v>38°C; 52.22→52.23 bar</x:v>
      </x:c>
      <x:c r="D10" s="57" t="str">
        <x:v>simulate_ro #3–#4</x:v>
      </x:c>
      <x:c r="E10" s="57" t="str">
        <x:v>52.22 fails; 52.23 is the first pass</x:v>
      </x:c>
      <x:c r="F10" s="57" t="str">
        <x:v>Minimum feasible pressure = 52.23 bar</x:v>
      </x:c>
      <x:c r="G10" s="57" t="str"/>
      <x:c r="H10" s="52"/>
      <x:c r="I10" s="52"/>
      <x:c r="J10" s="52"/>
      <x:c r="K10" s="52"/>
      <x:c r="L10" s="52"/>
      <x:c r="M10" s="52"/>
      <x:c r="N10" s="52"/>
    </x:row>
    <x:row r="11" ht="36" customHeight="1">
      <x:c r="A11" s="57" t="n">
        <x:v>4</x:v>
      </x:c>
      <x:c r="B11" s="57" t="str">
        <x:v>Finalize operating action</x:v>
      </x:c>
      <x:c r="C11" s="57" t="str">
        <x:v>38°C / 32°C</x:v>
      </x:c>
      <x:c r="D11" s="57" t="str">
        <x:v>Stop and decide</x:v>
      </x:c>
      <x:c r="E11" s="57" t="str">
        <x:v>Use 52.23 bar during heatwave; return to 52.00 bar at 32°C</x:v>
      </x:c>
      <x:c r="F11" s="57" t="str">
        <x:v>Keep feed flow unchanged</x:v>
      </x:c>
      <x:c r="G11" s="57" t="str"/>
      <x:c r="H11" s="52"/>
      <x:c r="I11" s="52"/>
      <x:c r="J11" s="52"/>
      <x:c r="K11" s="52"/>
      <x:c r="L11" s="52"/>
      <x:c r="M11" s="52"/>
      <x:c r="N11" s="52"/>
    </x:row>
    <x:row r="12">
      <x:c r="A12" s="52"/>
      <x:c r="B12" s="52"/>
      <x:c r="C12" s="52"/>
      <x:c r="D12" s="52"/>
      <x:c r="E12" s="52"/>
      <x:c r="F12" s="52"/>
      <x:c r="G12" s="52"/>
      <x:c r="H12" s="52"/>
      <x:c r="I12" s="52"/>
      <x:c r="J12" s="52"/>
      <x:c r="K12" s="52"/>
      <x:c r="L12" s="52"/>
      <x:c r="M12" s="52"/>
      <x:c r="N12" s="52"/>
    </x:row>
    <x:row r="13">
      <x:c r="A13" s="52"/>
      <x:c r="B13" s="52"/>
      <x:c r="C13" s="52"/>
      <x:c r="D13" s="52"/>
      <x:c r="E13" s="52"/>
      <x:c r="F13" s="52"/>
      <x:c r="G13" s="52"/>
      <x:c r="H13" s="52"/>
      <x:c r="I13" s="52"/>
      <x:c r="J13" s="52"/>
      <x:c r="K13" s="52"/>
      <x:c r="L13" s="52"/>
      <x:c r="M13" s="52"/>
      <x:c r="N13" s="52"/>
    </x:row>
    <x:row r="14">
      <x:c r="A14" s="52"/>
      <x:c r="B14" s="52"/>
      <x:c r="C14" s="52"/>
      <x:c r="D14" s="52"/>
      <x:c r="E14" s="52"/>
      <x:c r="F14" s="52"/>
      <x:c r="G14" s="52"/>
      <x:c r="H14" s="52"/>
      <x:c r="I14" s="52"/>
      <x:c r="J14" s="52"/>
      <x:c r="K14" s="52"/>
      <x:c r="L14" s="52"/>
      <x:c r="M14" s="52"/>
      <x:c r="N14" s="52"/>
    </x:row>
    <x:row r="15">
      <x:c r="A15" s="55" t="str">
        <x:v>Direct simulate_ro results</x:v>
      </x:c>
      <x:c r="B15" s="55"/>
      <x:c r="C15" s="55"/>
      <x:c r="D15" s="55"/>
      <x:c r="E15" s="55"/>
      <x:c r="F15" s="55"/>
      <x:c r="G15" s="55"/>
      <x:c r="H15" s="55"/>
      <x:c r="I15" s="55"/>
      <x:c r="J15" s="55"/>
      <x:c r="K15" s="55"/>
      <x:c r="L15" s="55"/>
      <x:c r="M15" s="55"/>
      <x:c r="N15" s="55"/>
    </x:row>
    <x:row r="16">
      <x:c r="A16" s="56" t="str">
        <x:v>Scenario</x:v>
      </x:c>
      <x:c r="B16" s="56" t="str">
        <x:v>T °C</x:v>
      </x:c>
      <x:c r="C16" s="56" t="str">
        <x:v>Pressure bar</x:v>
      </x:c>
      <x:c r="D16" s="56" t="str">
        <x:v>Feed kg/s</x:v>
      </x:c>
      <x:c r="E16" s="56" t="str">
        <x:v>Permeate kg/s</x:v>
      </x:c>
      <x:c r="F16" s="56" t="str">
        <x:v>Qp m³/h</x:v>
      </x:c>
      <x:c r="G16" s="56" t="str">
        <x:v>Flux LMH</x:v>
      </x:c>
      <x:c r="H16" s="56" t="str">
        <x:v>Recovery %</x:v>
      </x:c>
      <x:c r="I16" s="56" t="str">
        <x:v>Rejection %</x:v>
      </x:c>
      <x:c r="J16" s="56" t="str">
        <x:v>NaCl mg/L</x:v>
      </x:c>
      <x:c r="K16" s="56" t="str">
        <x:v>Production</x:v>
      </x:c>
      <x:c r="L16" s="56" t="str">
        <x:v>Recovery</x:v>
      </x:c>
      <x:c r="M16" s="56" t="str">
        <x:v>Quality</x:v>
      </x:c>
      <x:c r="N16" s="56" t="str">
        <x:v>Overall</x:v>
      </x:c>
    </x:row>
    <x:row r="17">
      <x:c r="A17" s="57" t="str">
        <x:v>Normal baseline</x:v>
      </x:c>
      <x:c r="B17" s="57" t="n">
        <x:v>32</x:v>
      </x:c>
      <x:c r="C17" s="83" t="n">
        <x:v>52</x:v>
      </x:c>
      <x:c r="D17" s="84" t="n">
        <x:v>4.073</x:v>
      </x:c>
      <x:c r="E17" s="84" t="n">
        <x:v>1.8317024077875053</x:v>
      </x:c>
      <x:c r="F17" s="84" t="n">
        <x:v>6.594128668035019</x:v>
      </x:c>
      <x:c r="G17" s="84" t="n">
        <x:v>16.479440695464636</x:v>
      </x:c>
      <x:c r="H17" s="84" t="n">
        <x:v>45.9844466906034</x:v>
      </x:c>
      <x:c r="I17" s="84" t="n">
        <x:v>98.83705234864722</x:v>
      </x:c>
      <x:c r="J17" s="84" t="n">
        <x:v>356.7400588598959</x:v>
      </x:c>
      <x:c r="K17" s="57" t="str">
        <x:v>PASS</x:v>
      </x:c>
      <x:c r="L17" s="57" t="str">
        <x:v>PASS</x:v>
      </x:c>
      <x:c r="M17" s="57" t="str">
        <x:v>PASS</x:v>
      </x:c>
      <x:c r="N17" s="57" t="str">
        <x:v>PASS</x:v>
      </x:c>
    </x:row>
    <x:row r="18">
      <x:c r="A18" s="57" t="str">
        <x:v>38°C, unchanged setpoint</x:v>
      </x:c>
      <x:c r="B18" s="57" t="n">
        <x:v>38</x:v>
      </x:c>
      <x:c r="C18" s="83" t="n">
        <x:v>52</x:v>
      </x:c>
      <x:c r="D18" s="84" t="n">
        <x:v>4.073</x:v>
      </x:c>
      <x:c r="E18" s="84" t="n">
        <x:v>1.7938985999349537</x:v>
      </x:c>
      <x:c r="F18" s="84" t="n">
        <x:v>6.4580349597658335</x:v>
      </x:c>
      <x:c r="G18" s="84" t="n">
        <x:v>16.14508739941458</x:v>
      </x:c>
      <x:c r="H18" s="84" t="n">
        <x:v>45.03484036343601</x:v>
      </x:c>
      <x:c r="I18" s="84" t="n">
        <x:v>98.82805241575218</x:v>
      </x:c>
      <x:c r="J18" s="84" t="n">
        <x:v>359.49364045481013</x:v>
      </x:c>
      <x:c r="K18" s="57" t="str">
        <x:v>FAIL</x:v>
      </x:c>
      <x:c r="L18" s="57" t="str">
        <x:v>PASS</x:v>
      </x:c>
      <x:c r="M18" s="57" t="str">
        <x:v>PASS</x:v>
      </x:c>
      <x:c r="N18" s="57" t="str">
        <x:v>FAIL</x:v>
      </x:c>
    </x:row>
    <x:row r="19">
      <x:c r="A19" s="57" t="str">
        <x:v>38°C boundary: 52.22 bar</x:v>
      </x:c>
      <x:c r="B19" s="57" t="n">
        <x:v>38</x:v>
      </x:c>
      <x:c r="C19" s="83" t="n">
        <x:v>52.22</x:v>
      </x:c>
      <x:c r="D19" s="84" t="n">
        <x:v>4.073</x:v>
      </x:c>
      <x:c r="E19" s="84" t="n">
        <x:v>1.805318117379592</x:v>
      </x:c>
      <x:c r="F19" s="84" t="n">
        <x:v>6.499145222566532</x:v>
      </x:c>
      <x:c r="G19" s="84" t="n">
        <x:v>16.247863056416328</x:v>
      </x:c>
      <x:c r="H19" s="84" t="n">
        <x:v>45.32146690287848</x:v>
      </x:c>
      <x:c r="I19" s="84" t="n">
        <x:v>98.83139039297932</x:v>
      </x:c>
      <x:c r="J19" s="84" t="n">
        <x:v>358.4677584659749</x:v>
      </x:c>
      <x:c r="K19" s="57" t="str">
        <x:v>FAIL</x:v>
      </x:c>
      <x:c r="L19" s="57" t="str">
        <x:v>PASS</x:v>
      </x:c>
      <x:c r="M19" s="57" t="str">
        <x:v>PASS</x:v>
      </x:c>
      <x:c r="N19" s="57" t="str">
        <x:v>FAIL</x:v>
      </x:c>
    </x:row>
    <x:row r="20">
      <x:c r="A20" s="57" t="str">
        <x:v>38°C recommended: 52.23 bar</x:v>
      </x:c>
      <x:c r="B20" s="57" t="n">
        <x:v>38</x:v>
      </x:c>
      <x:c r="C20" s="83" t="n">
        <x:v>52.23</x:v>
      </x:c>
      <x:c r="D20" s="84" t="n">
        <x:v>4.073</x:v>
      </x:c>
      <x:c r="E20" s="84" t="n">
        <x:v>1.8058371863543485</x:v>
      </x:c>
      <x:c r="F20" s="84" t="n">
        <x:v>6.501013870875655</x:v>
      </x:c>
      <x:c r="G20" s="84" t="n">
        <x:v>16.252534677189136</x:v>
      </x:c>
      <x:c r="H20" s="84" t="n">
        <x:v>45.33449538194405</x:v>
      </x:c>
      <x:c r="I20" s="84" t="n">
        <x:v>98.83154211921692</x:v>
      </x:c>
      <x:c r="J20" s="84" t="n">
        <x:v>358.4211274664824</x:v>
      </x:c>
      <x:c r="K20" s="57" t="str">
        <x:v>PASS</x:v>
      </x:c>
      <x:c r="L20" s="57" t="str">
        <x:v>PASS</x:v>
      </x:c>
      <x:c r="M20" s="57" t="str">
        <x:v>PASS</x:v>
      </x:c>
      <x:c r="N20" s="57" t="str">
        <x:v>PASS</x:v>
      </x:c>
    </x:row>
    <x:row r="21">
      <x:c r="A21" s="52"/>
      <x:c r="B21" s="52"/>
      <x:c r="C21" s="52"/>
      <x:c r="D21" s="52"/>
      <x:c r="E21" s="52"/>
      <x:c r="F21" s="52"/>
      <x:c r="G21" s="52"/>
      <x:c r="H21" s="52"/>
      <x:c r="I21" s="52"/>
      <x:c r="J21" s="52"/>
      <x:c r="K21" s="52"/>
      <x:c r="L21" s="52"/>
      <x:c r="M21" s="52"/>
      <x:c r="N21" s="52"/>
    </x:row>
    <x:row r="22">
      <x:c r="A22" s="55" t="str">
        <x:v>Final operating recommendation</x:v>
      </x:c>
      <x:c r="B22" s="55"/>
      <x:c r="C22" s="55"/>
      <x:c r="D22" s="55"/>
      <x:c r="E22" s="55"/>
      <x:c r="F22" s="55"/>
      <x:c r="G22" s="52"/>
      <x:c r="H22" s="52"/>
      <x:c r="I22" s="52"/>
      <x:c r="J22" s="52"/>
      <x:c r="K22" s="52"/>
      <x:c r="L22" s="52"/>
      <x:c r="M22" s="52"/>
      <x:c r="N22" s="52"/>
    </x:row>
    <x:row r="23" ht="32" customHeight="1">
      <x:c r="A23" s="56" t="str">
        <x:v>State</x:v>
      </x:c>
      <x:c r="B23" s="56" t="str">
        <x:v>Pressure</x:v>
      </x:c>
      <x:c r="C23" s="56" t="str">
        <x:v>Feed flow</x:v>
      </x:c>
      <x:c r="D23" s="56" t="str">
        <x:v>Decision basis</x:v>
      </x:c>
      <x:c r="E23" s="52"/>
      <x:c r="F23" s="85" t="str">
        <x:v>At 38°C, permeate production decreases from about 6.594 to 6.458 m³/h. 52.22 bar remains slightly below the production requirement, while 52.23 bar is the first fully feasible point. Use 52.23 bar during the heatwave with feed flow unchanged at 4.073 kg/s, then return to 52.00 bar when the intake returns to 32°C.</x:v>
      </x:c>
      <x:c r="G23" s="85"/>
      <x:c r="H23" s="85"/>
      <x:c r="I23" s="85"/>
      <x:c r="J23" s="85"/>
      <x:c r="K23" s="85"/>
      <x:c r="L23" s="85"/>
      <x:c r="M23" s="85"/>
      <x:c r="N23" s="85"/>
    </x:row>
    <x:row r="24" ht="32" customHeight="1">
      <x:c r="A24" s="57" t="str">
        <x:v>32°C normal</x:v>
      </x:c>
      <x:c r="B24" s="57" t="str">
        <x:v>52.00 bar</x:v>
      </x:c>
      <x:c r="C24" s="57" t="str">
        <x:v>4.073 kg/s</x:v>
      </x:c>
      <x:c r="D24" s="57" t="str">
        <x:v>Baseline passes all constraints</x:v>
      </x:c>
      <x:c r="E24" s="52"/>
      <x:c r="F24" s="85"/>
      <x:c r="G24" s="85"/>
      <x:c r="H24" s="85"/>
      <x:c r="I24" s="85"/>
      <x:c r="J24" s="85"/>
      <x:c r="K24" s="85"/>
      <x:c r="L24" s="85"/>
      <x:c r="M24" s="85"/>
      <x:c r="N24" s="85"/>
    </x:row>
    <x:row r="25" ht="32" customHeight="1">
      <x:c r="A25" s="57" t="str">
        <x:v>38°C heatwave</x:v>
      </x:c>
      <x:c r="B25" s="57" t="str">
        <x:v>52.23 bar</x:v>
      </x:c>
      <x:c r="C25" s="57" t="str">
        <x:v>4.073 kg/s</x:v>
      </x:c>
      <x:c r="D25" s="57" t="str">
        <x:v>52.22 fails; 52.23 is first pass</x:v>
      </x:c>
      <x:c r="E25" s="52"/>
      <x:c r="F25" s="85"/>
      <x:c r="G25" s="85"/>
      <x:c r="H25" s="85"/>
      <x:c r="I25" s="85"/>
      <x:c r="J25" s="85"/>
      <x:c r="K25" s="85"/>
      <x:c r="L25" s="85"/>
      <x:c r="M25" s="85"/>
      <x:c r="N25" s="85"/>
    </x:row>
    <x:row r="26">
      <x:c r="A26" s="52"/>
      <x:c r="B26" s="52"/>
      <x:c r="C26" s="52"/>
      <x:c r="D26" s="52"/>
      <x:c r="E26" s="52"/>
      <x:c r="F26" s="52"/>
      <x:c r="G26" s="52"/>
      <x:c r="H26" s="52"/>
      <x:c r="I26" s="52"/>
      <x:c r="J26" s="52"/>
      <x:c r="K26" s="52"/>
      <x:c r="L26" s="52"/>
      <x:c r="M26" s="52"/>
      <x:c r="N26" s="52"/>
    </x:row>
    <x:row r="27">
      <x:c r="A27" s="52"/>
      <x:c r="B27" s="52"/>
      <x:c r="C27" s="52"/>
      <x:c r="D27" s="52"/>
      <x:c r="E27" s="52"/>
      <x:c r="F27" s="52"/>
      <x:c r="G27" s="52"/>
      <x:c r="H27" s="52"/>
      <x:c r="I27" s="52"/>
      <x:c r="J27" s="52"/>
      <x:c r="K27" s="52"/>
      <x:c r="L27" s="52"/>
      <x:c r="M27" s="52"/>
      <x:c r="N27" s="52"/>
    </x:row>
    <x:row r="28">
      <x:c r="A28" s="52"/>
      <x:c r="B28" s="52"/>
      <x:c r="C28" s="52"/>
      <x:c r="D28" s="52"/>
      <x:c r="E28" s="52"/>
      <x:c r="F28" s="52"/>
      <x:c r="G28" s="52"/>
      <x:c r="H28" s="52"/>
      <x:c r="I28" s="52"/>
      <x:c r="J28" s="52"/>
      <x:c r="K28" s="52"/>
      <x:c r="L28" s="52"/>
      <x:c r="M28" s="52"/>
      <x:c r="N28" s="52"/>
    </x:row>
    <x:row r="29">
      <x:c r="A29" s="52"/>
      <x:c r="B29" s="52"/>
      <x:c r="C29" s="52"/>
      <x:c r="D29" s="52"/>
      <x:c r="E29" s="52"/>
      <x:c r="F29" s="52"/>
      <x:c r="G29" s="52"/>
      <x:c r="H29" s="52"/>
      <x:c r="I29" s="52"/>
      <x:c r="J29" s="52"/>
      <x:c r="K29" s="52"/>
      <x:c r="L29" s="52"/>
      <x:c r="M29" s="52"/>
      <x:c r="N29" s="52"/>
    </x:row>
    <x:row r="30">
      <x:c r="A30" s="52"/>
      <x:c r="B30" s="52"/>
      <x:c r="C30" s="52"/>
      <x:c r="D30" s="52"/>
      <x:c r="E30" s="52"/>
      <x:c r="F30" s="52"/>
      <x:c r="G30" s="52"/>
      <x:c r="H30" s="52"/>
      <x:c r="I30" s="52"/>
      <x:c r="J30" s="52"/>
      <x:c r="K30" s="52"/>
      <x:c r="L30" s="52"/>
      <x:c r="M30" s="52"/>
      <x:c r="N30" s="52"/>
    </x:row>
    <x:row r="31">
      <x:c r="A31" s="52"/>
      <x:c r="B31" s="52"/>
      <x:c r="C31" s="52"/>
      <x:c r="D31" s="52"/>
      <x:c r="E31" s="52"/>
      <x:c r="F31" s="52"/>
      <x:c r="G31" s="52"/>
      <x:c r="H31" s="52"/>
      <x:c r="I31" s="52"/>
      <x:c r="J31" s="52"/>
      <x:c r="K31" s="52"/>
      <x:c r="L31" s="52"/>
      <x:c r="M31" s="52"/>
      <x:c r="N31" s="52"/>
    </x:row>
    <x:row r="32">
      <x:c r="A32" s="52"/>
      <x:c r="B32" s="52"/>
      <x:c r="C32" s="52"/>
      <x:c r="D32" s="52"/>
      <x:c r="E32" s="52"/>
      <x:c r="F32" s="52"/>
      <x:c r="G32" s="52"/>
      <x:c r="H32" s="52"/>
      <x:c r="I32" s="52"/>
      <x:c r="J32" s="52"/>
      <x:c r="K32" s="52"/>
      <x:c r="L32" s="52"/>
      <x:c r="M32" s="52"/>
      <x:c r="N32" s="52"/>
    </x:row>
    <x:row r="33">
      <x:c r="A33" s="52"/>
      <x:c r="B33" s="52"/>
      <x:c r="C33" s="52"/>
      <x:c r="D33" s="52"/>
      <x:c r="E33" s="52"/>
      <x:c r="F33" s="52"/>
      <x:c r="G33" s="52"/>
      <x:c r="H33" s="52"/>
      <x:c r="I33" s="52"/>
      <x:c r="J33" s="52"/>
      <x:c r="K33" s="52"/>
      <x:c r="L33" s="52"/>
      <x:c r="M33" s="52"/>
      <x:c r="N33" s="52"/>
    </x:row>
    <x:row r="34">
      <x:c r="A34" s="52"/>
      <x:c r="B34" s="52"/>
      <x:c r="C34" s="52"/>
      <x:c r="D34" s="52"/>
      <x:c r="E34" s="52"/>
      <x:c r="F34" s="52"/>
      <x:c r="G34" s="52"/>
      <x:c r="H34" s="52"/>
      <x:c r="I34" s="52"/>
      <x:c r="J34" s="52"/>
      <x:c r="K34" s="52"/>
      <x:c r="L34" s="52"/>
      <x:c r="M34" s="52"/>
      <x:c r="N34" s="52"/>
    </x:row>
    <x:row r="35">
      <x:c r="A35" s="52"/>
      <x:c r="B35" s="52"/>
      <x:c r="C35" s="52"/>
      <x:c r="D35" s="52"/>
      <x:c r="E35" s="52"/>
      <x:c r="F35" s="52"/>
      <x:c r="G35" s="52"/>
      <x:c r="H35" s="52"/>
      <x:c r="I35" s="52"/>
      <x:c r="J35" s="52"/>
      <x:c r="K35" s="52"/>
      <x:c r="L35" s="52"/>
      <x:c r="M35" s="52"/>
      <x:c r="N35" s="52"/>
    </x:row>
    <x:row r="36">
      <x:c r="A36" s="52"/>
      <x:c r="B36" s="52"/>
      <x:c r="C36" s="52"/>
      <x:c r="D36" s="52"/>
      <x:c r="E36" s="52"/>
      <x:c r="F36" s="52"/>
      <x:c r="G36" s="52"/>
      <x:c r="H36" s="52"/>
      <x:c r="I36" s="52"/>
      <x:c r="J36" s="52"/>
      <x:c r="K36" s="52"/>
      <x:c r="L36" s="52"/>
      <x:c r="M36" s="52"/>
      <x:c r="N36" s="52"/>
    </x:row>
    <x:row r="37">
      <x:c r="A37" s="52"/>
      <x:c r="B37" s="52"/>
      <x:c r="C37" s="52"/>
      <x:c r="D37" s="52"/>
      <x:c r="E37" s="52"/>
      <x:c r="F37" s="52"/>
      <x:c r="G37" s="52"/>
      <x:c r="H37" s="52"/>
      <x:c r="I37" s="52"/>
      <x:c r="J37" s="52"/>
      <x:c r="K37" s="52"/>
      <x:c r="L37" s="52"/>
      <x:c r="M37" s="52"/>
      <x:c r="N37" s="52"/>
    </x:row>
    <x:row r="38">
      <x:c r="A38" s="52"/>
      <x:c r="B38" s="52"/>
      <x:c r="C38" s="52"/>
      <x:c r="D38" s="52"/>
      <x:c r="E38" s="52"/>
      <x:c r="F38" s="52"/>
      <x:c r="G38" s="52"/>
      <x:c r="H38" s="52"/>
      <x:c r="I38" s="52"/>
      <x:c r="J38" s="52"/>
      <x:c r="K38" s="52"/>
      <x:c r="L38" s="52"/>
      <x:c r="M38" s="52"/>
      <x:c r="N38" s="52"/>
    </x:row>
    <x:row r="39">
      <x:c r="A39" s="52"/>
      <x:c r="B39" s="52"/>
      <x:c r="C39" s="52"/>
      <x:c r="D39" s="52"/>
      <x:c r="E39" s="52"/>
      <x:c r="F39" s="52"/>
      <x:c r="G39" s="52"/>
      <x:c r="H39" s="52"/>
      <x:c r="I39" s="52"/>
      <x:c r="J39" s="52"/>
      <x:c r="K39" s="52"/>
      <x:c r="L39" s="52"/>
      <x:c r="M39" s="52"/>
      <x:c r="N39" s="52"/>
    </x:row>
    <x:row r="40">
      <x:c r="A40" s="52"/>
      <x:c r="B40" s="52"/>
      <x:c r="C40" s="52"/>
      <x:c r="D40" s="52"/>
      <x:c r="E40" s="52"/>
      <x:c r="F40" s="52"/>
      <x:c r="G40" s="52"/>
      <x:c r="H40" s="52"/>
      <x:c r="I40" s="52"/>
      <x:c r="J40" s="52"/>
      <x:c r="K40" s="52"/>
      <x:c r="L40" s="52"/>
      <x:c r="M40" s="52"/>
      <x:c r="N40" s="52"/>
    </x:row>
  </x:sheetData>
  <x:mergeCells>
    <x:mergeCell ref="A1:N1"/>
    <x:mergeCell ref="A3:N4"/>
    <x:mergeCell ref="A6:G6"/>
    <x:mergeCell ref="A15:N15"/>
    <x:mergeCell ref="A22:F22"/>
    <x:mergeCell ref="F23:N25"/>
  </x:mergeCells>
  <x:conditionalFormatting sqref="N17:N20">
    <x:cfRule type="expression" dxfId="0" priority="1">
      <x:formula>N17="PASS"</x:formula>
    </x:cfRule>
    <x:cfRule type="expression" dxfId="1" priority="2">
      <x:formula>N17="FAIL"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4" hidden="0" customWidth="1"/>
    <x:col min="3" max="3" width="42" hidden="0" customWidth="1"/>
    <x:col min="4" max="4" width="28" hidden="0" customWidth="1"/>
    <x:col min="5" max="5" width="30" hidden="0" customWidth="1"/>
    <x:col min="6" max="6" width="10" hidden="0" customWidth="1"/>
    <x:col min="7" max="7" width="10" hidden="0" customWidth="1"/>
  </x:cols>
  <x:sheetData>
    <x:row r="1">
      <x:c r="A1" s="95" t="str">
        <x:v>D2-2a: Trajectory Quality Rubric (100 points)</x:v>
      </x:c>
      <x:c r="B1" s="95"/>
      <x:c r="C1" s="95"/>
      <x:c r="D1" s="95"/>
      <x:c r="E1" s="95"/>
      <x:c r="F1" s="95"/>
      <x:c r="G1" s="95"/>
    </x:row>
    <x:row r="2">
      <x:c r="A2" s="52"/>
      <x:c r="B2" s="52"/>
      <x:c r="C2" s="52"/>
      <x:c r="D2" s="52"/>
      <x:c r="E2" s="52"/>
      <x:c r="F2" s="52"/>
      <x:c r="G2" s="52"/>
    </x:row>
    <x:row r="3">
      <x:c r="A3" s="82" t="str">
        <x:v>Evaluate the full State → Plan → Tool call → Observation → Update → Next action → Stop/Decision trajectory. Alternative reasonable call orders are allowed, but the feed-temperature causal comparison and evidence-driven replanning must be preserved.</x:v>
      </x:c>
      <x:c r="B3" s="82"/>
      <x:c r="C3" s="82"/>
      <x:c r="D3" s="82"/>
      <x:c r="E3" s="82"/>
      <x:c r="F3" s="82"/>
      <x:c r="G3" s="82"/>
    </x:row>
    <x:row r="4">
      <x:c r="A4" s="82"/>
      <x:c r="B4" s="82"/>
      <x:c r="C4" s="82"/>
      <x:c r="D4" s="82"/>
      <x:c r="E4" s="82"/>
      <x:c r="F4" s="82"/>
      <x:c r="G4" s="82"/>
    </x:row>
    <x:row r="5">
      <x:c r="A5" s="52"/>
      <x:c r="B5" s="52"/>
      <x:c r="C5" s="52"/>
      <x:c r="D5" s="52"/>
      <x:c r="E5" s="52"/>
      <x:c r="F5" s="52"/>
      <x:c r="G5" s="52"/>
    </x:row>
    <x:row r="6">
      <x:c r="A6" s="52"/>
      <x:c r="B6" s="52"/>
      <x:c r="C6" s="52"/>
      <x:c r="D6" s="52"/>
      <x:c r="E6" s="52"/>
      <x:c r="F6" s="52"/>
      <x:c r="G6" s="52"/>
    </x:row>
    <x:row r="7">
      <x:c r="A7" s="56" t="str">
        <x:v>Trajectory dimension</x:v>
      </x:c>
      <x:c r="B7" s="56" t="str">
        <x:v>Focus</x:v>
      </x:c>
      <x:c r="C7" s="56" t="str">
        <x:v>Full-credit evidence</x:v>
      </x:c>
      <x:c r="D7" s="56" t="str">
        <x:v>Partial credit</x:v>
      </x:c>
      <x:c r="E7" s="56" t="str">
        <x:v>Key failure mode</x:v>
      </x:c>
      <x:c r="F7" s="56" t="str">
        <x:v>Weight</x:v>
      </x:c>
      <x:c r="G7" s="56" t="str">
        <x:v>Score</x:v>
      </x:c>
    </x:row>
    <x:row r="8">
      <x:c r="A8" s="57" t="str">
        <x:v>TQ1 Problem framing</x:v>
      </x:c>
      <x:c r="B8" s="57" t="str">
        <x:v>Identify hot feed disturbance</x:v>
      </x:c>
      <x:c r="C8" s="57" t="str">
        <x:v>32→38°C; fixed system; same-setpoint comparison first</x:v>
      </x:c>
      <x:c r="D8" s="57" t="str">
        <x:v>Disturbance identified but baseline unclear</x:v>
      </x:c>
      <x:c r="E8" s="57" t="str">
        <x:v>Redesigns membrane system</x:v>
      </x:c>
      <x:c r="F8" s="57" t="n">
        <x:v>15</x:v>
      </x:c>
      <x:c r="G8" s="57" t="str"/>
    </x:row>
    <x:row r="9">
      <x:c r="A9" s="57" t="str">
        <x:v>TQ2 Planning</x:v>
      </x:c>
      <x:c r="B9" s="57" t="str">
        <x:v>Baseline → disturbance → boundary</x:v>
      </x:c>
      <x:c r="C9" s="57" t="str">
        <x:v>Diagnose Qp before pressure bracketing</x:v>
      </x:c>
      <x:c r="D9" s="57" t="str">
        <x:v>Mostly reasonable plan</x:v>
      </x:c>
      <x:c r="E9" s="57" t="str">
        <x:v>Guesses a pressure directly</x:v>
      </x:c>
      <x:c r="F9" s="57" t="n">
        <x:v>15</x:v>
      </x:c>
      <x:c r="G9" s="57" t="str"/>
    </x:row>
    <x:row r="10">
      <x:c r="A10" s="57" t="str">
        <x:v>TQ3 Tool-call correctness</x:v>
      </x:c>
      <x:c r="B10" s="57" t="str">
        <x:v>Change only T or pressure</x:v>
      </x:c>
      <x:c r="C10" s="57" t="str">
        <x:v>Clear 52/52.22/52.23 comparisons</x:v>
      </x:c>
      <x:c r="D10" s="57" t="str">
        <x:v>Minor redundancy</x:v>
      </x:c>
      <x:c r="E10" s="57" t="str">
        <x:v>Changes flow/area simultaneously</x:v>
      </x:c>
      <x:c r="F10" s="57" t="n">
        <x:v>20</x:v>
      </x:c>
      <x:c r="G10" s="57" t="str"/>
    </x:row>
    <x:row r="11">
      <x:c r="A11" s="57" t="str">
        <x:v>TQ4 Observation interpretation</x:v>
      </x:c>
      <x:c r="B11" s="57" t="str">
        <x:v>Identify Qp as controlling constraint</x:v>
      </x:c>
      <x:c r="C11" s="57" t="str">
        <x:v>6.458 fails; 6.499 still fails; 6.501 passes</x:v>
      </x:c>
      <x:c r="D11" s="57" t="str">
        <x:v>Main conclusion correct</x:v>
      </x:c>
      <x:c r="E11" s="57" t="str">
        <x:v>Treats near-pass as PASS</x:v>
      </x:c>
      <x:c r="F11" s="57" t="n">
        <x:v>20</x:v>
      </x:c>
      <x:c r="G11" s="57" t="str"/>
    </x:row>
    <x:row r="12">
      <x:c r="A12" s="57" t="str">
        <x:v>TQ5 Adaptive search</x:v>
      </x:c>
      <x:c r="B12" s="57" t="str">
        <x:v>Converge with adjacent fail/pass</x:v>
      </x:c>
      <x:c r="C12" s="57" t="str">
        <x:v>Stop after 52.22→52.23 boundary</x:v>
      </x:c>
      <x:c r="D12" s="57" t="str">
        <x:v>Some extra points</x:v>
      </x:c>
      <x:c r="E12" s="57" t="str">
        <x:v>Dense grid scan</x:v>
      </x:c>
      <x:c r="F12" s="57" t="n">
        <x:v>20</x:v>
      </x:c>
      <x:c r="G12" s="57" t="str"/>
    </x:row>
    <x:row r="13">
      <x:c r="A13" s="57" t="str">
        <x:v>TQ6 Final decision</x:v>
      </x:c>
      <x:c r="B13" s="57" t="str">
        <x:v>Report 52.23 bar and rollback</x:v>
      </x:c>
      <x:c r="C13" s="57" t="str">
        <x:v>38°C: 52.23; 32°C: return to 52</x:v>
      </x:c>
      <x:c r="D13" s="57" t="str">
        <x:v>Approximate setpoint</x:v>
      </x:c>
      <x:c r="E13" s="57" t="str">
        <x:v>No boundary evidence</x:v>
      </x:c>
      <x:c r="F13" s="57" t="n">
        <x:v>10</x:v>
      </x:c>
      <x:c r="G13" s="57" t="str"/>
    </x:row>
    <x:row r="14">
      <x:c r="A14" s="52"/>
      <x:c r="B14" s="52"/>
      <x:c r="C14" s="52"/>
      <x:c r="D14" s="52"/>
      <x:c r="E14" s="52"/>
      <x:c r="F14" s="52"/>
      <x:c r="G14" s="52"/>
    </x:row>
    <x:row r="15">
      <x:c r="A15" s="52"/>
      <x:c r="B15" s="52"/>
      <x:c r="C15" s="52"/>
      <x:c r="D15" s="52"/>
      <x:c r="E15" s="57" t="str">
        <x:v>Trajectory Quality total</x:v>
      </x:c>
      <x:c r="F15" s="57" t="n">
        <x:v>100</x:v>
      </x:c>
      <x:c r="G15" s="57" t="n">
        <x:f>SUM(G8:G13)</x:f>
        <x:v>0</x:v>
      </x:c>
    </x:row>
    <x:row r="16">
      <x:c r="A16" s="52"/>
      <x:c r="B16" s="52"/>
      <x:c r="C16" s="52"/>
      <x:c r="D16" s="52"/>
      <x:c r="E16" s="52"/>
      <x:c r="F16" s="52"/>
      <x:c r="G16" s="52"/>
    </x:row>
    <x:row r="17">
      <x:c r="A17" s="52"/>
      <x:c r="B17" s="52"/>
      <x:c r="C17" s="52"/>
      <x:c r="D17" s="52"/>
      <x:c r="E17" s="52"/>
      <x:c r="F17" s="52"/>
      <x:c r="G17" s="52"/>
    </x:row>
    <x:row r="18">
      <x:c r="A18" s="52"/>
      <x:c r="B18" s="52"/>
      <x:c r="C18" s="52"/>
      <x:c r="D18" s="52"/>
      <x:c r="E18" s="52"/>
      <x:c r="F18" s="52"/>
      <x:c r="G18" s="52"/>
    </x:row>
    <x:row r="19">
      <x:c r="A19" s="52"/>
      <x:c r="B19" s="52"/>
      <x:c r="C19" s="52"/>
      <x:c r="D19" s="52"/>
      <x:c r="E19" s="52"/>
      <x:c r="F19" s="52"/>
      <x:c r="G19" s="52"/>
    </x:row>
    <x:row r="20">
      <x:c r="A20" s="52"/>
      <x:c r="B20" s="52"/>
      <x:c r="C20" s="52"/>
      <x:c r="D20" s="52"/>
      <x:c r="E20" s="52"/>
      <x:c r="F20" s="52"/>
      <x:c r="G20" s="52"/>
    </x:row>
  </x:sheetData>
  <x:mergeCells>
    <x:mergeCell ref="A1:G1"/>
    <x:mergeCell ref="A3:G4"/>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4" hidden="0" customWidth="1"/>
    <x:col min="3" max="3" width="38" hidden="0" customWidth="1"/>
    <x:col min="4" max="4" width="28" hidden="0" customWidth="1"/>
    <x:col min="5" max="5" width="28" hidden="0" customWidth="1"/>
    <x:col min="6" max="6" width="32" hidden="0" customWidth="1"/>
    <x:col min="7" max="7" width="10" hidden="0" customWidth="1"/>
  </x:cols>
  <x:sheetData>
    <x:row r="1">
      <x:c r="A1" s="95" t="str">
        <x:v>D2-2a: Tool Usage Efficiency (100 points)</x:v>
      </x:c>
      <x:c r="B1" s="95"/>
      <x:c r="C1" s="95"/>
      <x:c r="D1" s="95"/>
      <x:c r="E1" s="95"/>
      <x:c r="F1" s="95"/>
      <x:c r="G1" s="95"/>
    </x:row>
    <x:row r="2">
      <x:c r="A2" s="52"/>
      <x:c r="B2" s="52"/>
      <x:c r="C2" s="52"/>
      <x:c r="D2" s="52"/>
      <x:c r="E2" s="52"/>
      <x:c r="F2" s="52"/>
      <x:c r="G2" s="52"/>
    </x:row>
    <x:row r="3">
      <x:c r="A3" s="82" t="str">
        <x:v>Primary scientific tool: simulate_ro. Reference efficient trajectory: about 4–6 calls. Evaluate information gain, adaptive next-step selection, pruning, and stopping once boundary evidence is sufficient.</x:v>
      </x:c>
      <x:c r="B3" s="82"/>
      <x:c r="C3" s="82"/>
      <x:c r="D3" s="82"/>
      <x:c r="E3" s="82"/>
      <x:c r="F3" s="82"/>
      <x:c r="G3" s="82"/>
    </x:row>
    <x:row r="4">
      <x:c r="A4" s="82"/>
      <x:c r="B4" s="82"/>
      <x:c r="C4" s="82"/>
      <x:c r="D4" s="82"/>
      <x:c r="E4" s="82"/>
      <x:c r="F4" s="82"/>
      <x:c r="G4" s="82"/>
    </x:row>
    <x:row r="5">
      <x:c r="A5" s="52"/>
      <x:c r="B5" s="52"/>
      <x:c r="C5" s="52"/>
      <x:c r="D5" s="52"/>
      <x:c r="E5" s="52"/>
      <x:c r="F5" s="52"/>
      <x:c r="G5" s="52"/>
    </x:row>
    <x:row r="6">
      <x:c r="A6" s="52"/>
      <x:c r="B6" s="52"/>
      <x:c r="C6" s="52"/>
      <x:c r="D6" s="52"/>
      <x:c r="E6" s="52"/>
      <x:c r="F6" s="52"/>
      <x:c r="G6" s="52"/>
    </x:row>
    <x:row r="7">
      <x:c r="A7" s="56" t="str">
        <x:v>Efficiency dimension</x:v>
      </x:c>
      <x:c r="B7" s="56" t="str">
        <x:v>Focus</x:v>
      </x:c>
      <x:c r="C7" s="56" t="str">
        <x:v>Full-credit behavior</x:v>
      </x:c>
      <x:c r="D7" s="56" t="str">
        <x:v>Medium behavior</x:v>
      </x:c>
      <x:c r="E7" s="56" t="str">
        <x:v>Low-score behavior</x:v>
      </x:c>
      <x:c r="F7" s="56" t="str">
        <x:v>Task-specific observation</x:v>
      </x:c>
      <x:c r="G7" s="56" t="str">
        <x:v>Score</x:v>
      </x:c>
    </x:row>
    <x:row r="8">
      <x:c r="A8" s="57" t="str">
        <x:v>E1 Tool selection</x:v>
      </x:c>
      <x:c r="B8" s="57" t="str">
        <x:v>Use simulate_ro correctly</x:v>
      </x:c>
      <x:c r="C8" s="57" t="str">
        <x:v>Calls directly support temperature diagnosis/response</x:v>
      </x:c>
      <x:c r="D8" s="57" t="str">
        <x:v>Minor irrelevant calls</x:v>
      </x:c>
      <x:c r="E8" s="57" t="str">
        <x:v>Wrong tool</x:v>
      </x:c>
      <x:c r="F8" s="57" t="str">
        <x:v>Keep system design fixed</x:v>
      </x:c>
      <x:c r="G8" s="57" t="n">
        <x:v>20</x:v>
      </x:c>
    </x:row>
    <x:row r="9">
      <x:c r="A9" s="57" t="str">
        <x:v>E2 Information gain</x:v>
      </x:c>
      <x:c r="B9" s="57" t="str">
        <x:v>High-value diagnosis before refinement</x:v>
      </x:c>
      <x:c r="C9" s="57" t="str">
        <x:v>Same-setpoint diagnosis before boundary search</x:v>
      </x:c>
      <x:c r="D9" s="57" t="str">
        <x:v>A few extra boundary points</x:v>
      </x:c>
      <x:c r="E9" s="57" t="str">
        <x:v>Dense grid from the start</x:v>
      </x:c>
      <x:c r="F9" s="57" t="str">
        <x:v>Call order follows failure mechanism</x:v>
      </x:c>
      <x:c r="G9" s="57" t="n">
        <x:v>20</x:v>
      </x:c>
    </x:row>
    <x:row r="10">
      <x:c r="A10" s="57" t="str">
        <x:v>E3 Adaptive iteration</x:v>
      </x:c>
      <x:c r="B10" s="57" t="str">
        <x:v>Next call depends on prior result</x:v>
      </x:c>
      <x:c r="C10" s="57" t="str">
        <x:v>Change control direction based on Qp/Recovery evidence</x:v>
      </x:c>
      <x:c r="D10" s="57" t="str">
        <x:v>Partly adaptive</x:v>
      </x:c>
      <x:c r="E10" s="57" t="str">
        <x:v>Preset enumeration</x:v>
      </x:c>
      <x:c r="F10" s="57" t="str">
        <x:v>Switch between pressure and flow when justified</x:v>
      </x:c>
      <x:c r="G10" s="57" t="n">
        <x:v>20</x:v>
      </x:c>
    </x:row>
    <x:row r="11">
      <x:c r="A11" s="57" t="str">
        <x:v>E4 Pruning</x:v>
      </x:c>
      <x:c r="B11" s="57" t="str">
        <x:v>Stop resolved branches promptly</x:v>
      </x:c>
      <x:c r="C11" s="57" t="str">
        <x:v>Stop after boundary confirmation</x:v>
      </x:c>
      <x:c r="D11" s="57" t="str">
        <x:v>Minor repetition</x:v>
      </x:c>
      <x:c r="E11" s="57" t="str">
        <x:v>Continues solved branch</x:v>
      </x:c>
      <x:c r="F11" s="57" t="str">
        <x:v>Avoid unnecessary 2D scans</x:v>
      </x:c>
      <x:c r="G11" s="57" t="n">
        <x:v>20</x:v>
      </x:c>
    </x:row>
    <x:row r="12">
      <x:c r="A12" s="57" t="str">
        <x:v>E5 Convergence and stop</x:v>
      </x:c>
      <x:c r="B12" s="57" t="str">
        <x:v>Sufficient evidence within budget</x:v>
      </x:c>
      <x:c r="C12" s="57" t="str">
        <x:v>About 4–6 calls with complete fail/pass evidence</x:v>
      </x:c>
      <x:c r="D12" s="57" t="str">
        <x:v>Some redundancy</x:v>
      </x:c>
      <x:c r="E12" s="57" t="str">
        <x:v>Too many calls or insufficient evidence</x:v>
      </x:c>
      <x:c r="F12" s="57" t="str">
        <x:v>Near-boundary points must be verified</x:v>
      </x:c>
      <x:c r="G12" s="57" t="n">
        <x:v>20</x:v>
      </x:c>
    </x:row>
    <x:row r="13">
      <x:c r="A13" s="52"/>
      <x:c r="B13" s="52"/>
      <x:c r="C13" s="52"/>
      <x:c r="D13" s="52"/>
      <x:c r="E13" s="52"/>
      <x:c r="F13" s="52"/>
      <x:c r="G13" s="52"/>
    </x:row>
    <x:row r="14">
      <x:c r="A14" s="52"/>
      <x:c r="B14" s="52"/>
      <x:c r="C14" s="52"/>
      <x:c r="D14" s="52"/>
      <x:c r="E14" s="57" t="str">
        <x:v>Tool efficiency total</x:v>
      </x:c>
      <x:c r="F14" s="57" t="n">
        <x:v>100</x:v>
      </x:c>
      <x:c r="G14" s="57" t="n">
        <x:f>SUM(G8:G12)</x:f>
        <x:v>100</x:v>
      </x:c>
    </x:row>
    <x:row r="15">
      <x:c r="A15" s="52"/>
      <x:c r="B15" s="52"/>
      <x:c r="C15" s="52"/>
      <x:c r="D15" s="52"/>
      <x:c r="E15" s="52"/>
      <x:c r="F15" s="52"/>
      <x:c r="G15" s="52"/>
    </x:row>
    <x:row r="16">
      <x:c r="A16" s="52"/>
      <x:c r="B16" s="52"/>
      <x:c r="C16" s="52"/>
      <x:c r="D16" s="52"/>
      <x:c r="E16" s="52"/>
      <x:c r="F16" s="52"/>
      <x:c r="G16" s="52"/>
    </x:row>
    <x:row r="17">
      <x:c r="A17" s="52"/>
      <x:c r="B17" s="52"/>
      <x:c r="C17" s="52"/>
      <x:c r="D17" s="52"/>
      <x:c r="E17" s="52"/>
      <x:c r="F17" s="52"/>
      <x:c r="G17" s="52"/>
    </x:row>
    <x:row r="18">
      <x:c r="A18" s="52"/>
      <x:c r="B18" s="52"/>
      <x:c r="C18" s="52"/>
      <x:c r="D18" s="52"/>
      <x:c r="E18" s="52"/>
      <x:c r="F18" s="52"/>
      <x:c r="G18" s="52"/>
    </x:row>
  </x:sheetData>
  <x:mergeCells>
    <x:mergeCell ref="A1:G1"/>
    <x:mergeCell ref="A3:G4"/>
  </x:mergeCells>
  <x:pageMargins left="0.7" right="0.7" top="0.75" bottom="0.75" header="0.3" footer="0.3"/>
</x:worksheet>
</file>