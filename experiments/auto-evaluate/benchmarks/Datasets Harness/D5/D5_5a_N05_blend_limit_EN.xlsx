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a72a022d6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78a78395f484b07"/>
    <x:sheet xmlns:r="http://schemas.openxmlformats.org/officeDocument/2006/relationships" name="Gold_Answer_A" sheetId="2" r:id="Rbb2f4fea78d94f19"/>
    <x:sheet xmlns:r="http://schemas.openxmlformats.org/officeDocument/2006/relationships" name="Trajectory_Rubric" sheetId="3" r:id="R689da0ae004249a3"/>
    <x:sheet xmlns:r="http://schemas.openxmlformats.org/officeDocument/2006/relationships" name="Tool_Efficiency" sheetId="4" r:id="R611cca5ac8a2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8d5cf0af54627" /><Relationship Type="http://schemas.openxmlformats.org/officeDocument/2006/relationships/theme" Target="/xl/theme/theme1.xml" Id="Rf5f7222be6c2406a" /><Relationship Type="http://schemas.openxmlformats.org/officeDocument/2006/relationships/sharedStrings" Target="/xl/sharedStrings.xml" Id="Ra8b9265fe7684826" /><Relationship Type="http://schemas.openxmlformats.org/officeDocument/2006/relationships/worksheet" Target="/xl/worksheets/sheet1.xml" Id="Rc78a78395f484b07" /><Relationship Type="http://schemas.openxmlformats.org/officeDocument/2006/relationships/worksheet" Target="/xl/worksheets/sheet2.xml" Id="Rbb2f4fea78d94f19" /><Relationship Type="http://schemas.openxmlformats.org/officeDocument/2006/relationships/worksheet" Target="/xl/worksheets/sheet3.xml" Id="R689da0ae004249a3" /><Relationship Type="http://schemas.openxmlformats.org/officeDocument/2006/relationships/worksheet" Target="/xl/worksheets/sheet4.xml" Id="R611cca5ac8a245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1a67a7614f42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Source-B fraction vs Gypsum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Gypsum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1a67a7614f42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7813c7f27b34d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N05: Maximum Blend Fraction of Ca/SO4-Rich Intrusion Water</x:v>
      </x:c>
      <x:c r="B1" s="5" t="str">
        <x:v>D5-5a N05: Maximum Blend Fraction of Ca/SO4-Rich Intrusion Water</x:v>
      </x:c>
      <x:c r="C1" s="5" t="str">
        <x:v>D5-5a N05: Maximum Blend Fraction of Ca/SO4-Rich Intrusion Water</x:v>
      </x:c>
      <x:c r="D1" s="5" t="str">
        <x:v>D5-5a N05: Maximum Blend Fraction of Ca/SO4-Rich Intrusion Water</x:v>
      </x:c>
      <x:c r="E1" s="5" t="str">
        <x:v>D5-5a N05: Maximum Blend Fraction of Ca/SO4-Rich Intrusion Water</x:v>
      </x:c>
      <x:c r="F1" s="5" t="str">
        <x:v>D5-5a N05: Maximum Blend Fraction of Ca/SO4-Rich Intrusion Water</x:v>
      </x:c>
      <x:c r="G1" s="5" t="str">
        <x:v>D5-5a N05: Maximum Blend Fraction of Ca/SO4-Rich Intrusion Water</x:v>
      </x:c>
      <x:c r="H1" s="5" t="str">
        <x:v>D5-5a N05: Maximum Blend Fraction of Ca/SO4-Rich Intrusion Water</x:v>
      </x:c>
    </x:row>
    <x:row r="2" ht="25" customHeight="1">
      <x:c r="A2" s="5" t="str">
        <x:v>D5-5a N05: Maximum Blend Fraction of Ca/SO4-Rich Intrusion Water</x:v>
      </x:c>
      <x:c r="B2" s="5" t="str">
        <x:v>D5-5a N05: Maximum Blend Fraction of Ca/SO4-Rich Intrusion Water</x:v>
      </x:c>
      <x:c r="C2" s="5" t="str">
        <x:v>D5-5a N05: Maximum Blend Fraction of Ca/SO4-Rich Intrusion Water</x:v>
      </x:c>
      <x:c r="D2" s="5" t="str">
        <x:v>D5-5a N05: Maximum Blend Fraction of Ca/SO4-Rich Intrusion Water</x:v>
      </x:c>
      <x:c r="E2" s="5" t="str">
        <x:v>D5-5a N05: Maximum Blend Fraction of Ca/SO4-Rich Intrusion Water</x:v>
      </x:c>
      <x:c r="F2" s="5" t="str">
        <x:v>D5-5a N05: Maximum Blend Fraction of Ca/SO4-Rich Intrusion Water</x:v>
      </x:c>
      <x:c r="G2" s="5" t="str">
        <x:v>D5-5a N05: Maximum Blend Fraction of Ca/SO4-Rich Intrusion Water</x:v>
      </x:c>
      <x:c r="H2" s="5" t="str">
        <x:v>D5-5a N05: Maximum Blend Fraction of Ca/SO4-Rich Intrusion Water</x:v>
      </x:c>
    </x:row>
    <x:row r="4" ht="28" customHeight="1">
      <x:c r="A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B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C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D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E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F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G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H4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</x:row>
    <x:row r="5" ht="28" customHeight="1">
      <x:c r="A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B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C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D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E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F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G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H5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</x:row>
    <x:row r="6" ht="28" customHeight="1">
      <x:c r="A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B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C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D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E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F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G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  <x:c r="H6" s="9" t="str">
        <x:v>During the dry season, a SWRO intake mixes with groundwater intrusion source B that is much richer in Ca and SO4. Sources A and B blend linearly by flow, while recovery, pH and temperature remain fixed. Use equilibrate_feed, constructing the mixed composition at each tested B fraction. Find the maximum B fraction for which all specified minerals have SI&lt;0, and then the recommended maximum with Gypsum SI≤-0.05. Prove both boundaries with adjacent pass/fail points at one percentage-point resolution.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Temperature</x:v>
      </x:c>
      <x:c r="B10" s="23" t="n">
        <x:v>25</x:v>
      </x:c>
      <x:c r="C10" s="22" t="str">
        <x:v>°C</x:v>
      </x:c>
      <x:c r="D10" s="22" t="str">
        <x:v>fixed</x:v>
      </x:c>
      <x:c r="F10" s="22" t="str">
        <x:v>Basic safety</x:v>
      </x:c>
      <x:c r="G10" s="22" t="str">
        <x:v>All listed mineral SI&lt;0</x:v>
      </x:c>
      <x:c r="H10" s="22" t="str">
        <x:v>Thermodynamically undersaturated</x:v>
      </x:c>
    </x:row>
    <x:row r="11" ht="28" customHeight="1">
      <x:c r="A11" s="22" t="str">
        <x:v>Pressure</x:v>
      </x:c>
      <x:c r="B11" s="23" t="n">
        <x:v>1.013</x:v>
      </x:c>
      <x:c r="C11" s="22" t="str">
        <x:v>bar</x:v>
      </x:c>
      <x:c r="D11" s="22" t="str">
        <x:v>chemical equilibrium</x:v>
      </x:c>
      <x:c r="F11" s="22" t="str">
        <x:v>Recommended margin</x:v>
      </x:c>
      <x:c r="G11" s="22" t="str">
        <x:v>Gypsum SI≤-0.05</x:v>
      </x:c>
      <x:c r="H11" s="22" t="str">
        <x:v>Benchmark-specific; not a universal standard</x:v>
      </x:c>
    </x:row>
    <x:row r="12" ht="28" customHeight="1">
      <x:c r="A12" s="22" t="str">
        <x:v>Feed pH</x:v>
      </x:c>
      <x:c r="B12" s="23" t="n">
        <x:v>6.4</x:v>
      </x:c>
      <x:c r="C12" s="22" t="str">
        <x:v>-</x:v>
      </x:c>
      <x:c r="D12" s="22" t="str">
        <x:v>fixed</x:v>
      </x:c>
      <x:c r="F12" s="22" t="str">
        <x:v>Objective</x:v>
      </x:c>
      <x:c r="G12" s="22" t="str">
        <x:v>Maximize source-B blend fraction</x:v>
      </x:c>
      <x:c r="H12" s="22" t="str">
        <x:v>Adjacent pass/fail proof required</x:v>
      </x:c>
    </x:row>
    <x:row r="13" ht="28" customHeight="1">
      <x:c r="A13" s="22" t="str">
        <x:v>Water recovery</x:v>
      </x:c>
      <x:c r="B13" s="23" t="n">
        <x:v>0.48</x:v>
      </x:c>
      <x:c r="C13" s="22" t="str">
        <x:v>-</x:v>
      </x:c>
      <x:c r="D13" s="22" t="str">
        <x:v>fixed</x:v>
      </x:c>
    </x:row>
    <x:row r="14" ht="28" customHeight="1">
      <x:c r="A14" s="22" t="str">
        <x:v>Minerals</x:v>
      </x:c>
      <x:c r="B14" s="23" t="str">
        <x:v>Gypsum, Anhydrite, Calcite</x:v>
      </x:c>
      <x:c r="C14" s="22" t="str">
        <x:v>-</x:v>
      </x:c>
      <x:c r="D14" s="22" t="str">
        <x:v>evaluate all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Mixing rule</x:v>
      </x:c>
      <x:c r="B15" s="23" t="str">
        <x:v>linear by molar flow</x:v>
      </x:c>
      <x:c r="C15" s="22" t="str">
        <x:v>-</x:v>
      </x:c>
      <x:c r="D15" s="22" t="str">
        <x:v>same H2O basis</x:v>
      </x:c>
      <x:c r="F15" s="24" t="str">
        <x:v>1. Run pure source A and pure source B to identify the feasible direction.</x:v>
      </x:c>
      <x:c r="G15" s="24" t="str">
        <x:v>1. Run pure source A and pure source B to identify the feasible direction.</x:v>
      </x:c>
      <x:c r="H15" s="24" t="str">
        <x:v>1. Run pure source A and pure source B to identify the feasible direction.</x:v>
      </x:c>
    </x:row>
    <x:row r="16" ht="28" customHeight="1">
      <x:c r="A16" s="22" t="str">
        <x:v>Primary tool</x:v>
      </x:c>
      <x:c r="B16" s="23" t="str">
        <x:v>equilibrate_feed</x:v>
      </x:c>
      <x:c r="C16" s="22" t="str">
        <x:v>-</x:v>
      </x:c>
      <x:c r="D16" s="22" t="str">
        <x:v>rebuild composition per blend</x:v>
      </x:c>
      <x:c r="F16" s="24" t="str">
        <x:v>2. Use intermediate blend probes to establish a safe/unsafe bracket.</x:v>
      </x:c>
      <x:c r="G16" s="24" t="str">
        <x:v>2. Use intermediate blend probes to establish a safe/unsafe bracket.</x:v>
      </x:c>
      <x:c r="H16" s="24" t="str">
        <x:v>2. Use intermediate blend probes to establish a safe/unsafe bracket.</x:v>
      </x:c>
    </x:row>
    <x:row r="17" ht="28" customHeight="1">
      <x:c r="F17" s="24" t="str">
        <x:v>3. Locate the maximum basic-safe B fraction at 1% resolution.</x:v>
      </x:c>
      <x:c r="G17" s="24" t="str">
        <x:v>3. Locate the maximum basic-safe B fraction at 1% resolution.</x:v>
      </x:c>
      <x:c r="H17" s="24" t="str">
        <x:v>3. Locate the maximum basic-safe B fraction at 1%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Locate the stricter Gypsum SI≤-0.05 blend limit.</x:v>
      </x:c>
      <x:c r="G18" s="24" t="str">
        <x:v>4. Locate the stricter Gypsum SI≤-0.05 blend limit.</x:v>
      </x:c>
      <x:c r="H18" s="24" t="str">
        <x:v>4. Locate the stricter Gypsum SI≤-0.05 blend limit.</x:v>
      </x:c>
    </x:row>
    <x:row r="19" ht="25" customHeight="1">
      <x:c r="A19" s="18" t="str">
        <x:v>Species</x:v>
      </x:c>
      <x:c r="B19" s="18" t="str">
        <x:v>Source A mol/s</x:v>
      </x:c>
      <x:c r="C19" s="18" t="str">
        <x:v>Source B mol/s</x:v>
      </x:c>
      <x:c r="D19" s="18" t="str">
        <x:v>Note</x:v>
      </x:c>
      <x:c r="F19" s="24" t="str">
        <x:v>5. Report which mineral controls and state the operating blend cap.</x:v>
      </x:c>
      <x:c r="G19" s="24" t="str">
        <x:v>5. Report which mineral controls and state the operating blend cap.</x:v>
      </x:c>
      <x:c r="H19" s="24" t="str">
        <x:v>5. Report which mineral controls and state the operating blend cap.</x:v>
      </x:c>
    </x:row>
    <x:row r="20" ht="26" customHeight="1">
      <x:c r="A20" s="22" t="str">
        <x:v>H2O</x:v>
      </x:c>
      <x:c r="B20" s="22" t="n">
        <x:v>55.5</x:v>
      </x:c>
      <x:c r="C20" s="22" t="n">
        <x:v>55.5</x:v>
      </x:c>
      <x:c r="D20" s="22" t="str">
        <x:v>same basis</x:v>
      </x:c>
    </x:row>
    <x:row r="21" ht="26" customHeight="1">
      <x:c r="A21" s="22" t="str">
        <x:v>Na</x:v>
      </x:c>
      <x:c r="B21" s="22" t="n">
        <x:v>0.45</x:v>
      </x:c>
      <x:c r="C21" s="22" t="n">
        <x:v>0.44</x:v>
      </x:c>
      <x:c r="D21" s="22" t="str"/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0.525</x:v>
      </x:c>
      <x:c r="C22" s="22" t="n">
        <x:v>0.52</x:v>
      </x:c>
      <x:c r="D22" s="22" t="str"/>
      <x:c r="F22" s="22" t="str">
        <x:v>Variable</x:v>
      </x:c>
      <x:c r="G22" s="22" t="str">
        <x:v>Source-B fraction</x:v>
      </x:c>
      <x:c r="H22" s="22" t="str">
        <x:v>-</x:v>
      </x:c>
    </x:row>
    <x:row r="23" ht="26" customHeight="1">
      <x:c r="A23" s="22" t="str">
        <x:v>Mg</x:v>
      </x:c>
      <x:c r="B23" s="22" t="n">
        <x:v>0.05</x:v>
      </x:c>
      <x:c r="C23" s="22" t="n">
        <x:v>0.05</x:v>
      </x:c>
      <x:c r="D23" s="22" t="str"/>
      <x:c r="F23" s="22" t="str">
        <x:v>Resolution</x:v>
      </x:c>
      <x:c r="G23" s="22" t="str">
        <x:v>0.01</x:v>
      </x:c>
      <x:c r="H23" s="22" t="str">
        <x:v>Final boundary</x:v>
      </x:c>
    </x:row>
    <x:row r="24" ht="26" customHeight="1">
      <x:c r="A24" s="22" t="str">
        <x:v>SO4</x:v>
      </x:c>
      <x:c r="B24" s="22" t="n">
        <x:v>0.025</x:v>
      </x:c>
      <x:c r="C24" s="22" t="n">
        <x:v>0.05</x:v>
      </x:c>
      <x:c r="D24" s="22" t="str">
        <x:v>B elevated</x:v>
      </x:c>
      <x:c r="F24" s="22" t="str">
        <x:v>Primary tool</x:v>
      </x:c>
      <x:c r="G24" s="22" t="str">
        <x:v>equilibrate_feed</x:v>
      </x:c>
      <x:c r="H24" s="22" t="str">
        <x:v>8-call reference trajectory</x:v>
      </x:c>
    </x:row>
    <x:row r="25" ht="26" customHeight="1">
      <x:c r="A25" s="22" t="str">
        <x:v>Ca</x:v>
      </x:c>
      <x:c r="B25" s="22" t="n">
        <x:v>0.01</x:v>
      </x:c>
      <x:c r="C25" s="22" t="n">
        <x:v>0.035</x:v>
      </x:c>
      <x:c r="D25" s="22" t="str">
        <x:v>B elevated</x:v>
      </x:c>
      <x:c r="F25" s="22" t="str">
        <x:v>Controlling mineral</x:v>
      </x:c>
      <x:c r="G25" s="22" t="str">
        <x:v>Gypsum</x:v>
      </x:c>
      <x:c r="H25" s="22" t="str">
        <x:v>Confirmed from baseline/probes</x:v>
      </x:c>
    </x:row>
    <x:row r="26" ht="26" customHeight="1">
      <x:c r="A26" s="22" t="str">
        <x:v>HCO3</x:v>
      </x:c>
      <x:c r="B26" s="22" t="n">
        <x:v>0.002</x:v>
      </x:c>
      <x:c r="C26" s="22" t="n">
        <x:v>0.002</x:v>
      </x:c>
      <x:c r="D26" s="22" t="str"/>
    </x:row>
    <x:row r="27" ht="26" customHeight="1">
      <x:c r="F27" s="28" t="str">
        <x:v>Scope: rebuild the mixed ionic composition for every tool call. Do not enter B fraction as water_recovery, and do not linearly interpolate SI.</x:v>
      </x:c>
      <x:c r="G27" s="28" t="str">
        <x:v>Scope: rebuild the mixed ionic composition for every tool call. Do not enter B fraction as water_recovery, and do not linearly interpolate SI.</x:v>
      </x:c>
      <x:c r="H27" s="28" t="str">
        <x:v>Scope: rebuild the mixed ionic composition for every tool call. Do not enter B fraction as water_recovery, and do not linearly interpolate SI.</x:v>
      </x:c>
    </x:row>
    <x:row r="28" ht="26" customHeight="1">
      <x:c r="F28" s="28" t="str">
        <x:v>Scope: rebuild the mixed ionic composition for every tool call. Do not enter B fraction as water_recovery, and do not linearly interpolate SI.</x:v>
      </x:c>
      <x:c r="G28" s="28" t="str">
        <x:v>Scope: rebuild the mixed ionic composition for every tool call. Do not enter B fraction as water_recovery, and do not linearly interpolate SI.</x:v>
      </x:c>
      <x:c r="H28" s="28" t="str">
        <x:v>Scope: rebuild the mixed ionic composition for every tool call. Do not enter B fraction as water_recovery, and do not linearly interpolate SI.</x:v>
      </x:c>
    </x:row>
    <x:row r="29" ht="26" customHeight="1">
      <x:c r="F29" s="28" t="str">
        <x:v>Scope: rebuild the mixed ionic composition for every tool call. Do not enter B fraction as water_recovery, and do not linearly interpolate SI.</x:v>
      </x:c>
      <x:c r="G29" s="28" t="str">
        <x:v>Scope: rebuild the mixed ionic composition for every tool call. Do not enter B fraction as water_recovery, and do not linearly interpolate SI.</x:v>
      </x:c>
      <x:c r="H29" s="28" t="str">
        <x:v>Scope: rebuild the mixed ionic composition for every tool call. Do not enter B fraction as water_recovery, and do not linearly interpolate SI.</x:v>
      </x:c>
    </x:row>
    <x:row r="30" ht="26" customHeight="1">
      <x:c r="F30" s="28" t="str">
        <x:v>Scope: rebuild the mixed ionic composition for every tool call. Do not enter B fraction as water_recovery, and do not linearly interpolate SI.</x:v>
      </x:c>
      <x:c r="G30" s="28" t="str">
        <x:v>Scope: rebuild the mixed ionic composition for every tool call. Do not enter B fraction as water_recovery, and do not linearly interpolate SI.</x:v>
      </x:c>
      <x:c r="H30" s="28" t="str">
        <x:v>Scope: rebuild the mixed ionic composition for every tool call. Do not enter B fraction as water_recovery, and do not linearly interpolate SI.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N05: Stepwise Gold Answer — Maximum Blend Fraction of Ca/SO4-Rich Intrusion Water</x:v>
      </x:c>
      <x:c r="B1" s="5" t="str">
        <x:v>D5-5a N05: Stepwise Gold Answer — Maximum Blend Fraction of Ca/SO4-Rich Intrusion Water</x:v>
      </x:c>
      <x:c r="C1" s="5" t="str">
        <x:v>D5-5a N05: Stepwise Gold Answer — Maximum Blend Fraction of Ca/SO4-Rich Intrusion Water</x:v>
      </x:c>
      <x:c r="D1" s="5" t="str">
        <x:v>D5-5a N05: Stepwise Gold Answer — Maximum Blend Fraction of Ca/SO4-Rich Intrusion Water</x:v>
      </x:c>
      <x:c r="E1" s="5" t="str">
        <x:v>D5-5a N05: Stepwise Gold Answer — Maximum Blend Fraction of Ca/SO4-Rich Intrusion Water</x:v>
      </x:c>
      <x:c r="F1" s="5" t="str">
        <x:v>D5-5a N05: Stepwise Gold Answer — Maximum Blend Fraction of Ca/SO4-Rich Intrusion Water</x:v>
      </x:c>
      <x:c r="G1" s="5" t="str">
        <x:v>D5-5a N05: Stepwise Gold Answer — Maximum Blend Fraction of Ca/SO4-Rich Intrusion Water</x:v>
      </x:c>
      <x:c r="H1" s="5" t="str">
        <x:v>D5-5a N05: Stepwise Gold Answer — Maximum Blend Fraction of Ca/SO4-Rich Intrusion Water</x:v>
      </x:c>
      <x:c r="I1" s="5" t="str">
        <x:v>D5-5a N05: Stepwise Gold Answer — Maximum Blend Fraction of Ca/SO4-Rich Intrusion Water</x:v>
      </x:c>
      <x:c r="J1" s="5" t="str">
        <x:v>D5-5a N05: Stepwise Gold Answer — Maximum Blend Fraction of Ca/SO4-Rich Intrusion Water</x:v>
      </x:c>
      <x:c r="K1" s="5" t="str">
        <x:v>D5-5a N05: Stepwise Gold Answer — Maximum Blend Fraction of Ca/SO4-Rich Intrusion Water</x:v>
      </x:c>
      <x:c r="L1" s="5" t="str">
        <x:v>D5-5a N05: Stepwise Gold Answer — Maximum Blend Fraction of Ca/SO4-Rich Intrusion Water</x:v>
      </x:c>
      <x:c r="M1" s="5" t="str">
        <x:v>D5-5a N05: Stepwise Gold Answer — Maximum Blend Fraction of Ca/SO4-Rich Intrusion Water</x:v>
      </x:c>
      <x:c r="N1" s="5" t="str">
        <x:v>D5-5a N05: Stepwise Gold Answer — Maximum Blend Fraction of Ca/SO4-Rich Intrusion Water</x:v>
      </x:c>
      <x:c r="O1" s="5" t="str">
        <x:v>D5-5a N05: Stepwise Gold Answer — Maximum Blend Fraction of Ca/SO4-Rich Intrusion Water</x:v>
      </x:c>
      <x:c r="P1" s="5" t="str">
        <x:v>D5-5a N05: Stepwise Gold Answer — Maximum Blend Fraction of Ca/SO4-Rich Intrusion Water</x:v>
      </x:c>
    </x:row>
    <x:row r="2">
      <x:c r="A2" s="5" t="str">
        <x:v>D5-5a N05: Stepwise Gold Answer — Maximum Blend Fraction of Ca/SO4-Rich Intrusion Water</x:v>
      </x:c>
      <x:c r="B2" s="5" t="str">
        <x:v>D5-5a N05: Stepwise Gold Answer — Maximum Blend Fraction of Ca/SO4-Rich Intrusion Water</x:v>
      </x:c>
      <x:c r="C2" s="5" t="str">
        <x:v>D5-5a N05: Stepwise Gold Answer — Maximum Blend Fraction of Ca/SO4-Rich Intrusion Water</x:v>
      </x:c>
      <x:c r="D2" s="5" t="str">
        <x:v>D5-5a N05: Stepwise Gold Answer — Maximum Blend Fraction of Ca/SO4-Rich Intrusion Water</x:v>
      </x:c>
      <x:c r="E2" s="5" t="str">
        <x:v>D5-5a N05: Stepwise Gold Answer — Maximum Blend Fraction of Ca/SO4-Rich Intrusion Water</x:v>
      </x:c>
      <x:c r="F2" s="5" t="str">
        <x:v>D5-5a N05: Stepwise Gold Answer — Maximum Blend Fraction of Ca/SO4-Rich Intrusion Water</x:v>
      </x:c>
      <x:c r="G2" s="5" t="str">
        <x:v>D5-5a N05: Stepwise Gold Answer — Maximum Blend Fraction of Ca/SO4-Rich Intrusion Water</x:v>
      </x:c>
      <x:c r="H2" s="5" t="str">
        <x:v>D5-5a N05: Stepwise Gold Answer — Maximum Blend Fraction of Ca/SO4-Rich Intrusion Water</x:v>
      </x:c>
      <x:c r="I2" s="5" t="str">
        <x:v>D5-5a N05: Stepwise Gold Answer — Maximum Blend Fraction of Ca/SO4-Rich Intrusion Water</x:v>
      </x:c>
      <x:c r="J2" s="5" t="str">
        <x:v>D5-5a N05: Stepwise Gold Answer — Maximum Blend Fraction of Ca/SO4-Rich Intrusion Water</x:v>
      </x:c>
      <x:c r="K2" s="5" t="str">
        <x:v>D5-5a N05: Stepwise Gold Answer — Maximum Blend Fraction of Ca/SO4-Rich Intrusion Water</x:v>
      </x:c>
      <x:c r="L2" s="5" t="str">
        <x:v>D5-5a N05: Stepwise Gold Answer — Maximum Blend Fraction of Ca/SO4-Rich Intrusion Water</x:v>
      </x:c>
      <x:c r="M2" s="5" t="str">
        <x:v>D5-5a N05: Stepwise Gold Answer — Maximum Blend Fraction of Ca/SO4-Rich Intrusion Water</x:v>
      </x:c>
      <x:c r="N2" s="5" t="str">
        <x:v>D5-5a N05: Stepwise Gold Answer — Maximum Blend Fraction of Ca/SO4-Rich Intrusion Water</x:v>
      </x:c>
      <x:c r="O2" s="5" t="str">
        <x:v>D5-5a N05: Stepwise Gold Answer — Maximum Blend Fraction of Ca/SO4-Rich Intrusion Water</x:v>
      </x:c>
      <x:c r="P2" s="5" t="str">
        <x:v>D5-5a N05: Stepwise Gold Answer — Maximum Blend Fraction of Ca/SO4-Rich Intrusion Water</x:v>
      </x:c>
    </x:row>
    <x:row r="4" ht="25" customHeight="1">
      <x:c r="A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B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C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D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E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F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G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H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I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J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K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L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M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N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O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P4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B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C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D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E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F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G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H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I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J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K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L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M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N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O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P5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B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C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D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E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F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G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H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I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J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K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L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M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N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O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  <x:c r="P6" s="32" t="str">
        <x:v>Reference efficient trajectory: 8 equilibrate_feed calls: 0.000 → 1.000 → 0.4000 → 0.6000 → 0.4300 → 0.4400 → 0.3600 → 0.3700.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Endpoints</x:v>
      </x:c>
      <x:c r="B10" s="22" t="str">
        <x:v>Blend direction unknown</x:v>
      </x:c>
      <x:c r="C10" s="22" t="str">
        <x:v>B=0→100%</x:v>
      </x:c>
      <x:c r="D10" s="22" t="str">
        <x:v>Gypsum SI -0.418→+0.299</x:v>
      </x:c>
      <x:c r="E10" s="22" t="str">
        <x:v>More B raises risk</x:v>
      </x:c>
      <x:c r="F10" s="22" t="str">
        <x:v>Probe midpoint</x:v>
      </x:c>
      <x:c r="G10" s="22" t="str">
        <x:v>Problem diagnosis</x:v>
      </x:c>
    </x:row>
    <x:row r="11" ht="45" customHeight="1">
      <x:c r="A11" s="22" t="str">
        <x:v>2 Coarse bracket</x:v>
      </x:c>
      <x:c r="B11" s="22" t="str">
        <x:v>Narrow 0–100%</x:v>
      </x:c>
      <x:c r="C11" s="22" t="str">
        <x:v>40%→60%</x:v>
      </x:c>
      <x:c r="D11" s="22" t="str">
        <x:v>-0.0243→+0.1051</x:v>
      </x:c>
      <x:c r="E11" s="22" t="str">
        <x:v>40 safe / 60 fails</x:v>
      </x:c>
      <x:c r="F11" s="22" t="str">
        <x:v>Refine 40–60%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Find highest fraction with SI&lt;0</x:v>
      </x:c>
      <x:c r="C12" s="22" t="str">
        <x:v>43%→44%</x:v>
      </x:c>
      <x:c r="D12" s="22" t="str">
        <x:v>-0.00302→+0.00392</x:v>
      </x:c>
      <x:c r="E12" s="22" t="str">
        <x:v>43 pass / 44 fail</x:v>
      </x:c>
      <x:c r="F12" s="22" t="str">
        <x:v>Basic maximum 43%</x:v>
      </x:c>
      <x:c r="G12" s="22" t="str">
        <x:v>Adaptive search</x:v>
      </x:c>
    </x:row>
    <x:row r="13" ht="45" customHeight="1">
      <x:c r="A13" s="22" t="str">
        <x:v>4 Safety margin</x:v>
      </x:c>
      <x:c r="B13" s="22" t="str">
        <x:v>Need SI≤-0.05</x:v>
      </x:c>
      <x:c r="C13" s="22" t="str">
        <x:v>36%→37%</x:v>
      </x:c>
      <x:c r="D13" s="22" t="str">
        <x:v>-0.05402→-0.04646</x:v>
      </x:c>
      <x:c r="E13" s="22" t="str">
        <x:v>36 pass / 37 fail</x:v>
      </x:c>
      <x:c r="F13" s="22" t="str">
        <x:v>Recommended maximum 36%</x:v>
      </x:c>
      <x:c r="G13" s="22" t="str">
        <x:v>Second boundary</x:v>
      </x:c>
    </x:row>
    <x:row r="14" ht="45" customHeight="1">
      <x:c r="A14" s="22" t="str">
        <x:v>5 Decision</x:v>
      </x:c>
      <x:c r="B14" s="22" t="str">
        <x:v>Gypsum clearly controls</x:v>
      </x:c>
      <x:c r="C14" s="22" t="str">
        <x:v>Review other minerals</x:v>
      </x:c>
      <x:c r="D14" s="22" t="str">
        <x:v>Recommend B≤36%</x:v>
      </x:c>
      <x:c r="E14" s="22" t="str">
        <x:v>Rebuild online blend composition</x:v>
      </x:c>
      <x:c r="F14" s="22" t="str">
        <x:v>Set source-dispatch cap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Source-B fraction</x:v>
      </x:c>
      <x:c r="C18" s="18" t="str">
        <x:v>Source B %</x:v>
      </x:c>
      <x:c r="D18" s="18" t="str">
        <x:v>Concentration factor</x:v>
      </x:c>
      <x:c r="E18" s="18" t="str">
        <x:v>Gypsum SI</x:v>
      </x:c>
      <x:c r="F18" s="18" t="str">
        <x:v>Anhydrite SI</x:v>
      </x:c>
      <x:c r="G18" s="18" t="str">
        <x:v>Calcite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1" t="str">
        <x:v>Source-B fraction</x:v>
      </x:c>
      <x:c r="P18" s="41" t="str">
        <x:v>Gypsum SI</x:v>
      </x:c>
    </x:row>
    <x:row r="19" ht="27" customHeight="1">
      <x:c r="A19" s="34" t="n">
        <x:v>1</x:v>
      </x:c>
      <x:c r="B19" s="35" t="n">
        <x:v>0</x:v>
      </x:c>
      <x:c r="C19" s="35" t="n">
        <x:f>B19*100</x:f>
        <x:v>0</x:v>
      </x:c>
      <x:c r="D19" s="35" t="n">
        <x:f>1/(1-0.48)</x:f>
        <x:v>1.923076923076923</x:v>
      </x:c>
      <x:c r="E19" s="36" t="n">
        <x:v>-0.4180308223</x:v>
      </x:c>
      <x:c r="F19" s="36" t="n">
        <x:v>-0.7379522845</x:v>
      </x:c>
      <x:c r="G19" s="36" t="n">
        <x:v>-0.9099884316</x:v>
      </x:c>
      <x:c r="H19" s="36" t="n">
        <x:v>6.321551654</x:v>
      </x:c>
      <x:c r="I19" s="36" t="n">
        <x:v>46.35330722</x:v>
      </x:c>
      <x:c r="J19" s="38" t="str">
        <x:v>PASS</x:v>
      </x:c>
      <x:c r="K19" s="38" t="str">
        <x:v>PASS</x:v>
      </x:c>
      <x:c r="L19" s="34" t="str">
        <x:v>Pure-A safe baseline</x:v>
      </x:c>
      <x:c r="O19" s="41" t="n">
        <x:v>0</x:v>
      </x:c>
      <x:c r="P19" s="41" t="n">
        <x:v>-0.4180308223</x:v>
      </x:c>
    </x:row>
    <x:row r="20" ht="27" customHeight="1">
      <x:c r="A20" s="34" t="n">
        <x:v>2</x:v>
      </x:c>
      <x:c r="B20" s="35" t="n">
        <x:v>1</x:v>
      </x:c>
      <x:c r="C20" s="35" t="n">
        <x:f>B20*100</x:f>
        <x:v>100</x:v>
      </x:c>
      <x:c r="D20" s="35" t="n">
        <x:f>1/(1-0.48)</x:f>
        <x:v>1.923076923076923</x:v>
      </x:c>
      <x:c r="E20" s="36" t="n">
        <x:v>0.2993414513</x:v>
      </x:c>
      <x:c r="F20" s="36" t="n">
        <x:v>-0.0203504809</x:v>
      </x:c>
      <x:c r="G20" s="36" t="n">
        <x:v>-0.4158491202</x:v>
      </x:c>
      <x:c r="H20" s="36" t="n">
        <x:v>6.328635153</x:v>
      </x:c>
      <x:c r="I20" s="36" t="n">
        <x:v>46.71584202</x:v>
      </x:c>
      <x:c r="J20" s="40" t="str">
        <x:v>FAIL</x:v>
      </x:c>
      <x:c r="K20" s="40" t="str">
        <x:v>FAIL</x:v>
      </x:c>
      <x:c r="L20" s="34" t="str">
        <x:v>Pure-B fails</x:v>
      </x:c>
      <x:c r="O20" s="41" t="n">
        <x:v>1</x:v>
      </x:c>
      <x:c r="P20" s="41" t="n">
        <x:v>0.2993414513</x:v>
      </x:c>
    </x:row>
    <x:row r="21" ht="27" customHeight="1">
      <x:c r="A21" s="34" t="n">
        <x:v>3</x:v>
      </x:c>
      <x:c r="B21" s="35" t="n">
        <x:v>0.4</x:v>
      </x:c>
      <x:c r="C21" s="35" t="n">
        <x:f>B21*100</x:f>
        <x:v>40</x:v>
      </x:c>
      <x:c r="D21" s="35" t="n">
        <x:f>1/(1-0.48)</x:f>
        <x:v>1.923076923076923</x:v>
      </x:c>
      <x:c r="E21" s="36" t="n">
        <x:v>-0.0243432104</x:v>
      </x:c>
      <x:c r="F21" s="36" t="n">
        <x:v>-0.344164477</x:v>
      </x:c>
      <x:c r="G21" s="36" t="n">
        <x:v>-0.6300736224</x:v>
      </x:c>
      <x:c r="H21" s="36" t="n">
        <x:v>6.324547814</x:v>
      </x:c>
      <x:c r="I21" s="36" t="n">
        <x:v>46.51156282</x:v>
      </x:c>
      <x:c r="J21" s="38" t="str">
        <x:v>PASS</x:v>
      </x:c>
      <x:c r="K21" s="40" t="str">
        <x:v>FAIL</x:v>
      </x:c>
      <x:c r="L21" s="34" t="str">
        <x:v>Basic-safe</x:v>
      </x:c>
      <x:c r="O21" s="41" t="n">
        <x:v>0.4</x:v>
      </x:c>
      <x:c r="P21" s="41" t="n">
        <x:v>-0.0243432104</x:v>
      </x:c>
    </x:row>
    <x:row r="22" ht="27" customHeight="1">
      <x:c r="A22" s="34" t="n">
        <x:v>4</x:v>
      </x:c>
      <x:c r="B22" s="35" t="n">
        <x:v>0.6</x:v>
      </x:c>
      <x:c r="C22" s="35" t="n">
        <x:f>B22*100</x:f>
        <x:v>60</x:v>
      </x:c>
      <x:c r="D22" s="35" t="n">
        <x:f>1/(1-0.48)</x:f>
        <x:v>1.923076923076923</x:v>
      </x:c>
      <x:c r="E22" s="36" t="n">
        <x:v>0.1050703178</x:v>
      </x:c>
      <x:c r="F22" s="36" t="n">
        <x:v>-0.2147051096</x:v>
      </x:c>
      <x:c r="G22" s="36" t="n">
        <x:v>-0.5431196595</x:v>
      </x:c>
      <x:c r="H22" s="36" t="n">
        <x:v>6.325961272</x:v>
      </x:c>
      <x:c r="I22" s="36" t="n">
        <x:v>46.58396425</x:v>
      </x:c>
      <x:c r="J22" s="40" t="str">
        <x:v>FAIL</x:v>
      </x:c>
      <x:c r="K22" s="40" t="str">
        <x:v>FAIL</x:v>
      </x:c>
      <x:c r="L22" s="34" t="str">
        <x:v>Fails; narrow bracket</x:v>
      </x:c>
      <x:c r="O22" s="41" t="n">
        <x:v>0.6</x:v>
      </x:c>
      <x:c r="P22" s="41" t="n">
        <x:v>0.1050703178</x:v>
      </x:c>
    </x:row>
    <x:row r="23" ht="27" customHeight="1">
      <x:c r="A23" s="34" t="n">
        <x:v>5</x:v>
      </x:c>
      <x:c r="B23" s="35" t="n">
        <x:v>0.43</x:v>
      </x:c>
      <x:c r="C23" s="35" t="n">
        <x:f>B23*100</x:f>
        <x:v>43</x:v>
      </x:c>
      <x:c r="D23" s="35" t="n">
        <x:f>1/(1-0.48)</x:f>
        <x:v>1.923076923076923</x:v>
      </x:c>
      <x:c r="E23" s="36" t="n">
        <x:v>-0.0030205867</x:v>
      </x:c>
      <x:c r="F23" s="36" t="n">
        <x:v>-0.3228347995</x:v>
      </x:c>
      <x:c r="G23" s="36" t="n">
        <x:v>-0.6156030312</x:v>
      </x:c>
      <x:c r="H23" s="36" t="n">
        <x:v>6.324763272</x:v>
      </x:c>
      <x:c r="I23" s="36" t="n">
        <x:v>46.52270395</x:v>
      </x:c>
      <x:c r="J23" s="38" t="str">
        <x:v>PASS</x:v>
      </x:c>
      <x:c r="K23" s="40" t="str">
        <x:v>FAIL</x:v>
      </x:c>
      <x:c r="L23" s="34" t="str">
        <x:v>Basic-boundary pass</x:v>
      </x:c>
      <x:c r="O23" s="41" t="n">
        <x:v>0.43</x:v>
      </x:c>
      <x:c r="P23" s="41" t="n">
        <x:v>-0.0030205867</x:v>
      </x:c>
    </x:row>
    <x:row r="24" ht="27" customHeight="1">
      <x:c r="A24" s="34" t="n">
        <x:v>6</x:v>
      </x:c>
      <x:c r="B24" s="35" t="n">
        <x:v>0.44</x:v>
      </x:c>
      <x:c r="C24" s="35" t="n">
        <x:f>B24*100</x:f>
        <x:v>44</x:v>
      </x:c>
      <x:c r="D24" s="35" t="n">
        <x:f>1/(1-0.48)</x:f>
        <x:v>1.923076923076923</x:v>
      </x:c>
      <x:c r="E24" s="36" t="n">
        <x:v>0.0039199148</x:v>
      </x:c>
      <x:c r="F24" s="36" t="n">
        <x:v>-0.3158919608</x:v>
      </x:c>
      <x:c r="G24" s="36" t="n">
        <x:v>-0.6109057452</x:v>
      </x:c>
      <x:c r="H24" s="36" t="n">
        <x:v>6.324834818</x:v>
      </x:c>
      <x:c r="I24" s="36" t="n">
        <x:v>46.52639549</x:v>
      </x:c>
      <x:c r="J24" s="40" t="str">
        <x:v>FAIL</x:v>
      </x:c>
      <x:c r="K24" s="40" t="str">
        <x:v>FAIL</x:v>
      </x:c>
      <x:c r="L24" s="34" t="str">
        <x:v>Basic-boundary fail</x:v>
      </x:c>
      <x:c r="O24" s="41" t="n">
        <x:v>0.44</x:v>
      </x:c>
      <x:c r="P24" s="41" t="n">
        <x:v>0.0039199148</x:v>
      </x:c>
    </x:row>
    <x:row r="25" ht="27" customHeight="1">
      <x:c r="A25" s="34" t="n">
        <x:v>7</x:v>
      </x:c>
      <x:c r="B25" s="35" t="n">
        <x:v>0.36</x:v>
      </x:c>
      <x:c r="C25" s="35" t="n">
        <x:f>B25*100</x:f>
        <x:v>36</x:v>
      </x:c>
      <x:c r="D25" s="35" t="n">
        <x:f>1/(1-0.48)</x:f>
        <x:v>1.923076923076923</x:v>
      </x:c>
      <x:c r="E25" s="36" t="n">
        <x:v>-0.0540157135</x:v>
      </x:c>
      <x:c r="F25" s="36" t="n">
        <x:v>-0.3738464837</x:v>
      </x:c>
      <x:c r="G25" s="36" t="n">
        <x:v>-0.6503130086</x:v>
      </x:c>
      <x:c r="H25" s="36" t="n">
        <x:v>6.324258601</x:v>
      </x:c>
      <x:c r="I25" s="36" t="n">
        <x:v>46.49655224</x:v>
      </x:c>
      <x:c r="J25" s="38" t="str">
        <x:v>PASS</x:v>
      </x:c>
      <x:c r="K25" s="38" t="str">
        <x:v>PASS</x:v>
      </x:c>
      <x:c r="L25" s="34" t="str">
        <x:v>Margin-boundary pass</x:v>
      </x:c>
      <x:c r="O25" s="41" t="n">
        <x:v>0.36</x:v>
      </x:c>
      <x:c r="P25" s="41" t="n">
        <x:v>-0.0540157135</x:v>
      </x:c>
    </x:row>
    <x:row r="26" ht="27" customHeight="1">
      <x:c r="A26" s="34" t="n">
        <x:v>8</x:v>
      </x:c>
      <x:c r="B26" s="35" t="n">
        <x:v>0.37</x:v>
      </x:c>
      <x:c r="C26" s="35" t="n">
        <x:f>B26*100</x:f>
        <x:v>37</x:v>
      </x:c>
      <x:c r="D26" s="35" t="n">
        <x:f>1/(1-0.48)</x:f>
        <x:v>1.923076923076923</x:v>
      </x:c>
      <x:c r="E26" s="36" t="n">
        <x:v>-0.0464582389</x:v>
      </x:c>
      <x:c r="F26" s="36" t="n">
        <x:v>-0.3662866226</x:v>
      </x:c>
      <x:c r="G26" s="36" t="n">
        <x:v>-0.6451466026</x:v>
      </x:c>
      <x:c r="H26" s="36" t="n">
        <x:v>6.324331113</x:v>
      </x:c>
      <x:c r="I26" s="36" t="n">
        <x:v>46.50032161</x:v>
      </x:c>
      <x:c r="J26" s="38" t="str">
        <x:v>PASS</x:v>
      </x:c>
      <x:c r="K26" s="40" t="str">
        <x:v>FAIL</x:v>
      </x:c>
      <x:c r="L26" s="34" t="str">
        <x:v>Margin-boundary fail</x:v>
      </x:c>
      <x:c r="O26" s="41" t="n">
        <x:v>0.37</x:v>
      </x:c>
      <x:c r="P26" s="41" t="n">
        <x:v>-0.0464582389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29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30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  <x:row r="31" ht="38" customHeight="1">
      <x:c r="A31" s="22" t="str">
        <x:v>Basic-safe boundary</x:v>
      </x:c>
      <x:c r="B31" s="22" t="str">
        <x:v>0.44</x:v>
      </x:c>
      <x:c r="C31" s="22" t="str">
        <x:v>0.43</x:v>
      </x:c>
      <x:c r="D31" s="22" t="str">
        <x:v>0.00392 → -0.00302</x:v>
      </x:c>
      <x:c r="E31" s="22" t="str">
        <x:v>Adjacent points prove basic boundary</x:v>
      </x:c>
      <x:c r="F31" s="22" t="str">
        <x:v>Basic-safe source-B blend maximum: 43%. Recommended maximum: 36%. Gypsum controls, while Anhydrite and Calcite retain larger margins.</x:v>
      </x:c>
      <x:c r="H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31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  <x:row r="32" ht="38" customHeight="1">
      <x:c r="A32" s="22" t="str">
        <x:v>Recommended-margin boundary</x:v>
      </x:c>
      <x:c r="B32" s="22" t="str">
        <x:v>0.37</x:v>
      </x:c>
      <x:c r="C32" s="22" t="str">
        <x:v>0.36</x:v>
      </x:c>
      <x:c r="D32" s="22" t="str">
        <x:v>-0.04646 → -0.05402</x:v>
      </x:c>
      <x:c r="E32" s="22" t="str">
        <x:v>Adjacent points prove recommended boundary</x:v>
      </x:c>
      <x:c r="F32" s="22" t="str">
        <x:v>Basic-safe source-B blend maximum: 43%. Recommended maximum: 36%. Gypsum controls, while Anhydrite and Calcite retain larger margins.</x:v>
      </x:c>
      <x:c r="H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32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  <x:row r="33" ht="38" customHeight="1">
      <x:c r="A33" s="22" t="str">
        <x:v>Controlling mineral</x:v>
      </x:c>
      <x:c r="B33" s="22" t="str">
        <x:v>Gypsum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equilibrate_feed</x:v>
      </x:c>
      <x:c r="H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33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0.36</x:v>
      </x:c>
      <x:c r="D34" s="22" t="str">
        <x:v>SI=-0.05402</x:v>
      </x:c>
      <x:c r="E34" s="22" t="str">
        <x:v>Basic-safe source-B blend maximum: 43%. Recommended maximum: 36%. Gypsum controls, while Anhydrite and Calcite retain larger margins.</x:v>
      </x:c>
      <x:c r="F34" s="22" t="str">
        <x:v>Use recommended-margin boundary</x:v>
      </x:c>
      <x:c r="H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I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J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K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L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M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N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O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  <x:c r="P34" s="32" t="str">
        <x:v>Final conclusion
Basic-safe source-B blend maximum: 43%. Recommended maximum: 36%. Gypsum controls, while Anhydrite and Calcite retain larger margins.
Key simulation evidence: basic fail/pass=0.44/0.43; recommended-margin fail/pass=0.37/0.36. Eight equilibrate_feed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37813c7f27b34dd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N05: Trajectory Quality Rubric (100 points)</x:v>
      </x:c>
      <x:c r="B1" s="5" t="str">
        <x:v>D5-5a N05: Trajectory Quality Rubric (100 points)</x:v>
      </x:c>
      <x:c r="C1" s="5" t="str">
        <x:v>D5-5a N05: Trajectory Quality Rubric (100 points)</x:v>
      </x:c>
      <x:c r="D1" s="5" t="str">
        <x:v>D5-5a N05: Trajectory Quality Rubric (100 points)</x:v>
      </x:c>
      <x:c r="E1" s="5" t="str">
        <x:v>D5-5a N05: Trajectory Quality Rubric (100 points)</x:v>
      </x:c>
      <x:c r="F1" s="5" t="str">
        <x:v>D5-5a N05: Trajectory Quality Rubric (100 points)</x:v>
      </x:c>
      <x:c r="G1" s="5" t="str">
        <x:v>D5-5a N05: Trajectory Quality Rubric (100 points)</x:v>
      </x:c>
    </x:row>
    <x:row r="2">
      <x:c r="A2" s="5" t="str">
        <x:v>D5-5a N05: Trajectory Quality Rubric (100 points)</x:v>
      </x:c>
      <x:c r="B2" s="5" t="str">
        <x:v>D5-5a N05: Trajectory Quality Rubric (100 points)</x:v>
      </x:c>
      <x:c r="C2" s="5" t="str">
        <x:v>D5-5a N05: Trajectory Quality Rubric (100 points)</x:v>
      </x:c>
      <x:c r="D2" s="5" t="str">
        <x:v>D5-5a N05: Trajectory Quality Rubric (100 points)</x:v>
      </x:c>
      <x:c r="E2" s="5" t="str">
        <x:v>D5-5a N05: Trajectory Quality Rubric (100 points)</x:v>
      </x:c>
      <x:c r="F2" s="5" t="str">
        <x:v>D5-5a N05: Trajectory Quality Rubric (100 points)</x:v>
      </x:c>
      <x:c r="G2" s="5" t="str">
        <x:v>D5-5a N05: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Source-B fraction; basic=All listed mineral SI&lt;0; margin=Gypsum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0.01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equilibrate_feed;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0.43 pass / 0.44 fail; margin 0.36 pass / 0.37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Basic-safe source-B blend maximum: 43%. Recommended maximum: 36%. Gypsum controls, while Anhydrite and Calcite retain larger margins.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equilibrate_feed</x:v>
      </x:c>
      <x:c r="C20" s="22" t="str">
        <x:v>Scope: rebuild the mixed ionic composition for every tool call. Do not enter B fraction as water_recovery, and do not linearly interpolate SI.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N05: Tool Usage Efficiency (100 points)</x:v>
      </x:c>
      <x:c r="B1" s="5" t="str">
        <x:v>D5-5a N05: Tool Usage Efficiency (100 points)</x:v>
      </x:c>
      <x:c r="C1" s="5" t="str">
        <x:v>D5-5a N05: Tool Usage Efficiency (100 points)</x:v>
      </x:c>
      <x:c r="D1" s="5" t="str">
        <x:v>D5-5a N05: Tool Usage Efficiency (100 points)</x:v>
      </x:c>
      <x:c r="E1" s="5" t="str">
        <x:v>D5-5a N05: Tool Usage Efficiency (100 points)</x:v>
      </x:c>
      <x:c r="F1" s="5" t="str">
        <x:v>D5-5a N05: Tool Usage Efficiency (100 points)</x:v>
      </x:c>
      <x:c r="G1" s="5" t="str">
        <x:v>D5-5a N05: Tool Usage Efficiency (100 points)</x:v>
      </x:c>
    </x:row>
    <x:row r="2">
      <x:c r="A2" s="5" t="str">
        <x:v>D5-5a N05: Tool Usage Efficiency (100 points)</x:v>
      </x:c>
      <x:c r="B2" s="5" t="str">
        <x:v>D5-5a N05: Tool Usage Efficiency (100 points)</x:v>
      </x:c>
      <x:c r="C2" s="5" t="str">
        <x:v>D5-5a N05: Tool Usage Efficiency (100 points)</x:v>
      </x:c>
      <x:c r="D2" s="5" t="str">
        <x:v>D5-5a N05: Tool Usage Efficiency (100 points)</x:v>
      </x:c>
      <x:c r="E2" s="5" t="str">
        <x:v>D5-5a N05: Tool Usage Efficiency (100 points)</x:v>
      </x:c>
      <x:c r="F2" s="5" t="str">
        <x:v>D5-5a N05: Tool Usage Efficiency (100 points)</x:v>
      </x:c>
      <x:c r="G2" s="5" t="str">
        <x:v>D5-5a N05: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equilibrate_feed;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rebuild the mixed ionic composition for every tool call. Do not enter B fraction as water_recovery, and do not linearly interpolate SI.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0.43/0.44; margin 0.36/0.37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2" t="str">
        <x:v>Tool-efficiency total</x:v>
      </x:c>
      <x:c r="G15" s="42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