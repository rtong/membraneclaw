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3317f5fc1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deaf1bba2a0f474f"/>
    <x:sheet xmlns:r="http://schemas.openxmlformats.org/officeDocument/2006/relationships" name="Gold_Answer_A" sheetId="2" r:id="Rec78ebcba2a543e2"/>
    <x:sheet xmlns:r="http://schemas.openxmlformats.org/officeDocument/2006/relationships" name="Trajectory_Rubric" sheetId="3" r:id="R4c95b27bf6d64b86"/>
    <x:sheet xmlns:r="http://schemas.openxmlformats.org/officeDocument/2006/relationships" name="Tool_Efficiency" sheetId="4" r:id="R21d849c5e321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E+00"/>
    <x:numFmt numFmtId="201" formatCode="0.000"/>
    <x:numFmt numFmtId="202" formatCode="0.0000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c87c52ad444d5" /><Relationship Type="http://schemas.openxmlformats.org/officeDocument/2006/relationships/theme" Target="/xl/theme/theme1.xml" Id="Rb2904d14c12d4041" /><Relationship Type="http://schemas.openxmlformats.org/officeDocument/2006/relationships/sharedStrings" Target="/xl/sharedStrings.xml" Id="R4f5dd9aebd32450c" /><Relationship Type="http://schemas.openxmlformats.org/officeDocument/2006/relationships/worksheet" Target="/xl/worksheets/sheet1.xml" Id="Rdeaf1bba2a0f474f" /><Relationship Type="http://schemas.openxmlformats.org/officeDocument/2006/relationships/worksheet" Target="/xl/worksheets/sheet2.xml" Id="Rec78ebcba2a543e2" /><Relationship Type="http://schemas.openxmlformats.org/officeDocument/2006/relationships/worksheet" Target="/xl/worksheets/sheet3.xml" Id="R4c95b27bf6d64b86" /><Relationship Type="http://schemas.openxmlformats.org/officeDocument/2006/relationships/worksheet" Target="/xl/worksheets/sheet4.xml" Id="R21d849c5e32147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ae891c6c7440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NaOH mol/s vs Calcite SI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Calcite SI</c:v>
          </c:tx>
          <c:marker>
            <c:symbol val="none"/>
          </c:marker>
          <c:cat>
            <c:strRef>
              <c:f>'Gold_Answer_A'!$O$19:$O$26</c:f>
              <c:strCache>
                <c:ptCount val="0"/>
              </c:strCache>
            </c:strRef>
          </c:cat>
          <c:val>
            <c:numRef>
              <c:f>'Gold_Answer_A'!$P$19:$P$26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ae891c6c7440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bcd39a2aa24d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7" hidden="0" customWidth="1"/>
    <x:col min="5" max="5" width="4" hidden="0" customWidth="1"/>
    <x:col min="6" max="6" width="26" hidden="0" customWidth="1"/>
    <x:col min="7" max="7" width="32" hidden="0" customWidth="1"/>
    <x:col min="8" max="8" width="38" hidden="0" customWidth="1"/>
  </x:cols>
  <x:sheetData>
    <x:row r="1" ht="25" customHeight="1">
      <x:c r="A1" s="5" t="str">
        <x:v>D5-5a N03: Maximum NaOH Dose for Second-Pass RO Boron-Removal Alkalization</x:v>
      </x:c>
      <x:c r="B1" s="5" t="str">
        <x:v>D5-5a N03: Maximum NaOH Dose for Second-Pass RO Boron-Removal Alkalization</x:v>
      </x:c>
      <x:c r="C1" s="5" t="str">
        <x:v>D5-5a N03: Maximum NaOH Dose for Second-Pass RO Boron-Removal Alkalization</x:v>
      </x:c>
      <x:c r="D1" s="5" t="str">
        <x:v>D5-5a N03: Maximum NaOH Dose for Second-Pass RO Boron-Removal Alkalization</x:v>
      </x:c>
      <x:c r="E1" s="5" t="str">
        <x:v>D5-5a N03: Maximum NaOH Dose for Second-Pass RO Boron-Removal Alkalization</x:v>
      </x:c>
      <x:c r="F1" s="5" t="str">
        <x:v>D5-5a N03: Maximum NaOH Dose for Second-Pass RO Boron-Removal Alkalization</x:v>
      </x:c>
      <x:c r="G1" s="5" t="str">
        <x:v>D5-5a N03: Maximum NaOH Dose for Second-Pass RO Boron-Removal Alkalization</x:v>
      </x:c>
      <x:c r="H1" s="5" t="str">
        <x:v>D5-5a N03: Maximum NaOH Dose for Second-Pass RO Boron-Removal Alkalization</x:v>
      </x:c>
    </x:row>
    <x:row r="2" ht="25" customHeight="1">
      <x:c r="A2" s="5" t="str">
        <x:v>D5-5a N03: Maximum NaOH Dose for Second-Pass RO Boron-Removal Alkalization</x:v>
      </x:c>
      <x:c r="B2" s="5" t="str">
        <x:v>D5-5a N03: Maximum NaOH Dose for Second-Pass RO Boron-Removal Alkalization</x:v>
      </x:c>
      <x:c r="C2" s="5" t="str">
        <x:v>D5-5a N03: Maximum NaOH Dose for Second-Pass RO Boron-Removal Alkalization</x:v>
      </x:c>
      <x:c r="D2" s="5" t="str">
        <x:v>D5-5a N03: Maximum NaOH Dose for Second-Pass RO Boron-Removal Alkalization</x:v>
      </x:c>
      <x:c r="E2" s="5" t="str">
        <x:v>D5-5a N03: Maximum NaOH Dose for Second-Pass RO Boron-Removal Alkalization</x:v>
      </x:c>
      <x:c r="F2" s="5" t="str">
        <x:v>D5-5a N03: Maximum NaOH Dose for Second-Pass RO Boron-Removal Alkalization</x:v>
      </x:c>
      <x:c r="G2" s="5" t="str">
        <x:v>D5-5a N03: Maximum NaOH Dose for Second-Pass RO Boron-Removal Alkalization</x:v>
      </x:c>
      <x:c r="H2" s="5" t="str">
        <x:v>D5-5a N03: Maximum NaOH Dose for Second-Pass RO Boron-Removal Alkalization</x:v>
      </x:c>
    </x:row>
    <x:row r="4" ht="28" customHeight="1">
      <x:c r="A4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B4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C4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D4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E4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F4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G4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H4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</x:row>
    <x:row r="5" ht="28" customHeight="1">
      <x:c r="A5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B5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C5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D5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E5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F5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G5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H5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</x:row>
    <x:row r="6" ht="28" customHeight="1">
      <x:c r="A6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B6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C6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D6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E6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F6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G6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  <x:c r="H6" s="9" t="str">
        <x:v>Second-pass RO uses NaOH to improve boron removal, but excessive alkalization at high recovery may trigger carbonate or hydroxide scaling. Use equilibrate_feed with fixed low-salinity feed and 85% recovery, varying only base_addition_mol_s. Find the maximum NaOH dose for which both Calcite and Brucite have SI&lt;0, then find the recommended operating maximum with Calcite SI≤-0.05. Resolve to 1×10^-7 mol/s and convert to pure NaOH g/h.</x:v>
      </x:c>
    </x:row>
    <x:row r="8">
      <x:c r="A8" s="12" t="str">
        <x:v>Fixed Operating Conditions and Constraints</x:v>
      </x:c>
      <x:c r="B8" s="12" t="str">
        <x:v>Fixed Operating Conditions and Constraints</x:v>
      </x:c>
      <x:c r="C8" s="12" t="str">
        <x:v>Fixed Operating Conditions and Constraints</x:v>
      </x:c>
      <x:c r="D8" s="12" t="str">
        <x:v>Fixed Operating Conditions and Constraints</x:v>
      </x:c>
      <x:c r="F8" s="12" t="str">
        <x:v>Criteria and Optimization Objective</x:v>
      </x:c>
      <x:c r="G8" s="12" t="str">
        <x:v>Criteria and Optimization Objective</x:v>
      </x:c>
      <x:c r="H8" s="12" t="str">
        <x:v>Criteria and Optimization Objective</x:v>
      </x:c>
    </x:row>
    <x:row r="9" ht="25" customHeight="1">
      <x:c r="A9" s="18" t="str">
        <x:v>Parameter</x:v>
      </x:c>
      <x:c r="B9" s="18" t="str">
        <x:v>Value</x:v>
      </x:c>
      <x:c r="C9" s="18" t="str">
        <x:v>Unit</x:v>
      </x:c>
      <x:c r="D9" s="18" t="str">
        <x:v>Notes</x:v>
      </x:c>
      <x:c r="F9" s="18" t="str">
        <x:v>Criterion</x:v>
      </x:c>
      <x:c r="G9" s="18" t="str">
        <x:v>Requirement</x:v>
      </x:c>
      <x:c r="H9" s="18" t="str">
        <x:v>Engineering meaning</x:v>
      </x:c>
    </x:row>
    <x:row r="10" ht="28" customHeight="1">
      <x:c r="A10" s="22" t="str">
        <x:v>Temperature</x:v>
      </x:c>
      <x:c r="B10" s="23" t="n">
        <x:v>28</x:v>
      </x:c>
      <x:c r="C10" s="22" t="str">
        <x:v>°C</x:v>
      </x:c>
      <x:c r="D10" s="22" t="str">
        <x:v>fixed</x:v>
      </x:c>
      <x:c r="F10" s="22" t="str">
        <x:v>Basic safety</x:v>
      </x:c>
      <x:c r="G10" s="22" t="str">
        <x:v>Calcite SI&lt;0 and Brucite SI&lt;0</x:v>
      </x:c>
      <x:c r="H10" s="22" t="str">
        <x:v>Thermodynamically undersaturated</x:v>
      </x:c>
    </x:row>
    <x:row r="11" ht="28" customHeight="1">
      <x:c r="A11" s="22" t="str">
        <x:v>Pressure</x:v>
      </x:c>
      <x:c r="B11" s="23" t="n">
        <x:v>1.013</x:v>
      </x:c>
      <x:c r="C11" s="22" t="str">
        <x:v>bar</x:v>
      </x:c>
      <x:c r="D11" s="22" t="str">
        <x:v>chemical equilibrium</x:v>
      </x:c>
      <x:c r="F11" s="22" t="str">
        <x:v>Recommended margin</x:v>
      </x:c>
      <x:c r="G11" s="22" t="str">
        <x:v>Calcite SI≤-0.05</x:v>
      </x:c>
      <x:c r="H11" s="22" t="str">
        <x:v>Benchmark-specific; not a universal standard</x:v>
      </x:c>
    </x:row>
    <x:row r="12" ht="28" customHeight="1">
      <x:c r="A12" s="22" t="str">
        <x:v>Feed pH</x:v>
      </x:c>
      <x:c r="B12" s="23" t="n">
        <x:v>8</x:v>
      </x:c>
      <x:c r="C12" s="22" t="str">
        <x:v>-</x:v>
      </x:c>
      <x:c r="D12" s="22" t="str">
        <x:v>before NaOH</x:v>
      </x:c>
      <x:c r="F12" s="22" t="str">
        <x:v>Objective</x:v>
      </x:c>
      <x:c r="G12" s="22" t="str">
        <x:v>Maximize allowable NaOH dose</x:v>
      </x:c>
      <x:c r="H12" s="22" t="str">
        <x:v>Adjacent pass/fail proof required</x:v>
      </x:c>
    </x:row>
    <x:row r="13" ht="28" customHeight="1">
      <x:c r="A13" s="22" t="str">
        <x:v>Water recovery</x:v>
      </x:c>
      <x:c r="B13" s="23" t="n">
        <x:v>0.85</x:v>
      </x:c>
      <x:c r="C13" s="22" t="str">
        <x:v>-</x:v>
      </x:c>
      <x:c r="D13" s="22" t="str">
        <x:v>second-pass operation</x:v>
      </x:c>
    </x:row>
    <x:row r="14" ht="28" customHeight="1">
      <x:c r="A14" s="22" t="str">
        <x:v>Minerals</x:v>
      </x:c>
      <x:c r="B14" s="23" t="str">
        <x:v>Calcite, Brucite</x:v>
      </x:c>
      <x:c r="C14" s="22" t="str">
        <x:v>-</x:v>
      </x:c>
      <x:c r="D14" s="22" t="str">
        <x:v>evaluate both</x:v>
      </x:c>
      <x:c r="F14" s="12" t="str">
        <x:v>Required Tasks</x:v>
      </x:c>
      <x:c r="G14" s="12" t="str">
        <x:v>Required Tasks</x:v>
      </x:c>
      <x:c r="H14" s="12" t="str">
        <x:v>Required Tasks</x:v>
      </x:c>
    </x:row>
    <x:row r="15" ht="28" customHeight="1">
      <x:c r="A15" s="22" t="str">
        <x:v>Base reagent</x:v>
      </x:c>
      <x:c r="B15" s="23" t="str">
        <x:v>NaOH</x:v>
      </x:c>
      <x:c r="C15" s="22" t="str">
        <x:v>mol/s</x:v>
      </x:c>
      <x:c r="D15" s="22" t="str">
        <x:v>base_addition_mol_s</x:v>
      </x:c>
      <x:c r="F15" s="24" t="str">
        <x:v>1. Run the zero-NaOH baseline and identify the first controlling mineral.</x:v>
      </x:c>
      <x:c r="G15" s="24" t="str">
        <x:v>1. Run the zero-NaOH baseline and identify the first controlling mineral.</x:v>
      </x:c>
      <x:c r="H15" s="24" t="str">
        <x:v>1. Run the zero-NaOH baseline and identify the first controlling mineral.</x:v>
      </x:c>
    </x:row>
    <x:row r="16" ht="28" customHeight="1">
      <x:c r="A16" s="22" t="str">
        <x:v>Search resolution</x:v>
      </x:c>
      <x:c r="B16" s="23" t="n">
        <x:v>1e-7</x:v>
      </x:c>
      <x:c r="C16" s="22" t="str">
        <x:v>mol/s</x:v>
      </x:c>
      <x:c r="D16" s="22" t="str">
        <x:v>final adjacent points</x:v>
      </x:c>
      <x:c r="F16" s="24" t="str">
        <x:v>2. Use an intentionally high but plausible dose to establish the unsafe side.</x:v>
      </x:c>
      <x:c r="G16" s="24" t="str">
        <x:v>2. Use an intentionally high but plausible dose to establish the unsafe side.</x:v>
      </x:c>
      <x:c r="H16" s="24" t="str">
        <x:v>2. Use an intentionally high but plausible dose to establish the unsafe side.</x:v>
      </x:c>
    </x:row>
    <x:row r="17" ht="28" customHeight="1">
      <x:c r="F17" s="24" t="str">
        <x:v>3. Find the maximum basic-safe NaOH dose at 1e-7 mol/s resolution.</x:v>
      </x:c>
      <x:c r="G17" s="24" t="str">
        <x:v>3. Find the maximum basic-safe NaOH dose at 1e-7 mol/s resolution.</x:v>
      </x:c>
      <x:c r="H17" s="24" t="str">
        <x:v>3. Find the maximum basic-safe NaOH dose at 1e-7 mol/s resolution.</x:v>
      </x:c>
    </x:row>
    <x:row r="18" ht="36" customHeight="1">
      <x:c r="A18" s="12" t="str">
        <x:v>Feed Composition (simulator input)</x:v>
      </x:c>
      <x:c r="B18" s="12" t="str">
        <x:v>Feed Composition (simulator input)</x:v>
      </x:c>
      <x:c r="C18" s="12" t="str">
        <x:v>Feed Composition (simulator input)</x:v>
      </x:c>
      <x:c r="D18" s="12" t="str">
        <x:v>Feed Composition (simulator input)</x:v>
      </x:c>
      <x:c r="F18" s="24" t="str">
        <x:v>4. Then find the lower recommended maximum that preserves 0.05 SI margin.</x:v>
      </x:c>
      <x:c r="G18" s="24" t="str">
        <x:v>4. Then find the lower recommended maximum that preserves 0.05 SI margin.</x:v>
      </x:c>
      <x:c r="H18" s="24" t="str">
        <x:v>4. Then find the lower recommended maximum that preserves 0.05 SI margin.</x:v>
      </x:c>
    </x:row>
    <x:row r="19" ht="25" customHeight="1">
      <x:c r="A19" s="18" t="str">
        <x:v>Species</x:v>
      </x:c>
      <x:c r="B19" s="18" t="str">
        <x:v>Flow mol/s</x:v>
      </x:c>
      <x:c r="C19" s="18" t="str">
        <x:v>Note</x:v>
      </x:c>
      <x:c r="D19" s="18" t="str">
        <x:v>Status</x:v>
      </x:c>
      <x:c r="F19" s="24" t="str">
        <x:v>5. Report final pH and convert pure NaOH to g/h; explain why Brucite does not control this case.</x:v>
      </x:c>
      <x:c r="G19" s="24" t="str">
        <x:v>5. Report final pH and convert pure NaOH to g/h; explain why Brucite does not control this case.</x:v>
      </x:c>
      <x:c r="H19" s="24" t="str">
        <x:v>5. Report final pH and convert pure NaOH to g/h; explain why Brucite does not control this case.</x:v>
      </x:c>
    </x:row>
    <x:row r="20" ht="26" customHeight="1">
      <x:c r="A20" s="22" t="str">
        <x:v>H2O</x:v>
      </x:c>
      <x:c r="B20" s="22" t="n">
        <x:v>55.5</x:v>
      </x:c>
      <x:c r="C20" s="22" t="str">
        <x:v>required</x:v>
      </x:c>
      <x:c r="D20" s="22" t="str">
        <x:v>fixed</x:v>
      </x:c>
    </x:row>
    <x:row r="21" ht="26" customHeight="1">
      <x:c r="A21" s="22" t="str">
        <x:v>Na</x:v>
      </x:c>
      <x:c r="B21" s="22" t="n">
        <x:v>0.008</x:v>
      </x:c>
      <x:c r="C21" s="22" t="str">
        <x:v>low-salinity permeate</x:v>
      </x:c>
      <x:c r="D21" s="22" t="str">
        <x:v>fixed</x:v>
      </x:c>
      <x:c r="F21" s="12" t="str">
        <x:v>Decision Variable and Search Requirement</x:v>
      </x:c>
      <x:c r="G21" s="12" t="str">
        <x:v>Decision Variable and Search Requirement</x:v>
      </x:c>
      <x:c r="H21" s="12" t="str">
        <x:v>Decision Variable and Search Requirement</x:v>
      </x:c>
    </x:row>
    <x:row r="22" ht="26" customHeight="1">
      <x:c r="A22" s="22" t="str">
        <x:v>Cl</x:v>
      </x:c>
      <x:c r="B22" s="22" t="n">
        <x:v>0.0081</x:v>
      </x:c>
      <x:c r="C22" s="22" t="str"/>
      <x:c r="D22" s="22" t="str">
        <x:v>fixed</x:v>
      </x:c>
      <x:c r="F22" s="22" t="str">
        <x:v>Variable</x:v>
      </x:c>
      <x:c r="G22" s="22" t="str">
        <x:v>NaOH mol/s</x:v>
      </x:c>
      <x:c r="H22" s="22" t="str">
        <x:v>mol/s</x:v>
      </x:c>
    </x:row>
    <x:row r="23" ht="26" customHeight="1">
      <x:c r="A23" s="22" t="str">
        <x:v>Mg</x:v>
      </x:c>
      <x:c r="B23" s="22" t="n">
        <x:v>0.00005</x:v>
      </x:c>
      <x:c r="C23" s="22" t="str"/>
      <x:c r="D23" s="22" t="str">
        <x:v>fixed</x:v>
      </x:c>
      <x:c r="F23" s="22" t="str">
        <x:v>Resolution</x:v>
      </x:c>
      <x:c r="G23" s="22" t="str">
        <x:v>1e-7 mol/s</x:v>
      </x:c>
      <x:c r="H23" s="22" t="str">
        <x:v>Final boundary</x:v>
      </x:c>
    </x:row>
    <x:row r="24" ht="26" customHeight="1">
      <x:c r="A24" s="22" t="str">
        <x:v>Ca</x:v>
      </x:c>
      <x:c r="B24" s="22" t="n">
        <x:v>0.00012</x:v>
      </x:c>
      <x:c r="C24" s="22" t="str">
        <x:v>residual hardness</x:v>
      </x:c>
      <x:c r="D24" s="22" t="str">
        <x:v>fixed</x:v>
      </x:c>
      <x:c r="F24" s="22" t="str">
        <x:v>Primary tool</x:v>
      </x:c>
      <x:c r="G24" s="22" t="str">
        <x:v>equilibrate_feed</x:v>
      </x:c>
      <x:c r="H24" s="22" t="str">
        <x:v>8-call reference trajectory</x:v>
      </x:c>
    </x:row>
    <x:row r="25" ht="26" customHeight="1">
      <x:c r="A25" s="22" t="str">
        <x:v>HCO3</x:v>
      </x:c>
      <x:c r="B25" s="22" t="n">
        <x:v>0.00018</x:v>
      </x:c>
      <x:c r="C25" s="22" t="str">
        <x:v>alkalinity</x:v>
      </x:c>
      <x:c r="D25" s="22" t="str">
        <x:v>fixed</x:v>
      </x:c>
      <x:c r="F25" s="22" t="str">
        <x:v>Controlling mineral</x:v>
      </x:c>
      <x:c r="G25" s="22" t="str">
        <x:v>Calcite</x:v>
      </x:c>
      <x:c r="H25" s="22" t="str">
        <x:v>Confirmed from baseline/probes</x:v>
      </x:c>
    </x:row>
    <x:row r="26" ht="26" customHeight="1">
      <x:c r="A26" s="22" t="str">
        <x:v>SO4</x:v>
      </x:c>
      <x:c r="B26" s="22" t="n">
        <x:v>0.00002</x:v>
      </x:c>
      <x:c r="C26" s="22" t="str"/>
      <x:c r="D26" s="22" t="str">
        <x:v>fixed</x:v>
      </x:c>
    </x:row>
    <x:row r="27" ht="26" customHeight="1">
      <x:c r="F27" s="28" t="str">
        <x:v>Scope: this task determines the NaOH upper bound imposed by scaling, not the minimum dose required for boron rejection; both constraints must be checked in design.</x:v>
      </x:c>
      <x:c r="G27" s="28" t="str">
        <x:v>Scope: this task determines the NaOH upper bound imposed by scaling, not the minimum dose required for boron rejection; both constraints must be checked in design.</x:v>
      </x:c>
      <x:c r="H27" s="28" t="str">
        <x:v>Scope: this task determines the NaOH upper bound imposed by scaling, not the minimum dose required for boron rejection; both constraints must be checked in design.</x:v>
      </x:c>
    </x:row>
    <x:row r="28" ht="26" customHeight="1">
      <x:c r="F28" s="28" t="str">
        <x:v>Scope: this task determines the NaOH upper bound imposed by scaling, not the minimum dose required for boron rejection; both constraints must be checked in design.</x:v>
      </x:c>
      <x:c r="G28" s="28" t="str">
        <x:v>Scope: this task determines the NaOH upper bound imposed by scaling, not the minimum dose required for boron rejection; both constraints must be checked in design.</x:v>
      </x:c>
      <x:c r="H28" s="28" t="str">
        <x:v>Scope: this task determines the NaOH upper bound imposed by scaling, not the minimum dose required for boron rejection; both constraints must be checked in design.</x:v>
      </x:c>
    </x:row>
    <x:row r="29" ht="26" customHeight="1">
      <x:c r="F29" s="28" t="str">
        <x:v>Scope: this task determines the NaOH upper bound imposed by scaling, not the minimum dose required for boron rejection; both constraints must be checked in design.</x:v>
      </x:c>
      <x:c r="G29" s="28" t="str">
        <x:v>Scope: this task determines the NaOH upper bound imposed by scaling, not the minimum dose required for boron rejection; both constraints must be checked in design.</x:v>
      </x:c>
      <x:c r="H29" s="28" t="str">
        <x:v>Scope: this task determines the NaOH upper bound imposed by scaling, not the minimum dose required for boron rejection; both constraints must be checked in design.</x:v>
      </x:c>
    </x:row>
    <x:row r="30" ht="26" customHeight="1">
      <x:c r="F30" s="28" t="str">
        <x:v>Scope: this task determines the NaOH upper bound imposed by scaling, not the minimum dose required for boron rejection; both constraints must be checked in design.</x:v>
      </x:c>
      <x:c r="G30" s="28" t="str">
        <x:v>Scope: this task determines the NaOH upper bound imposed by scaling, not the minimum dose required for boron rejection; both constraints must be checked in design.</x:v>
      </x:c>
      <x:c r="H30" s="28" t="str">
        <x:v>Scope: this task determines the NaOH upper bound imposed by scaling, not the minimum dose required for boron rejection; both constraints must be checked in design.</x:v>
      </x:c>
    </x:row>
  </x:sheetData>
  <x:mergeCells>
    <x:mergeCell ref="A1:H2"/>
    <x:mergeCell ref="A4:H6"/>
    <x:mergeCell ref="A8:D8"/>
    <x:mergeCell ref="F8:H8"/>
    <x:mergeCell ref="F14:H14"/>
    <x:mergeCell ref="F15:H15"/>
    <x:mergeCell ref="F16:H16"/>
    <x:mergeCell ref="F17:H17"/>
    <x:mergeCell ref="F18:H18"/>
    <x:mergeCell ref="F19:H19"/>
    <x:mergeCell ref="A18:D18"/>
    <x:mergeCell ref="F21:H21"/>
    <x:mergeCell ref="F27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24" hidden="0" customWidth="1"/>
    <x:col min="13" max="13" width="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5" t="str">
        <x:v>D5-5a N03: Stepwise Gold Answer — Maximum NaOH Dose for Second-Pass RO Boron-Removal Alkalization</x:v>
      </x:c>
      <x:c r="B1" s="5" t="str">
        <x:v>D5-5a N03: Stepwise Gold Answer — Maximum NaOH Dose for Second-Pass RO Boron-Removal Alkalization</x:v>
      </x:c>
      <x:c r="C1" s="5" t="str">
        <x:v>D5-5a N03: Stepwise Gold Answer — Maximum NaOH Dose for Second-Pass RO Boron-Removal Alkalization</x:v>
      </x:c>
      <x:c r="D1" s="5" t="str">
        <x:v>D5-5a N03: Stepwise Gold Answer — Maximum NaOH Dose for Second-Pass RO Boron-Removal Alkalization</x:v>
      </x:c>
      <x:c r="E1" s="5" t="str">
        <x:v>D5-5a N03: Stepwise Gold Answer — Maximum NaOH Dose for Second-Pass RO Boron-Removal Alkalization</x:v>
      </x:c>
      <x:c r="F1" s="5" t="str">
        <x:v>D5-5a N03: Stepwise Gold Answer — Maximum NaOH Dose for Second-Pass RO Boron-Removal Alkalization</x:v>
      </x:c>
      <x:c r="G1" s="5" t="str">
        <x:v>D5-5a N03: Stepwise Gold Answer — Maximum NaOH Dose for Second-Pass RO Boron-Removal Alkalization</x:v>
      </x:c>
      <x:c r="H1" s="5" t="str">
        <x:v>D5-5a N03: Stepwise Gold Answer — Maximum NaOH Dose for Second-Pass RO Boron-Removal Alkalization</x:v>
      </x:c>
      <x:c r="I1" s="5" t="str">
        <x:v>D5-5a N03: Stepwise Gold Answer — Maximum NaOH Dose for Second-Pass RO Boron-Removal Alkalization</x:v>
      </x:c>
      <x:c r="J1" s="5" t="str">
        <x:v>D5-5a N03: Stepwise Gold Answer — Maximum NaOH Dose for Second-Pass RO Boron-Removal Alkalization</x:v>
      </x:c>
      <x:c r="K1" s="5" t="str">
        <x:v>D5-5a N03: Stepwise Gold Answer — Maximum NaOH Dose for Second-Pass RO Boron-Removal Alkalization</x:v>
      </x:c>
      <x:c r="L1" s="5" t="str">
        <x:v>D5-5a N03: Stepwise Gold Answer — Maximum NaOH Dose for Second-Pass RO Boron-Removal Alkalization</x:v>
      </x:c>
      <x:c r="M1" s="5" t="str">
        <x:v>D5-5a N03: Stepwise Gold Answer — Maximum NaOH Dose for Second-Pass RO Boron-Removal Alkalization</x:v>
      </x:c>
      <x:c r="N1" s="5" t="str">
        <x:v>D5-5a N03: Stepwise Gold Answer — Maximum NaOH Dose for Second-Pass RO Boron-Removal Alkalization</x:v>
      </x:c>
      <x:c r="O1" s="5" t="str">
        <x:v>D5-5a N03: Stepwise Gold Answer — Maximum NaOH Dose for Second-Pass RO Boron-Removal Alkalization</x:v>
      </x:c>
      <x:c r="P1" s="5" t="str">
        <x:v>D5-5a N03: Stepwise Gold Answer — Maximum NaOH Dose for Second-Pass RO Boron-Removal Alkalization</x:v>
      </x:c>
    </x:row>
    <x:row r="2">
      <x:c r="A2" s="5" t="str">
        <x:v>D5-5a N03: Stepwise Gold Answer — Maximum NaOH Dose for Second-Pass RO Boron-Removal Alkalization</x:v>
      </x:c>
      <x:c r="B2" s="5" t="str">
        <x:v>D5-5a N03: Stepwise Gold Answer — Maximum NaOH Dose for Second-Pass RO Boron-Removal Alkalization</x:v>
      </x:c>
      <x:c r="C2" s="5" t="str">
        <x:v>D5-5a N03: Stepwise Gold Answer — Maximum NaOH Dose for Second-Pass RO Boron-Removal Alkalization</x:v>
      </x:c>
      <x:c r="D2" s="5" t="str">
        <x:v>D5-5a N03: Stepwise Gold Answer — Maximum NaOH Dose for Second-Pass RO Boron-Removal Alkalization</x:v>
      </x:c>
      <x:c r="E2" s="5" t="str">
        <x:v>D5-5a N03: Stepwise Gold Answer — Maximum NaOH Dose for Second-Pass RO Boron-Removal Alkalization</x:v>
      </x:c>
      <x:c r="F2" s="5" t="str">
        <x:v>D5-5a N03: Stepwise Gold Answer — Maximum NaOH Dose for Second-Pass RO Boron-Removal Alkalization</x:v>
      </x:c>
      <x:c r="G2" s="5" t="str">
        <x:v>D5-5a N03: Stepwise Gold Answer — Maximum NaOH Dose for Second-Pass RO Boron-Removal Alkalization</x:v>
      </x:c>
      <x:c r="H2" s="5" t="str">
        <x:v>D5-5a N03: Stepwise Gold Answer — Maximum NaOH Dose for Second-Pass RO Boron-Removal Alkalization</x:v>
      </x:c>
      <x:c r="I2" s="5" t="str">
        <x:v>D5-5a N03: Stepwise Gold Answer — Maximum NaOH Dose for Second-Pass RO Boron-Removal Alkalization</x:v>
      </x:c>
      <x:c r="J2" s="5" t="str">
        <x:v>D5-5a N03: Stepwise Gold Answer — Maximum NaOH Dose for Second-Pass RO Boron-Removal Alkalization</x:v>
      </x:c>
      <x:c r="K2" s="5" t="str">
        <x:v>D5-5a N03: Stepwise Gold Answer — Maximum NaOH Dose for Second-Pass RO Boron-Removal Alkalization</x:v>
      </x:c>
      <x:c r="L2" s="5" t="str">
        <x:v>D5-5a N03: Stepwise Gold Answer — Maximum NaOH Dose for Second-Pass RO Boron-Removal Alkalization</x:v>
      </x:c>
      <x:c r="M2" s="5" t="str">
        <x:v>D5-5a N03: Stepwise Gold Answer — Maximum NaOH Dose for Second-Pass RO Boron-Removal Alkalization</x:v>
      </x:c>
      <x:c r="N2" s="5" t="str">
        <x:v>D5-5a N03: Stepwise Gold Answer — Maximum NaOH Dose for Second-Pass RO Boron-Removal Alkalization</x:v>
      </x:c>
      <x:c r="O2" s="5" t="str">
        <x:v>D5-5a N03: Stepwise Gold Answer — Maximum NaOH Dose for Second-Pass RO Boron-Removal Alkalization</x:v>
      </x:c>
      <x:c r="P2" s="5" t="str">
        <x:v>D5-5a N03: Stepwise Gold Answer — Maximum NaOH Dose for Second-Pass RO Boron-Removal Alkalization</x:v>
      </x:c>
    </x:row>
    <x:row r="4" ht="25" customHeight="1">
      <x:c r="A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B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C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D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E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F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G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H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I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J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K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L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M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N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O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P4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</x:row>
    <x:row r="5" ht="25" customHeight="1">
      <x:c r="A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B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C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D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E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F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G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H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I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J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K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L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M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N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O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P5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</x:row>
    <x:row r="6" ht="25" customHeight="1">
      <x:c r="A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B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C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D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E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F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G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H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I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J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K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L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M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N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O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  <x:c r="P6" s="32" t="str">
        <x:v>Reference efficient trajectory: 8 equilibrate_feed calls: 0.000 → 0.00001000 → 0.000002000 → 0.000004000 → 0.000003000 → 0.000003900 → 0.000003200 → 0.000003300. Alternative rational bracketing orders are acceptable, but both the basic and recommended-margin boundaries must be proven.</x:v>
      </x:c>
    </x:row>
    <x:row r="8">
      <x:c r="A8" s="12" t="str">
        <x:v>Human-readable continuous tool trajectory</x:v>
      </x:c>
      <x:c r="B8" s="12" t="str">
        <x:v>Human-readable continuous tool trajectory</x:v>
      </x:c>
      <x:c r="C8" s="12" t="str">
        <x:v>Human-readable continuous tool trajectory</x:v>
      </x:c>
      <x:c r="D8" s="12" t="str">
        <x:v>Human-readable continuous tool trajectory</x:v>
      </x:c>
      <x:c r="E8" s="12" t="str">
        <x:v>Human-readable continuous tool trajectory</x:v>
      </x:c>
      <x:c r="F8" s="12" t="str">
        <x:v>Human-readable continuous tool trajectory</x:v>
      </x:c>
      <x:c r="G8" s="12" t="str">
        <x:v>Human-readable continuous tool trajectory</x:v>
      </x:c>
    </x:row>
    <x:row r="9">
      <x:c r="A9" s="18" t="str">
        <x:v>Stage</x:v>
      </x:c>
      <x:c r="B9" s="18" t="str">
        <x:v>Current state/problem</x:v>
      </x:c>
      <x:c r="C9" s="18" t="str">
        <x:v>Action</x:v>
      </x:c>
      <x:c r="D9" s="18" t="str">
        <x:v>Key observation</x:v>
      </x:c>
      <x:c r="E9" s="18" t="str">
        <x:v>State update</x:v>
      </x:c>
      <x:c r="F9" s="18" t="str">
        <x:v>Next step</x:v>
      </x:c>
      <x:c r="G9" s="18" t="str">
        <x:v>Trajectory role</x:v>
      </x:c>
    </x:row>
    <x:row r="10" ht="45" customHeight="1">
      <x:c r="A10" s="22" t="str">
        <x:v>1 Baseline</x:v>
      </x:c>
      <x:c r="B10" s="22" t="str">
        <x:v>Controlling mineral unknown</x:v>
      </x:c>
      <x:c r="C10" s="22" t="str">
        <x:v>0 NaOH</x:v>
      </x:c>
      <x:c r="D10" s="22" t="str">
        <x:v>Calcite SI=-0.295; Brucite very low</x:v>
      </x:c>
      <x:c r="E10" s="22" t="str">
        <x:v>Calcite will control first</x:v>
      </x:c>
      <x:c r="F10" s="22" t="str">
        <x:v>Probe high dose</x:v>
      </x:c>
      <x:c r="G10" s="22" t="str">
        <x:v>Problem diagnosis</x:v>
      </x:c>
    </x:row>
    <x:row r="11" ht="45" customHeight="1">
      <x:c r="A11" s="22" t="str">
        <x:v>2 Coarse bracket</x:v>
      </x:c>
      <x:c r="B11" s="22" t="str">
        <x:v>Need an overdose failure</x:v>
      </x:c>
      <x:c r="C11" s="22" t="str">
        <x:v>1.0e-5</x:v>
      </x:c>
      <x:c r="D11" s="22" t="str">
        <x:v>Calcite SI=+0.320</x:v>
      </x:c>
      <x:c r="E11" s="22" t="str">
        <x:v>High point fails</x:v>
      </x:c>
      <x:c r="F11" s="22" t="str">
        <x:v>Reduce dose</x:v>
      </x:c>
      <x:c r="G11" s="22" t="str">
        <x:v>Plan→observe</x:v>
      </x:c>
    </x:row>
    <x:row r="12" ht="45" customHeight="1">
      <x:c r="A12" s="22" t="str">
        <x:v>3 Basic limit</x:v>
      </x:c>
      <x:c r="B12" s="22" t="str">
        <x:v>2e-6 safe; 4e-6 fails</x:v>
      </x:c>
      <x:c r="C12" s="22" t="str">
        <x:v>3.9e-6→4.0e-6</x:v>
      </x:c>
      <x:c r="D12" s="22" t="str">
        <x:v>-0.00384→+0.00292</x:v>
      </x:c>
      <x:c r="E12" s="22" t="str">
        <x:v>3.9 pass / 4.0 fail</x:v>
      </x:c>
      <x:c r="F12" s="22" t="str">
        <x:v>Lock maximum dose</x:v>
      </x:c>
      <x:c r="G12" s="22" t="str">
        <x:v>Adaptive search</x:v>
      </x:c>
    </x:row>
    <x:row r="13" ht="45" customHeight="1">
      <x:c r="A13" s="22" t="str">
        <x:v>4 Safety margin</x:v>
      </x:c>
      <x:c r="B13" s="22" t="str">
        <x:v>Need SI≤-0.05</x:v>
      </x:c>
      <x:c r="C13" s="22" t="str">
        <x:v>3.2e-6→3.3e-6</x:v>
      </x:c>
      <x:c r="D13" s="22" t="str">
        <x:v>-0.05254→-0.04544</x:v>
      </x:c>
      <x:c r="E13" s="22" t="str">
        <x:v>3.2 pass / 3.3 fail</x:v>
      </x:c>
      <x:c r="F13" s="22" t="str">
        <x:v>Lock recommended maximum</x:v>
      </x:c>
      <x:c r="G13" s="22" t="str">
        <x:v>Second boundary</x:v>
      </x:c>
    </x:row>
    <x:row r="14" ht="45" customHeight="1">
      <x:c r="A14" s="22" t="str">
        <x:v>5 Decision</x:v>
      </x:c>
      <x:c r="B14" s="22" t="str">
        <x:v>Brucite never controls</x:v>
      </x:c>
      <x:c r="C14" s="22" t="str">
        <x:v>Convert NaOH to g/h</x:v>
      </x:c>
      <x:c r="D14" s="22" t="str">
        <x:v>Recommend 0.4608 g/h</x:v>
      </x:c>
      <x:c r="E14" s="22" t="str">
        <x:v>Scaling constraint is separate from boron target</x:v>
      </x:c>
      <x:c r="F14" s="22" t="str">
        <x:v>Set operating maximum</x:v>
      </x:c>
      <x:c r="G14" s="22" t="str">
        <x:v>Stop/decide</x:v>
      </x:c>
    </x:row>
    <x:row r="17">
      <x:c r="A17" s="12" t="str">
        <x:v>Direct ROprocess simulator results</x:v>
      </x:c>
      <x:c r="B17" s="12" t="str">
        <x:v>Direct ROprocess simulator results</x:v>
      </x:c>
      <x:c r="C17" s="12" t="str">
        <x:v>Direct ROprocess simulator results</x:v>
      </x:c>
      <x:c r="D17" s="12" t="str">
        <x:v>Direct ROprocess simulator results</x:v>
      </x:c>
      <x:c r="E17" s="12" t="str">
        <x:v>Direct ROprocess simulator results</x:v>
      </x:c>
      <x:c r="F17" s="12" t="str">
        <x:v>Direct ROprocess simulator results</x:v>
      </x:c>
      <x:c r="G17" s="12" t="str">
        <x:v>Direct ROprocess simulator results</x:v>
      </x:c>
      <x:c r="H17" s="12" t="str">
        <x:v>Direct ROprocess simulator results</x:v>
      </x:c>
      <x:c r="I17" s="12" t="str">
        <x:v>Direct ROprocess simulator results</x:v>
      </x:c>
      <x:c r="J17" s="12" t="str">
        <x:v>Direct ROprocess simulator results</x:v>
      </x:c>
      <x:c r="K17" s="12" t="str">
        <x:v>Direct ROprocess simulator results</x:v>
      </x:c>
      <x:c r="L17" s="12" t="str">
        <x:v>Direct ROprocess simulator results</x:v>
      </x:c>
      <x:c r="M17" s="12" t="str">
        <x:v>Direct ROprocess simulator results</x:v>
      </x:c>
      <x:c r="N17" s="12" t="str">
        <x:v>Direct ROprocess simulator results</x:v>
      </x:c>
      <x:c r="O17" s="12" t="str">
        <x:v>Direct ROprocess simulator results</x:v>
      </x:c>
      <x:c r="P17" s="12" t="str">
        <x:v>Direct ROprocess simulator results</x:v>
      </x:c>
    </x:row>
    <x:row r="18">
      <x:c r="A18" s="18" t="str">
        <x:v>#</x:v>
      </x:c>
      <x:c r="B18" s="18" t="str">
        <x:v>NaOH mol/s</x:v>
      </x:c>
      <x:c r="C18" s="18" t="str">
        <x:v>Pure NaOH g/h</x:v>
      </x:c>
      <x:c r="D18" s="18" t="str">
        <x:v>Approx. dose mg/L</x:v>
      </x:c>
      <x:c r="E18" s="18" t="str">
        <x:v>Calcite SI</x:v>
      </x:c>
      <x:c r="F18" s="18" t="str">
        <x:v>Brucite SI</x:v>
      </x:c>
      <x:c r="G18" s="18" t="str">
        <x:v>- SI</x:v>
      </x:c>
      <x:c r="H18" s="18" t="str">
        <x:v>pH</x:v>
      </x:c>
      <x:c r="I18" s="18" t="str">
        <x:v>Osmotic bar</x:v>
      </x:c>
      <x:c r="J18" s="18" t="str">
        <x:v>Basic safe</x:v>
      </x:c>
      <x:c r="K18" s="18" t="str">
        <x:v>Margin</x:v>
      </x:c>
      <x:c r="L18" s="18" t="str">
        <x:v>Trajectory role</x:v>
      </x:c>
      <x:c r="O18" s="42" t="str">
        <x:v>NaOH mol/s</x:v>
      </x:c>
      <x:c r="P18" s="42" t="str">
        <x:v>Calcite SI</x:v>
      </x:c>
    </x:row>
    <x:row r="19" ht="27" customHeight="1">
      <x:c r="A19" s="34" t="n">
        <x:v>1</x:v>
      </x:c>
      <x:c r="B19" s="35" t="n">
        <x:v>0</x:v>
      </x:c>
      <x:c r="C19" s="36" t="n">
        <x:f>B19*40*3600</x:f>
        <x:v>0</x:v>
      </x:c>
      <x:c r="D19" s="36" t="n">
        <x:f>B19*40*1000</x:f>
        <x:v>0</x:v>
      </x:c>
      <x:c r="E19" s="37" t="n">
        <x:v>-0.2948089816</x:v>
      </x:c>
      <x:c r="F19" s="37" t="n">
        <x:v>-4.7642954528</x:v>
      </x:c>
      <x:c r="G19" s="37"/>
      <x:c r="H19" s="37" t="n">
        <x:v>8.014946255</x:v>
      </x:c>
      <x:c r="I19" s="37" t="n">
        <x:v>2.577009818</x:v>
      </x:c>
      <x:c r="J19" s="39" t="str">
        <x:v>PASS</x:v>
      </x:c>
      <x:c r="K19" s="39" t="str">
        <x:v>PASS</x:v>
      </x:c>
      <x:c r="L19" s="34" t="str">
        <x:v>Zero-caustic baseline</x:v>
      </x:c>
      <x:c r="O19" s="42" t="n">
        <x:v>0</x:v>
      </x:c>
      <x:c r="P19" s="42" t="n">
        <x:v>-0.2948089816</x:v>
      </x:c>
    </x:row>
    <x:row r="20" ht="27" customHeight="1">
      <x:c r="A20" s="34" t="n">
        <x:v>2</x:v>
      </x:c>
      <x:c r="B20" s="35" t="n">
        <x:v>0.00001</x:v>
      </x:c>
      <x:c r="C20" s="36" t="n">
        <x:f>B20*40*3600</x:f>
        <x:v>1.4400000000000002</x:v>
      </x:c>
      <x:c r="D20" s="36" t="n">
        <x:f>B20*40*1000</x:f>
        <x:v>0.4</x:v>
      </x:c>
      <x:c r="E20" s="37" t="n">
        <x:v>0.3197542106</x:v>
      </x:c>
      <x:c r="F20" s="37" t="n">
        <x:v>-3.5168421451</x:v>
      </x:c>
      <x:c r="G20" s="37"/>
      <x:c r="H20" s="37" t="n">
        <x:v>8.640294984</x:v>
      </x:c>
      <x:c r="I20" s="37" t="n">
        <x:v>2.578281735</x:v>
      </x:c>
      <x:c r="J20" s="41" t="str">
        <x:v>FAIL</x:v>
      </x:c>
      <x:c r="K20" s="41" t="str">
        <x:v>FAIL</x:v>
      </x:c>
      <x:c r="L20" s="34" t="str">
        <x:v>High dose fails</x:v>
      </x:c>
      <x:c r="O20" s="42" t="n">
        <x:v>0.00001</x:v>
      </x:c>
      <x:c r="P20" s="42" t="n">
        <x:v>0.3197542106</x:v>
      </x:c>
    </x:row>
    <x:row r="21" ht="27" customHeight="1">
      <x:c r="A21" s="34" t="n">
        <x:v>3</x:v>
      </x:c>
      <x:c r="B21" s="35" t="n">
        <x:v>0.000002</x:v>
      </x:c>
      <x:c r="C21" s="36" t="n">
        <x:f>B21*40*3600</x:f>
        <x:v>0.288</x:v>
      </x:c>
      <x:c r="D21" s="36" t="n">
        <x:f>B21*40*1000</x:f>
        <x:v>0.07999999999999999</x:v>
      </x:c>
      <x:c r="E21" s="37" t="n">
        <x:v>-0.1408537929</x:v>
      </x:c>
      <x:c r="F21" s="37" t="n">
        <x:v>-4.4570846758</x:v>
      </x:c>
      <x:c r="G21" s="37"/>
      <x:c r="H21" s="37" t="n">
        <x:v>8.168783324</x:v>
      </x:c>
      <x:c r="I21" s="37" t="n">
        <x:v>2.577274153</x:v>
      </x:c>
      <x:c r="J21" s="39" t="str">
        <x:v>PASS</x:v>
      </x:c>
      <x:c r="K21" s="39" t="str">
        <x:v>PASS</x:v>
      </x:c>
      <x:c r="L21" s="34" t="str">
        <x:v>Safe; move upward</x:v>
      </x:c>
      <x:c r="O21" s="42" t="n">
        <x:v>0.000002</x:v>
      </x:c>
      <x:c r="P21" s="42" t="n">
        <x:v>-0.1408537929</x:v>
      </x:c>
    </x:row>
    <x:row r="22" ht="27" customHeight="1">
      <x:c r="A22" s="34" t="n">
        <x:v>4</x:v>
      </x:c>
      <x:c r="B22" s="35" t="n">
        <x:v>0.000004</x:v>
      </x:c>
      <x:c r="C22" s="36" t="n">
        <x:f>B22*40*3600</x:f>
        <x:v>0.576</x:v>
      </x:c>
      <x:c r="D22" s="36" t="n">
        <x:f>B22*40*1000</x:f>
        <x:v>0.15999999999999998</x:v>
      </x:c>
      <x:c r="E22" s="37" t="n">
        <x:v>0.0029193162</x:v>
      </x:c>
      <x:c r="F22" s="37" t="n">
        <x:v>-4.1673264246</x:v>
      </x:c>
      <x:c r="G22" s="37"/>
      <x:c r="H22" s="37" t="n">
        <x:v>8.31395701</x:v>
      </x:c>
      <x:c r="I22" s="37" t="n">
        <x:v>2.577531445</x:v>
      </x:c>
      <x:c r="J22" s="41" t="str">
        <x:v>FAIL</x:v>
      </x:c>
      <x:c r="K22" s="41" t="str">
        <x:v>FAIL</x:v>
      </x:c>
      <x:c r="L22" s="34" t="str">
        <x:v>Basic-boundary fail</x:v>
      </x:c>
      <x:c r="O22" s="42" t="n">
        <x:v>0.000004</x:v>
      </x:c>
      <x:c r="P22" s="42" t="n">
        <x:v>0.0029193162</x:v>
      </x:c>
    </x:row>
    <x:row r="23" ht="27" customHeight="1">
      <x:c r="A23" s="34" t="n">
        <x:v>5</x:v>
      </x:c>
      <x:c r="B23" s="35" t="n">
        <x:v>0.000003</x:v>
      </x:c>
      <x:c r="C23" s="36" t="n">
        <x:f>B23*40*3600</x:f>
        <x:v>0.432</x:v>
      </x:c>
      <x:c r="D23" s="36" t="n">
        <x:f>B23*40*1000</x:f>
        <x:v>0.12000000000000001</x:v>
      </x:c>
      <x:c r="E23" s="37" t="n">
        <x:v>-0.0668675969</x:v>
      </x:c>
      <x:c r="F23" s="37" t="n">
        <x:v>-4.3083327583</x:v>
      </x:c>
      <x:c r="G23" s="37"/>
      <x:c r="H23" s="37" t="n">
        <x:v>8.243299554</x:v>
      </x:c>
      <x:c r="I23" s="37" t="n">
        <x:v>2.577403568</x:v>
      </x:c>
      <x:c r="J23" s="39" t="str">
        <x:v>PASS</x:v>
      </x:c>
      <x:c r="K23" s="39" t="str">
        <x:v>PASS</x:v>
      </x:c>
      <x:c r="L23" s="34" t="str">
        <x:v>Meets margin; move upward</x:v>
      </x:c>
      <x:c r="O23" s="42" t="n">
        <x:v>0.000003</x:v>
      </x:c>
      <x:c r="P23" s="42" t="n">
        <x:v>-0.0668675969</x:v>
      </x:c>
    </x:row>
    <x:row r="24" ht="27" customHeight="1">
      <x:c r="A24" s="34" t="n">
        <x:v>6</x:v>
      </x:c>
      <x:c r="B24" s="35" t="n">
        <x:v>0.0000039</x:v>
      </x:c>
      <x:c r="C24" s="36" t="n">
        <x:f>B24*40*3600</x:f>
        <x:v>0.5616</x:v>
      </x:c>
      <x:c r="D24" s="36" t="n">
        <x:f>B24*40*1000</x:f>
        <x:v>0.156</x:v>
      </x:c>
      <x:c r="E24" s="37" t="n">
        <x:v>-0.003841944</x:v>
      </x:c>
      <x:c r="F24" s="37" t="n">
        <x:v>-4.1810185086</x:v>
      </x:c>
      <x:c r="G24" s="37"/>
      <x:c r="H24" s="37" t="n">
        <x:v>8.307094978</x:v>
      </x:c>
      <x:c r="I24" s="37" t="n">
        <x:v>2.577518717</x:v>
      </x:c>
      <x:c r="J24" s="39" t="str">
        <x:v>PASS</x:v>
      </x:c>
      <x:c r="K24" s="41" t="str">
        <x:v>FAIL</x:v>
      </x:c>
      <x:c r="L24" s="34" t="str">
        <x:v>Basic-boundary pass</x:v>
      </x:c>
      <x:c r="O24" s="42" t="n">
        <x:v>0.0000039</x:v>
      </x:c>
      <x:c r="P24" s="42" t="n">
        <x:v>-0.003841944</x:v>
      </x:c>
    </x:row>
    <x:row r="25" ht="27" customHeight="1">
      <x:c r="A25" s="34" t="n">
        <x:v>7</x:v>
      </x:c>
      <x:c r="B25" s="35" t="n">
        <x:v>0.0000032</x:v>
      </x:c>
      <x:c r="C25" s="36" t="n">
        <x:f>B25*40*3600</x:f>
        <x:v>0.4608</x:v>
      </x:c>
      <x:c r="D25" s="36" t="n">
        <x:f>B25*40*1000</x:f>
        <x:v>0.128</x:v>
      </x:c>
      <x:c r="E25" s="37" t="n">
        <x:v>-0.0525381745</x:v>
      </x:c>
      <x:c r="F25" s="37" t="n">
        <x:v>-4.2794362866</x:v>
      </x:c>
      <x:c r="G25" s="37"/>
      <x:c r="H25" s="37" t="n">
        <x:v>8.257777602</x:v>
      </x:c>
      <x:c r="I25" s="37" t="n">
        <x:v>2.577429257</x:v>
      </x:c>
      <x:c r="J25" s="39" t="str">
        <x:v>PASS</x:v>
      </x:c>
      <x:c r="K25" s="39" t="str">
        <x:v>PASS</x:v>
      </x:c>
      <x:c r="L25" s="34" t="str">
        <x:v>Margin-boundary pass</x:v>
      </x:c>
      <x:c r="O25" s="42" t="n">
        <x:v>0.0000032</x:v>
      </x:c>
      <x:c r="P25" s="42" t="n">
        <x:v>-0.0525381745</x:v>
      </x:c>
    </x:row>
    <x:row r="26" ht="27" customHeight="1">
      <x:c r="A26" s="34" t="n">
        <x:v>8</x:v>
      </x:c>
      <x:c r="B26" s="35" t="n">
        <x:v>0.0000033</x:v>
      </x:c>
      <x:c r="C26" s="36" t="n">
        <x:f>B26*40*3600</x:f>
        <x:v>0.4752</x:v>
      </x:c>
      <x:c r="D26" s="36" t="n">
        <x:f>B26*40*1000</x:f>
        <x:v>0.132</x:v>
      </x:c>
      <x:c r="E26" s="37" t="n">
        <x:v>-0.0454401241</x:v>
      </x:c>
      <x:c r="F26" s="37" t="n">
        <x:v>-4.2651118196</x:v>
      </x:c>
      <x:c r="G26" s="37"/>
      <x:c r="H26" s="37" t="n">
        <x:v>8.264954947</x:v>
      </x:c>
      <x:c r="I26" s="37" t="n">
        <x:v>2.577442079</x:v>
      </x:c>
      <x:c r="J26" s="39" t="str">
        <x:v>PASS</x:v>
      </x:c>
      <x:c r="K26" s="41" t="str">
        <x:v>FAIL</x:v>
      </x:c>
      <x:c r="L26" s="34" t="str">
        <x:v>Margin-boundary fail</x:v>
      </x:c>
      <x:c r="O26" s="42" t="n">
        <x:v>0.0000033</x:v>
      </x:c>
      <x:c r="P26" s="42" t="n">
        <x:v>-0.0454401241</x:v>
      </x:c>
    </x:row>
    <x:row r="29">
      <x:c r="A29" s="12" t="str">
        <x:v>Final Boundaries and Engineering Conclusion</x:v>
      </x:c>
      <x:c r="B29" s="12" t="str">
        <x:v>Final Boundaries and Engineering Conclusion</x:v>
      </x:c>
      <x:c r="C29" s="12" t="str">
        <x:v>Final Boundaries and Engineering Conclusion</x:v>
      </x:c>
      <x:c r="D29" s="12" t="str">
        <x:v>Final Boundaries and Engineering Conclusion</x:v>
      </x:c>
      <x:c r="E29" s="12" t="str">
        <x:v>Final Boundaries and Engineering Conclusion</x:v>
      </x:c>
      <x:c r="F29" s="12" t="str">
        <x:v>Final Boundaries and Engineering Conclusion</x:v>
      </x:c>
      <x:c r="H29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I29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J29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K29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L29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M29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N29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O29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P29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</x:row>
    <x:row r="30">
      <x:c r="A30" s="18" t="str">
        <x:v>Item</x:v>
      </x:c>
      <x:c r="B30" s="18" t="str">
        <x:v>Adjacent failing point</x:v>
      </x:c>
      <x:c r="C30" s="18" t="str">
        <x:v>Adjacent passing point</x:v>
      </x:c>
      <x:c r="D30" s="18" t="str">
        <x:v>Controlling SI (fail→pass)</x:v>
      </x:c>
      <x:c r="E30" s="18" t="str">
        <x:v>Conclusion</x:v>
      </x:c>
      <x:c r="F30" s="18" t="str">
        <x:v>工程单位 / Engineering units</x:v>
      </x:c>
      <x:c r="H30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I30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J30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K30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L30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M30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N30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O30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P30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</x:row>
    <x:row r="31" ht="38" customHeight="1">
      <x:c r="A31" s="22" t="str">
        <x:v>Basic-safe boundary</x:v>
      </x:c>
      <x:c r="B31" s="22" t="str">
        <x:v>4.00e-6</x:v>
      </x:c>
      <x:c r="C31" s="22" t="str">
        <x:v>3.90e-6</x:v>
      </x:c>
      <x:c r="D31" s="22" t="str">
        <x:v>0.00292 → -0.00384</x:v>
      </x:c>
      <x:c r="E31" s="22" t="str">
        <x:v>Adjacent points prove basic boundary</x:v>
      </x:c>
      <x:c r="F31" s="22" t="str">
        <x:v>Basic-safe NaOH maximum: 3.9×10^-6 mol/s (0.5616 g/h). Recommended maximum: 3.2×10^-6 mol/s (0.4608 g/h), with pH≈8.258.</x:v>
      </x:c>
      <x:c r="H31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I31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J31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K31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L31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M31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N31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O31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P31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</x:row>
    <x:row r="32" ht="38" customHeight="1">
      <x:c r="A32" s="22" t="str">
        <x:v>Recommended-margin boundary</x:v>
      </x:c>
      <x:c r="B32" s="22" t="str">
        <x:v>3.30e-6</x:v>
      </x:c>
      <x:c r="C32" s="22" t="str">
        <x:v>3.20e-6</x:v>
      </x:c>
      <x:c r="D32" s="22" t="str">
        <x:v>-0.04544 → -0.05254</x:v>
      </x:c>
      <x:c r="E32" s="22" t="str">
        <x:v>Adjacent points prove recommended boundary</x:v>
      </x:c>
      <x:c r="F32" s="22" t="str">
        <x:v>Basic-safe NaOH maximum: 3.9×10^-6 mol/s (0.5616 g/h). Recommended maximum: 3.2×10^-6 mol/s (0.4608 g/h), with pH≈8.258.</x:v>
      </x:c>
      <x:c r="H32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I32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J32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K32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L32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M32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N32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O32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P32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</x:row>
    <x:row r="33" ht="38" customHeight="1">
      <x:c r="A33" s="22" t="str">
        <x:v>Controlling mineral</x:v>
      </x:c>
      <x:c r="B33" s="22" t="str">
        <x:v>Calcite</x:v>
      </x:c>
      <x:c r="C33" s="22" t="str">
        <x:v>-</x:v>
      </x:c>
      <x:c r="D33" s="22" t="str">
        <x:v>Other mineral SIs are lower</x:v>
      </x:c>
      <x:c r="E33" s="22" t="str">
        <x:v>Control confirmed by trajectory</x:v>
      </x:c>
      <x:c r="F33" s="22" t="str">
        <x:v>equilibrate_feed</x:v>
      </x:c>
      <x:c r="H33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I33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J33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K33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L33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M33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N33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O33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P33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</x:row>
    <x:row r="34" ht="38" customHeight="1">
      <x:c r="A34" s="22" t="str">
        <x:v>Final recommendation</x:v>
      </x:c>
      <x:c r="B34" s="22" t="str">
        <x:v>-</x:v>
      </x:c>
      <x:c r="C34" s="22" t="str">
        <x:v>3.20e-6</x:v>
      </x:c>
      <x:c r="D34" s="22" t="str">
        <x:v>SI=-0.05254</x:v>
      </x:c>
      <x:c r="E34" s="22" t="str">
        <x:v>Basic-safe NaOH maximum: 3.9×10^-6 mol/s (0.5616 g/h). Recommended maximum: 3.2×10^-6 mol/s (0.4608 g/h), with pH≈8.258.</x:v>
      </x:c>
      <x:c r="F34" s="22" t="str">
        <x:v>Use recommended-margin boundary</x:v>
      </x:c>
      <x:c r="H34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I34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J34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K34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L34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M34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N34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O34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  <x:c r="P34" s="32" t="str">
        <x:v>Final conclusion
Basic-safe NaOH maximum: 3.9×10^-6 mol/s (0.5616 g/h). Recommended maximum: 3.2×10^-6 mol/s (0.4608 g/h), with pH≈8.258.
Key simulation evidence: basic fail/pass=4.00e-6/3.90e-6; recommended-margin fail/pass=3.30e-6/3.20e-6. Eight equilibrate_feed calls are recorded.</x:v>
      </x:c>
    </x:row>
  </x:sheetData>
  <x:mergeCells>
    <x:mergeCell ref="A1:P2"/>
    <x:mergeCell ref="A4:P6"/>
    <x:mergeCell ref="A8:G8"/>
    <x:mergeCell ref="A17:P17"/>
    <x:mergeCell ref="A29:F29"/>
    <x:mergeCell ref="H29:P34"/>
  </x:mergeCells>
  <x:pageMargins left="0.7" right="0.7" top="0.75" bottom="0.75" header="0.3" footer="0.3"/>
  <x:drawing xmlns:r="http://schemas.openxmlformats.org/officeDocument/2006/relationships" r:id="R44bcd39a2aa24d5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>
      <x:c r="A1" s="5" t="str">
        <x:v>D5-5a N03: Trajectory Quality Rubric (100 points)</x:v>
      </x:c>
      <x:c r="B1" s="5" t="str">
        <x:v>D5-5a N03: Trajectory Quality Rubric (100 points)</x:v>
      </x:c>
      <x:c r="C1" s="5" t="str">
        <x:v>D5-5a N03: Trajectory Quality Rubric (100 points)</x:v>
      </x:c>
      <x:c r="D1" s="5" t="str">
        <x:v>D5-5a N03: Trajectory Quality Rubric (100 points)</x:v>
      </x:c>
      <x:c r="E1" s="5" t="str">
        <x:v>D5-5a N03: Trajectory Quality Rubric (100 points)</x:v>
      </x:c>
      <x:c r="F1" s="5" t="str">
        <x:v>D5-5a N03: Trajectory Quality Rubric (100 points)</x:v>
      </x:c>
      <x:c r="G1" s="5" t="str">
        <x:v>D5-5a N03: Trajectory Quality Rubric (100 points)</x:v>
      </x:c>
    </x:row>
    <x:row r="2">
      <x:c r="A2" s="5" t="str">
        <x:v>D5-5a N03: Trajectory Quality Rubric (100 points)</x:v>
      </x:c>
      <x:c r="B2" s="5" t="str">
        <x:v>D5-5a N03: Trajectory Quality Rubric (100 points)</x:v>
      </x:c>
      <x:c r="C2" s="5" t="str">
        <x:v>D5-5a N03: Trajectory Quality Rubric (100 points)</x:v>
      </x:c>
      <x:c r="D2" s="5" t="str">
        <x:v>D5-5a N03: Trajectory Quality Rubric (100 points)</x:v>
      </x:c>
      <x:c r="E2" s="5" t="str">
        <x:v>D5-5a N03: Trajectory Quality Rubric (100 points)</x:v>
      </x:c>
      <x:c r="F2" s="5" t="str">
        <x:v>D5-5a N03: Trajectory Quality Rubric (100 points)</x:v>
      </x:c>
      <x:c r="G2" s="5" t="str">
        <x:v>D5-5a N03: Trajectory Quality Rubric (100 points)</x:v>
      </x:c>
    </x:row>
    <x:row r="4">
      <x:c r="A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5">
      <x:c r="A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6">
      <x:c r="A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8">
      <x:c r="A8" s="18" t="str">
        <x:v>Trajectory dimension</x:v>
      </x:c>
      <x:c r="B8" s="18" t="str">
        <x:v>Evaluation focus</x:v>
      </x:c>
      <x:c r="C8" s="18" t="str">
        <x:v>Full-credit evidence</x:v>
      </x:c>
      <x:c r="D8" s="18" t="str">
        <x:v>Partial credit</x:v>
      </x:c>
      <x:c r="E8" s="18" t="str">
        <x:v>Key failure modes</x:v>
      </x:c>
      <x:c r="F8" s="18" t="str">
        <x:v>Weight</x:v>
      </x:c>
      <x:c r="G8" s="18" t="str">
        <x:v>Score</x:v>
      </x:c>
    </x:row>
    <x:row r="9" ht="62" customHeight="1">
      <x:c r="A9" s="22" t="str">
        <x:v>TQ1 Problem framing and state</x:v>
      </x:c>
      <x:c r="B9" s="22" t="str">
        <x:v>Identify decision variable, controlling mineral and two safety targets</x:v>
      </x:c>
      <x:c r="C9" s="22" t="str">
        <x:v>Vary only NaOH mol/s; basic=Calcite SI&lt;0 and Brucite SI&lt;0; margin=Calcite SI≤-0.05</x:v>
      </x:c>
      <x:c r="D9" s="22" t="str">
        <x:v>Identifies main risk but mixes stopping criteria</x:v>
      </x:c>
      <x:c r="E9" s="22" t="str">
        <x:v>Changes fixed conditions, misreads SI, or chooses wrong control variable</x:v>
      </x:c>
      <x:c r="F9" s="22" t="n">
        <x:v>15</x:v>
      </x:c>
      <x:c r="G9" s="22"/>
    </x:row>
    <x:row r="10" ht="62" customHeight="1">
      <x:c r="A10" s="22" t="str">
        <x:v>TQ2 Planning and decomposition</x:v>
      </x:c>
      <x:c r="B10" s="22" t="str">
        <x:v>Separate baseline, coarse bracket, basic boundary and margin boundary</x:v>
      </x:c>
      <x:c r="C10" s="22" t="str">
        <x:v>Establish direction/bracket, then prove adjacent limits at 1e-7 mol/s resolution</x:v>
      </x:c>
      <x:c r="D10" s="22" t="str">
        <x:v>Iterates but misses one adjacent boundary proof</x:v>
      </x:c>
      <x:c r="E10" s="22" t="str">
        <x:v>Gives final answer directly, brute-force scans, or mixes targets</x:v>
      </x:c>
      <x:c r="F10" s="22" t="n">
        <x:v>15</x:v>
      </x:c>
      <x:c r="G10" s="22"/>
    </x:row>
    <x:row r="11" ht="62" customHeight="1">
      <x:c r="A11" s="22" t="str">
        <x:v>TQ3 Action/tool-call correctness</x:v>
      </x:c>
      <x:c r="B11" s="22" t="str">
        <x:v>Correct tool, inputs, units and invariant conditions</x:v>
      </x:c>
      <x:c r="C11" s="22" t="str">
        <x:v>Primarily uses equilibrate_feed; holds composition/T/pH/fixed conditions and changes only the specified variable</x:v>
      </x:c>
      <x:c r="D11" s="22" t="str">
        <x:v>Minor unit/input deviations without changing limit</x:v>
      </x:c>
      <x:c r="E11" s="22" t="str">
        <x:v>Wrong tool, multiple variables changed, wrong units, or omitted mineral</x:v>
      </x:c>
      <x:c r="F11" s="22" t="n">
        <x:v>20</x:v>
      </x:c>
      <x:c r="G11" s="22"/>
    </x:row>
    <x:row r="12" ht="62" customHeight="1">
      <x:c r="A12" s="22" t="str">
        <x:v>TQ4 Observation and state update</x:v>
      </x:c>
      <x:c r="B12" s="22" t="str">
        <x:v>Use SI outputs to update bounds correctly</x:v>
      </x:c>
      <x:c r="C12" s="22" t="str">
        <x:v>Basic 3.90e-6 pass / 4.00e-6 fail; margin 3.20e-6 pass / 3.30e-6 fail</x:v>
      </x:c>
      <x:c r="D12" s="22" t="str">
        <x:v>Limit roughly correct but one adjacent point/output is missing</x:v>
      </x:c>
      <x:c r="E12" s="22" t="str">
        <x:v>Treats any negative SI as meeting -0.05 or updates bounds incorrectly</x:v>
      </x:c>
      <x:c r="F12" s="22" t="n">
        <x:v>20</x:v>
      </x:c>
      <x:c r="G12" s="22"/>
    </x:row>
    <x:row r="13" ht="62" customHeight="1">
      <x:c r="A13" s="22" t="str">
        <x:v>TQ5 Adaptive comparison and replanning</x:v>
      </x:c>
      <x:c r="B13" s="22" t="str">
        <x:v>Choose each next call from the prior observation</x:v>
      </x:c>
      <x:c r="C13" s="22" t="str">
        <x:v>Adaptive coarse-to-fine search; switch to SI≤-0.05 after basic limit is proven</x:v>
      </x:c>
      <x:c r="D13" s="22" t="str">
        <x:v>Partly adaptive with some low-information enumeration</x:v>
      </x:c>
      <x:c r="E13" s="22" t="str">
        <x:v>Sequence ignores feedback or repeats resolved branches</x:v>
      </x:c>
      <x:c r="F13" s="22" t="n">
        <x:v>20</x:v>
      </x:c>
      <x:c r="G13" s="22"/>
    </x:row>
    <x:row r="14" ht="62" customHeight="1">
      <x:c r="A14" s="22" t="str">
        <x:v>TQ6 Stop and engineering decision</x:v>
      </x:c>
      <x:c r="B14" s="22" t="str">
        <x:v>Stop after sufficient proof and give an actionable conclusion</x:v>
      </x:c>
      <x:c r="C14" s="22" t="str">
        <x:v>Basic-safe NaOH maximum: 3.9×10^-6 mol/s (0.5616 g/h). Recommended maximum: 3.2×10^-6 mol/s (0.4608 g/h), with pH≈8.258.</x:v>
      </x:c>
      <x:c r="D14" s="22" t="str">
        <x:v>Correct number but missing conversion, process output or one boundary proof</x:v>
      </x:c>
      <x:c r="E14" s="22" t="str">
        <x:v>Recommends the basic limit rather than margin, or stops without evidence</x:v>
      </x:c>
      <x:c r="F14" s="22" t="n">
        <x:v>10</x:v>
      </x:c>
      <x:c r="G14" s="22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 ht="30" customHeight="1">
      <x:c r="A19" s="22" t="str">
        <x:v>Difficulty calibration</x:v>
      </x:c>
      <x:c r="B19" s="22" t="str">
        <x:v>About eight high-information calls</x:v>
      </x:c>
      <x:c r="C19" s="22" t="str">
        <x:v>Adaptive two-boundary search comparable to the source D5-5a</x:v>
      </x:c>
      <x:c r="D19" s="22"/>
      <x:c r="E19" s="22"/>
      <x:c r="F19" s="22"/>
      <x:c r="G19" s="22"/>
    </x:row>
    <x:row r="20" ht="30" customHeight="1">
      <x:c r="A20" s="22" t="str">
        <x:v>Tool boundary</x:v>
      </x:c>
      <x:c r="B20" s="22" t="str">
        <x:v>equilibrate_feed</x:v>
      </x:c>
      <x:c r="C20" s="22" t="str">
        <x:v>Scope: this task determines the NaOH upper bound imposed by scaling, not the minimum dose required for boron rejection; both constraints must be checked in design.</x:v>
      </x:c>
      <x:c r="D20" s="22"/>
      <x:c r="E20" s="22"/>
      <x:c r="F20" s="22"/>
      <x:c r="G20" s="2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>
      <x:c r="A1" s="5" t="str">
        <x:v>D5-5a N03: Tool Usage Efficiency (100 points)</x:v>
      </x:c>
      <x:c r="B1" s="5" t="str">
        <x:v>D5-5a N03: Tool Usage Efficiency (100 points)</x:v>
      </x:c>
      <x:c r="C1" s="5" t="str">
        <x:v>D5-5a N03: Tool Usage Efficiency (100 points)</x:v>
      </x:c>
      <x:c r="D1" s="5" t="str">
        <x:v>D5-5a N03: Tool Usage Efficiency (100 points)</x:v>
      </x:c>
      <x:c r="E1" s="5" t="str">
        <x:v>D5-5a N03: Tool Usage Efficiency (100 points)</x:v>
      </x:c>
      <x:c r="F1" s="5" t="str">
        <x:v>D5-5a N03: Tool Usage Efficiency (100 points)</x:v>
      </x:c>
      <x:c r="G1" s="5" t="str">
        <x:v>D5-5a N03: Tool Usage Efficiency (100 points)</x:v>
      </x:c>
    </x:row>
    <x:row r="2">
      <x:c r="A2" s="5" t="str">
        <x:v>D5-5a N03: Tool Usage Efficiency (100 points)</x:v>
      </x:c>
      <x:c r="B2" s="5" t="str">
        <x:v>D5-5a N03: Tool Usage Efficiency (100 points)</x:v>
      </x:c>
      <x:c r="C2" s="5" t="str">
        <x:v>D5-5a N03: Tool Usage Efficiency (100 points)</x:v>
      </x:c>
      <x:c r="D2" s="5" t="str">
        <x:v>D5-5a N03: Tool Usage Efficiency (100 points)</x:v>
      </x:c>
      <x:c r="E2" s="5" t="str">
        <x:v>D5-5a N03: Tool Usage Efficiency (100 points)</x:v>
      </x:c>
      <x:c r="F2" s="5" t="str">
        <x:v>D5-5a N03: Tool Usage Efficiency (100 points)</x:v>
      </x:c>
      <x:c r="G2" s="5" t="str">
        <x:v>D5-5a N03: Tool Usage Efficiency (100 points)</x:v>
      </x:c>
    </x:row>
    <x:row r="4">
      <x:c r="A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5">
      <x:c r="A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6">
      <x:c r="A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behavior</x:v>
      </x:c>
      <x:c r="D8" s="18" t="str">
        <x:v>Medium behavior</x:v>
      </x:c>
      <x:c r="E8" s="18" t="str">
        <x:v>Low-score behavior</x:v>
      </x:c>
      <x:c r="F8" s="18" t="str">
        <x:v>Case-specific observation</x:v>
      </x:c>
      <x:c r="G8" s="18" t="str">
        <x:v>Points</x:v>
      </x:c>
    </x:row>
    <x:row r="9" ht="68" customHeight="1">
      <x:c r="A9" s="22" t="str">
        <x:v>E1 Tool choice and necessity</x:v>
      </x:c>
      <x:c r="B9" s="22" t="str">
        <x:v>Use the correct tool and avoid irrelevant tools</x:v>
      </x:c>
      <x:c r="C9" s="22" t="str">
        <x:v>Scientific calculation primarily uses equilibrate_feed; each call supports the current decision</x:v>
      </x:c>
      <x:c r="D9" s="22" t="str">
        <x:v>A few unnecessary metadata/probe calls</x:v>
      </x:c>
      <x:c r="E9" s="22" t="str">
        <x:v>Wrong tool or many irrelevant calls</x:v>
      </x:c>
      <x:c r="F9" s="22" t="str">
        <x:v>Scope: this task determines the NaOH upper bound imposed by scaling, not the minimum dose required for boron rejection; both constraints must be checked in design.</x:v>
      </x:c>
      <x:c r="G9" s="22" t="n">
        <x:v>20</x:v>
      </x:c>
    </x:row>
    <x:row r="10" ht="68" customHeight="1">
      <x:c r="A10" s="22" t="str">
        <x:v>E2 Information gain and call order</x:v>
      </x:c>
      <x:c r="B10" s="22" t="str">
        <x:v>Prioritize the most discriminating information</x:v>
      </x:c>
      <x:c r="C10" s="22" t="str">
        <x:v>Establish direction/baseline and a coarse bracket, then refine uncertainty</x:v>
      </x:c>
      <x:c r="D10" s="22" t="str">
        <x:v>Mostly rational with some low-information calls</x:v>
      </x:c>
      <x:c r="E10" s="22" t="str">
        <x:v>Dense grid scan before structuring the problem</x:v>
      </x:c>
      <x:c r="F10" s="22" t="str">
        <x:v>Reference path begins with endpoints/coarse probes</x:v>
      </x:c>
      <x:c r="G10" s="22" t="n">
        <x:v>20</x:v>
      </x:c>
    </x:row>
    <x:row r="11" ht="68" customHeight="1">
      <x:c r="A11" s="22" t="str">
        <x:v>E3 Adaptive iteration</x:v>
      </x:c>
      <x:c r="B11" s="22" t="str">
        <x:v>Let each observation determine the next call</x:v>
      </x:c>
      <x:c r="C11" s="22" t="str">
        <x:v>Select the next input from fail/pass feedback and switch to the margin target after the basic limit</x:v>
      </x:c>
      <x:c r="D11" s="22" t="str">
        <x:v>Partly adaptive with preset enumeration</x:v>
      </x:c>
      <x:c r="E11" s="22" t="str">
        <x:v>Call sequence barely responds to prior results</x:v>
      </x:c>
      <x:c r="F11" s="22" t="str">
        <x:v>Basic 3.90e-6/4.00e-6; margin 3.20e-6/3.30e-6</x:v>
      </x:c>
      <x:c r="G11" s="22" t="n">
        <x:v>20</x:v>
      </x:c>
    </x:row>
    <x:row r="12" ht="68" customHeight="1">
      <x:c r="A12" s="22" t="str">
        <x:v>E4 Pruning and redundancy</x:v>
      </x:c>
      <x:c r="B12" s="22" t="str">
        <x:v>Stop resolved branches and avoid repeats</x:v>
      </x:c>
      <x:c r="C12" s="22" t="str">
        <x:v>Stop once adjacent fail/pass points lock each boundary</x:v>
      </x:c>
      <x:c r="D12" s="22" t="str">
        <x:v>A few repeats or 1–2 extra resolved points</x:v>
      </x:c>
      <x:c r="E12" s="22" t="str">
        <x:v>Keeps testing eliminated branches or brute-force combinations</x:v>
      </x:c>
      <x:c r="F12" s="22" t="str">
        <x:v>Both boundaries stop at adjacent points</x:v>
      </x:c>
      <x:c r="G12" s="22" t="n">
        <x:v>20</x:v>
      </x:c>
    </x:row>
    <x:row r="13" ht="68" customHeight="1">
      <x:c r="A13" s="22" t="str">
        <x:v>E5 Convergence and stopping</x:v>
      </x:c>
      <x:c r="B13" s="22" t="str">
        <x:v>Obtain sufficient evidence with a reasonable call budget</x:v>
      </x:c>
      <x:c r="C13" s="22" t="str">
        <x:v>About 7–9 calls, sufficient evidence, no clear redundancy</x:v>
      </x:c>
      <x:c r="D13" s="22" t="str">
        <x:v>About 10–12 calls with minor redundancy</x:v>
      </x:c>
      <x:c r="E13" s="22" t="str">
        <x:v>&gt;12 enumerative/repeated calls, or too few calls to prove limits</x:v>
      </x:c>
      <x:c r="F13" s="22" t="str">
        <x:v>Reference trajectory: 8 calls; alternatives can score equally</x:v>
      </x:c>
      <x:c r="G13" s="22" t="n">
        <x:v>20</x:v>
      </x:c>
    </x:row>
    <x:row r="15">
      <x:c r="F15" s="43" t="str">
        <x:v>Tool-efficiency total</x:v>
      </x:c>
      <x:c r="G15" s="43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