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5115a685bce4c6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uestion_Q" sheetId="1" r:id="R7aac33bf20ef4840"/>
    <x:sheet xmlns:r="http://schemas.openxmlformats.org/officeDocument/2006/relationships" name="Gold_Answer_A" sheetId="2" r:id="Rf404915ea1314c92"/>
    <x:sheet xmlns:r="http://schemas.openxmlformats.org/officeDocument/2006/relationships" name="Trajectory_Rubric" sheetId="3" r:id="R4c3e48e962f54182"/>
    <x:sheet xmlns:r="http://schemas.openxmlformats.org/officeDocument/2006/relationships" name="Tool_Efficiency" sheetId="4" r:id="Rcb00117a05f5464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#,##0.0000"/>
    <x:numFmt numFmtId="201" formatCode="0.0%"/>
    <x:numFmt numFmtId="202" formatCode="0.0000"/>
    <x:numFmt numFmtId="203" formatCode="0.000000"/>
    <x:numFmt numFmtId="204" formatCode="0.00000"/>
    <x:numFmt numFmtId="205" formatCode="0.000"/>
  </x:numFmts>
  <x:fonts count="7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7365D"/>
      <x:name val="Carlito"/>
    </x:font>
    <x:font>
      <x:b/>
      <x:sz val="11"/>
      <x:color rgb="FFFFFFFF"/>
      <x:name val="Carlito"/>
    </x:font>
    <x:font>
      <x:sz val="11"/>
      <x:color rgb="FF1F2937"/>
      <x:name val="Carlito"/>
    </x:font>
    <x:font>
      <x:sz val="11"/>
      <x:color rgb="FF9C6500"/>
      <x:name val="Carlito"/>
    </x:font>
    <x:font>
      <x:b/>
      <x:sz val="11"/>
      <x:color rgb="FF375623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AF2F8"/>
      </x:patternFill>
    </x:fill>
    <x:fill>
      <x:patternFill patternType="solid">
        <x:fgColor rgb="FFD9EAF7"/>
      </x:patternFill>
    </x:fill>
    <x:fill>
      <x:patternFill patternType="solid">
        <x:fgColor rgb="FF2F75B5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4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wrapText="1"/>
    </x:xf>
    <x:xf numFmtId="0" fontId="3" fillId="5" borderId="1" xfId="0" applyNumberFormat="1" applyFont="1" applyFill="1" applyBorder="1" applyAlignment="1">
      <x:alignment horizontal="center" wrapText="1"/>
    </x:xf>
    <x:xf numFmtId="0" fontId="3" fillId="5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center" wrapText="1"/>
    </x:xf>
    <x:xf numFmtId="200" fontId="4" fillId="0" borderId="1" xfId="0" applyNumberFormat="1" applyFont="1" applyFill="1" applyBorder="1" applyAlignment="1">
      <x:alignment vertical="center" wrapText="1"/>
    </x:xf>
    <x:xf numFmtId="201" fontId="4" fillId="0" borderId="1" xfId="0" applyNumberFormat="1" applyFont="1" applyFill="1" applyBorder="1" applyAlignment="1">
      <x:alignment vertical="center" wrapText="1"/>
    </x:xf>
    <x:xf numFmtId="202" fontId="4" fillId="0" borderId="1" xfId="0" applyNumberFormat="1" applyFont="1" applyFill="1" applyBorder="1" applyAlignment="1">
      <x:alignment vertical="center" wrapText="1"/>
    </x:xf>
    <x:xf numFmtId="203" fontId="4" fillId="0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0" xfId="0" applyNumberFormat="1" applyFont="1" applyFill="1" applyBorder="1" applyAlignment="1">
      <x:alignment wrapText="1"/>
    </x:xf>
    <x:xf numFmtId="0" fontId="6" fillId="7" borderId="0" xfId="0" applyNumberFormat="1" applyFont="1" applyFill="1" applyBorder="1" applyAlignment="1">
      <x:alignment vertical="center" wrapText="1"/>
    </x:xf>
    <x:xf numFmtId="204" fontId="4" fillId="0" borderId="1" xfId="0" applyNumberFormat="1" applyFont="1" applyFill="1" applyBorder="1" applyAlignment="1">
      <x:alignment vertical="center" wrapText="1"/>
    </x:xf>
    <x:xf numFmtId="205" fontId="4" fillId="0" borderId="1" xfId="0" applyNumberFormat="1" applyFont="1" applyFill="1" applyBorder="1" applyAlignment="1">
      <x:alignment vertical="center" wrapText="1"/>
    </x:xf>
    <x:xf numFmtId="0" fontId="6" fillId="7" borderId="0" xfId="0" applyNumberFormat="1" applyFont="1" applyFill="1" applyBorder="1" applyAlignment="1">
      <x:alignment horizontal="right"/>
    </x:xf>
  </x:cellXfs>
  <x:cellStyles count="1">
    <x:cellStyle name="Normal" xfId="0"/>
  </x:cellStyles>
  <x:dxfs count="1">
    <x:dxf>
      <x:font>
        <x:b/>
        <x:color rgb="FF375623"/>
      </x:font>
      <x:fill>
        <x:patternFill patternType="solid"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6b18716c63945da" /><Relationship Type="http://schemas.openxmlformats.org/officeDocument/2006/relationships/theme" Target="/xl/theme/theme1.xml" Id="R9429929005644016" /><Relationship Type="http://schemas.openxmlformats.org/officeDocument/2006/relationships/sharedStrings" Target="/xl/sharedStrings.xml" Id="Rd7ce9927175140d7" /><Relationship Type="http://schemas.openxmlformats.org/officeDocument/2006/relationships/worksheet" Target="/xl/worksheets/sheet1.xml" Id="R7aac33bf20ef4840" /><Relationship Type="http://schemas.openxmlformats.org/officeDocument/2006/relationships/worksheet" Target="/xl/worksheets/sheet2.xml" Id="Rf404915ea1314c92" /><Relationship Type="http://schemas.openxmlformats.org/officeDocument/2006/relationships/worksheet" Target="/xl/worksheets/sheet3.xml" Id="R4c3e48e962f54182" /><Relationship Type="http://schemas.openxmlformats.org/officeDocument/2006/relationships/worksheet" Target="/xl/worksheets/sheet4.xml" Id="Rcb00117a05f5464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7e5dee0ee75f4a3a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Route screening: Calcite/Gypsum SI vs design line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Calcite SI</c:v>
          </c:tx>
          <c:marker>
            <c:symbol val="none"/>
          </c:marker>
          <c:cat>
            <c:strRef>
              <c:f>'Gold_Answer_A'!$P$19:$P$27</c:f>
              <c:strCache>
                <c:ptCount val="0"/>
              </c:strCache>
            </c:strRef>
          </c:cat>
          <c:val>
            <c:numRef>
              <c:f>'Gold_Answer_A'!$Q$19:$Q$27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1"/>
          <c:order val="1"/>
          <c:tx>
            <c:v>Gypsum SI</c:v>
          </c:tx>
          <c:marker>
            <c:symbol val="none"/>
          </c:marker>
          <c:cat>
            <c:strRef>
              <c:f>'Gold_Answer_A'!$P$19:$P$27</c:f>
              <c:strCache>
                <c:ptCount val="0"/>
              </c:strCache>
            </c:strRef>
          </c:cat>
          <c:val>
            <c:numRef>
              <c:f>'Gold_Answer_A'!$R$19:$R$27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2"/>
          <c:order val="2"/>
          <c:tx>
            <c:v>Design line</c:v>
          </c:tx>
          <c:marker>
            <c:symbol val="none"/>
          </c:marker>
          <c:cat>
            <c:strRef>
              <c:f>'Gold_Answer_A'!$P$19:$P$27</c:f>
              <c:strCache>
                <c:ptCount val="0"/>
              </c:strCache>
            </c:strRef>
          </c:cat>
          <c:val>
            <c:numRef>
              <c:f>'Gold_Answer_A'!$S$19:$S$27</c:f>
              <c:numCache>
                <c:formatCode>General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7</xdr:row>
      <xdr:rowOff>0</xdr:rowOff>
    </xdr:from>
    <xdr:to>
      <xdr:col>14</xdr:col>
      <xdr:colOff>0</xdr:colOff>
      <xdr:row>16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e5dee0ee75f4a3a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c633a0ad872e481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2" hidden="0" customWidth="1"/>
    <x:col min="3" max="3" width="17" hidden="0" customWidth="1"/>
    <x:col min="4" max="4" width="34" hidden="0" customWidth="1"/>
    <x:col min="5" max="5" width="4" hidden="0" customWidth="1"/>
    <x:col min="6" max="6" width="30" hidden="0" customWidth="1"/>
    <x:col min="7" max="7" width="34" hidden="0" customWidth="1"/>
    <x:col min="8" max="8" width="44" hidden="0" customWidth="1"/>
  </x:cols>
  <x:sheetData>
    <x:row r="1" ht="26" customHeight="1">
      <x:c r="A1" s="4" t="str">
        <x:v>D5-5b: Scaling-Based Choice Among Acidification, Softening and Hybrid Pretreatment</x:v>
      </x:c>
      <x:c r="B1" s="4" t="str">
        <x:v>D5-5b: Scaling-Based Choice Among Acidification, Softening and Hybrid Pretreatment</x:v>
      </x:c>
      <x:c r="C1" s="4" t="str">
        <x:v>D5-5b: Scaling-Based Choice Among Acidification, Softening and Hybrid Pretreatment</x:v>
      </x:c>
      <x:c r="D1" s="4" t="str">
        <x:v>D5-5b: Scaling-Based Choice Among Acidification, Softening and Hybrid Pretreatment</x:v>
      </x:c>
      <x:c r="E1" s="4" t="str">
        <x:v>D5-5b: Scaling-Based Choice Among Acidification, Softening and Hybrid Pretreatment</x:v>
      </x:c>
      <x:c r="F1" s="4" t="str">
        <x:v>D5-5b: Scaling-Based Choice Among Acidification, Softening and Hybrid Pretreatment</x:v>
      </x:c>
      <x:c r="G1" s="4" t="str">
        <x:v>D5-5b: Scaling-Based Choice Among Acidification, Softening and Hybrid Pretreatment</x:v>
      </x:c>
      <x:c r="H1" s="4" t="str">
        <x:v>D5-5b: Scaling-Based Choice Among Acidification, Softening and Hybrid Pretreatment</x:v>
      </x:c>
    </x:row>
    <x:row r="2" ht="26" customHeight="1">
      <x:c r="A2" s="4" t="str">
        <x:v>D5-5b: Scaling-Based Choice Among Acidification, Softening and Hybrid Pretreatment</x:v>
      </x:c>
      <x:c r="B2" s="4" t="str">
        <x:v>D5-5b: Scaling-Based Choice Among Acidification, Softening and Hybrid Pretreatment</x:v>
      </x:c>
      <x:c r="C2" s="4" t="str">
        <x:v>D5-5b: Scaling-Based Choice Among Acidification, Softening and Hybrid Pretreatment</x:v>
      </x:c>
      <x:c r="D2" s="4" t="str">
        <x:v>D5-5b: Scaling-Based Choice Among Acidification, Softening and Hybrid Pretreatment</x:v>
      </x:c>
      <x:c r="E2" s="4" t="str">
        <x:v>D5-5b: Scaling-Based Choice Among Acidification, Softening and Hybrid Pretreatment</x:v>
      </x:c>
      <x:c r="F2" s="4" t="str">
        <x:v>D5-5b: Scaling-Based Choice Among Acidification, Softening and Hybrid Pretreatment</x:v>
      </x:c>
      <x:c r="G2" s="4" t="str">
        <x:v>D5-5b: Scaling-Based Choice Among Acidification, Softening and Hybrid Pretreatment</x:v>
      </x:c>
      <x:c r="H2" s="4" t="str">
        <x:v>D5-5b: Scaling-Based Choice Among Acidification, Softening and Hybrid Pretreatment</x:v>
      </x:c>
    </x:row>
    <x:row r="4" ht="34" customHeight="1">
      <x:c r="A4" s="8" t="str">
        <x:v>A coastal-well RO system has a process-fixed water recovery of 50%. The feed contains elevated Ca²⁺, SO₄²⁻ and alkalinity. The project must choose among acidification only, sodium-cycle cation softening, partial softening plus HCl polishing, and antiscalant-only treatment. Use equilibrate_feed at fixed temperature, pressure, feed pH and water recovery to evaluate Calcite, Gypsum and Anhydrite. The design criteria are Calcite SI≤-0.10, Gypsum SI≤-0.10, Anhydrite SI&lt;0 and equilibrium pH≥6.80. Because regenerant-brine disposal is constrained, allowable Ca removal is capped at 70%. Identify why each route passes or fails, determine the minimum HCl dose for the hybrid route, and make an actionable recommendation.</x:v>
      </x:c>
      <x:c r="B4" s="8" t="str">
        <x:v>A coastal-well RO system has a process-fixed water recovery of 50%. The feed contains elevated Ca²⁺, SO₄²⁻ and alkalinity. The project must choose among acidification only, sodium-cycle cation softening, partial softening plus HCl polishing, and antiscalant-only treatment. Use equilibrate_feed at fixed temperature, pressure, feed pH and water recovery to evaluate Calcite, Gypsum and Anhydrite. The design criteria are Calcite SI≤-0.10, Gypsum SI≤-0.10, Anhydrite SI&lt;0 and equilibrium pH≥6.80. Because regenerant-brine disposal is constrained, allowable Ca removal is capped at 70%. Identify why each route passes or fails, determine the minimum HCl dose for the hybrid route, and make an actionable recommendation.</x:v>
      </x:c>
      <x:c r="C4" s="8" t="str">
        <x:v>A coastal-well RO system has a process-fixed water recovery of 50%. The feed contains elevated Ca²⁺, SO₄²⁻ and alkalinity. The project must choose among acidification only, sodium-cycle cation softening, partial softening plus HCl polishing, and antiscalant-only treatment. Use equilibrate_feed at fixed temperature, pressure, feed pH and water recovery to evaluate Calcite, Gypsum and Anhydrite. The design criteria are Calcite SI≤-0.10, Gypsum SI≤-0.10, Anhydrite SI&lt;0 and equilibrium pH≥6.80. Because regenerant-brine disposal is constrained, allowable Ca removal is capped at 70%. Identify why each route passes or fails, determine the minimum HCl dose for the hybrid route, and make an actionable recommendation.</x:v>
      </x:c>
      <x:c r="D4" s="8" t="str">
        <x:v>A coastal-well RO system has a process-fixed water recovery of 50%. The feed contains elevated Ca²⁺, SO₄²⁻ and alkalinity. The project must choose among acidification only, sodium-cycle cation softening, partial softening plus HCl polishing, and antiscalant-only treatment. Use equilibrate_feed at fixed temperature, pressure, feed pH and water recovery to evaluate Calcite, Gypsum and Anhydrite. The design criteria are Calcite SI≤-0.10, Gypsum SI≤-0.10, Anhydrite SI&lt;0 and equilibrium pH≥6.80. Because regenerant-brine disposal is constrained, allowable Ca removal is capped at 70%. Identify why each route passes or fails, determine the minimum HCl dose for the hybrid route, and make an actionable recommendation.</x:v>
      </x:c>
      <x:c r="E4" s="8" t="str">
        <x:v>A coastal-well RO system has a process-fixed water recovery of 50%. The feed contains elevated Ca²⁺, SO₄²⁻ and alkalinity. The project must choose among acidification only, sodium-cycle cation softening, partial softening plus HCl polishing, and antiscalant-only treatment. Use equilibrate_feed at fixed temperature, pressure, feed pH and water recovery to evaluate Calcite, Gypsum and Anhydrite. The design criteria are Calcite SI≤-0.10, Gypsum SI≤-0.10, Anhydrite SI&lt;0 and equilibrium pH≥6.80. Because regenerant-brine disposal is constrained, allowable Ca removal is capped at 70%. Identify why each route passes or fails, determine the minimum HCl dose for the hybrid route, and make an actionable recommendation.</x:v>
      </x:c>
      <x:c r="F4" s="8" t="str">
        <x:v>A coastal-well RO system has a process-fixed water recovery of 50%. The feed contains elevated Ca²⁺, SO₄²⁻ and alkalinity. The project must choose among acidification only, sodium-cycle cation softening, partial softening plus HCl polishing, and antiscalant-only treatment. Use equilibrate_feed at fixed temperature, pressure, feed pH and water recovery to evaluate Calcite, Gypsum and Anhydrite. The design criteria are Calcite SI≤-0.10, Gypsum SI≤-0.10, Anhydrite SI&lt;0 and equilibrium pH≥6.80. Because regenerant-brine disposal is constrained, allowable Ca removal is capped at 70%. Identify why each route passes or fails, determine the minimum HCl dose for the hybrid route, and make an actionable recommendation.</x:v>
      </x:c>
      <x:c r="G4" s="8" t="str">
        <x:v>A coastal-well RO system has a process-fixed water recovery of 50%. The feed contains elevated Ca²⁺, SO₄²⁻ and alkalinity. The project must choose among acidification only, sodium-cycle cation softening, partial softening plus HCl polishing, and antiscalant-only treatment. Use equilibrate_feed at fixed temperature, pressure, feed pH and water recovery to evaluate Calcite, Gypsum and Anhydrite. The design criteria are Calcite SI≤-0.10, Gypsum SI≤-0.10, Anhydrite SI&lt;0 and equilibrium pH≥6.80. Because regenerant-brine disposal is constrained, allowable Ca removal is capped at 70%. Identify why each route passes or fails, determine the minimum HCl dose for the hybrid route, and make an actionable recommendation.</x:v>
      </x:c>
      <x:c r="H4" s="8" t="str">
        <x:v>A coastal-well RO system has a process-fixed water recovery of 50%. The feed contains elevated Ca²⁺, SO₄²⁻ and alkalinity. The project must choose among acidification only, sodium-cycle cation softening, partial softening plus HCl polishing, and antiscalant-only treatment. Use equilibrate_feed at fixed temperature, pressure, feed pH and water recovery to evaluate Calcite, Gypsum and Anhydrite. The design criteria are Calcite SI≤-0.10, Gypsum SI≤-0.10, Anhydrite SI&lt;0 and equilibrium pH≥6.80. Because regenerant-brine disposal is constrained, allowable Ca removal is capped at 70%. Identify why each route passes or fails, determine the minimum HCl dose for the hybrid route, and make an actionable recommendation.</x:v>
      </x:c>
    </x:row>
    <x:row r="5" ht="34" customHeight="1">
      <x:c r="A5" s="8" t="str">
        <x:v>A coastal-well RO system has a process-fixed water recovery of 50%. The feed contains elevated Ca²⁺, SO₄²⁻ and alkalinity. The project must choose among acidification only, sodium-cycle cation softening, partial softening plus HCl polishing, and antiscalant-only treatment. Use equilibrate_feed at fixed temperature, pressure, feed pH and water recovery to evaluate Calcite, Gypsum and Anhydrite. The design criteria are Calcite SI≤-0.10, Gypsum SI≤-0.10, Anhydrite SI&lt;0 and equilibrium pH≥6.80. Because regenerant-brine disposal is constrained, allowable Ca removal is capped at 70%. Identify why each route passes or fails, determine the minimum HCl dose for the hybrid route, and make an actionable recommendation.</x:v>
      </x:c>
      <x:c r="B5" s="8" t="str">
        <x:v>A coastal-well RO system has a process-fixed water recovery of 50%. The feed contains elevated Ca²⁺, SO₄²⁻ and alkalinity. The project must choose among acidification only, sodium-cycle cation softening, partial softening plus HCl polishing, and antiscalant-only treatment. Use equilibrate_feed at fixed temperature, pressure, feed pH and water recovery to evaluate Calcite, Gypsum and Anhydrite. The design criteria are Calcite SI≤-0.10, Gypsum SI≤-0.10, Anhydrite SI&lt;0 and equilibrium pH≥6.80. Because regenerant-brine disposal is constrained, allowable Ca removal is capped at 70%. Identify why each route passes or fails, determine the minimum HCl dose for the hybrid route, and make an actionable recommendation.</x:v>
      </x:c>
      <x:c r="C5" s="8" t="str">
        <x:v>A coastal-well RO system has a process-fixed water recovery of 50%. The feed contains elevated Ca²⁺, SO₄²⁻ and alkalinity. The project must choose among acidification only, sodium-cycle cation softening, partial softening plus HCl polishing, and antiscalant-only treatment. Use equilibrate_feed at fixed temperature, pressure, feed pH and water recovery to evaluate Calcite, Gypsum and Anhydrite. The design criteria are Calcite SI≤-0.10, Gypsum SI≤-0.10, Anhydrite SI&lt;0 and equilibrium pH≥6.80. Because regenerant-brine disposal is constrained, allowable Ca removal is capped at 70%. Identify why each route passes or fails, determine the minimum HCl dose for the hybrid route, and make an actionable recommendation.</x:v>
      </x:c>
      <x:c r="D5" s="8" t="str">
        <x:v>A coastal-well RO system has a process-fixed water recovery of 50%. The feed contains elevated Ca²⁺, SO₄²⁻ and alkalinity. The project must choose among acidification only, sodium-cycle cation softening, partial softening plus HCl polishing, and antiscalant-only treatment. Use equilibrate_feed at fixed temperature, pressure, feed pH and water recovery to evaluate Calcite, Gypsum and Anhydrite. The design criteria are Calcite SI≤-0.10, Gypsum SI≤-0.10, Anhydrite SI&lt;0 and equilibrium pH≥6.80. Because regenerant-brine disposal is constrained, allowable Ca removal is capped at 70%. Identify why each route passes or fails, determine the minimum HCl dose for the hybrid route, and make an actionable recommendation.</x:v>
      </x:c>
      <x:c r="E5" s="8" t="str">
        <x:v>A coastal-well RO system has a process-fixed water recovery of 50%. The feed contains elevated Ca²⁺, SO₄²⁻ and alkalinity. The project must choose among acidification only, sodium-cycle cation softening, partial softening plus HCl polishing, and antiscalant-only treatment. Use equilibrate_feed at fixed temperature, pressure, feed pH and water recovery to evaluate Calcite, Gypsum and Anhydrite. The design criteria are Calcite SI≤-0.10, Gypsum SI≤-0.10, Anhydrite SI&lt;0 and equilibrium pH≥6.80. Because regenerant-brine disposal is constrained, allowable Ca removal is capped at 70%. Identify why each route passes or fails, determine the minimum HCl dose for the hybrid route, and make an actionable recommendation.</x:v>
      </x:c>
      <x:c r="F5" s="8" t="str">
        <x:v>A coastal-well RO system has a process-fixed water recovery of 50%. The feed contains elevated Ca²⁺, SO₄²⁻ and alkalinity. The project must choose among acidification only, sodium-cycle cation softening, partial softening plus HCl polishing, and antiscalant-only treatment. Use equilibrate_feed at fixed temperature, pressure, feed pH and water recovery to evaluate Calcite, Gypsum and Anhydrite. The design criteria are Calcite SI≤-0.10, Gypsum SI≤-0.10, Anhydrite SI&lt;0 and equilibrium pH≥6.80. Because regenerant-brine disposal is constrained, allowable Ca removal is capped at 70%. Identify why each route passes or fails, determine the minimum HCl dose for the hybrid route, and make an actionable recommendation.</x:v>
      </x:c>
      <x:c r="G5" s="8" t="str">
        <x:v>A coastal-well RO system has a process-fixed water recovery of 50%. The feed contains elevated Ca²⁺, SO₄²⁻ and alkalinity. The project must choose among acidification only, sodium-cycle cation softening, partial softening plus HCl polishing, and antiscalant-only treatment. Use equilibrate_feed at fixed temperature, pressure, feed pH and water recovery to evaluate Calcite, Gypsum and Anhydrite. The design criteria are Calcite SI≤-0.10, Gypsum SI≤-0.10, Anhydrite SI&lt;0 and equilibrium pH≥6.80. Because regenerant-brine disposal is constrained, allowable Ca removal is capped at 70%. Identify why each route passes or fails, determine the minimum HCl dose for the hybrid route, and make an actionable recommendation.</x:v>
      </x:c>
      <x:c r="H5" s="8" t="str">
        <x:v>A coastal-well RO system has a process-fixed water recovery of 50%. The feed contains elevated Ca²⁺, SO₄²⁻ and alkalinity. The project must choose among acidification only, sodium-cycle cation softening, partial softening plus HCl polishing, and antiscalant-only treatment. Use equilibrate_feed at fixed temperature, pressure, feed pH and water recovery to evaluate Calcite, Gypsum and Anhydrite. The design criteria are Calcite SI≤-0.10, Gypsum SI≤-0.10, Anhydrite SI&lt;0 and equilibrium pH≥6.80. Because regenerant-brine disposal is constrained, allowable Ca removal is capped at 70%. Identify why each route passes or fails, determine the minimum HCl dose for the hybrid route, and make an actionable recommendation.</x:v>
      </x:c>
    </x:row>
    <x:row r="6" ht="34" customHeight="1">
      <x:c r="A6" s="8" t="str">
        <x:v>A coastal-well RO system has a process-fixed water recovery of 50%. The feed contains elevated Ca²⁺, SO₄²⁻ and alkalinity. The project must choose among acidification only, sodium-cycle cation softening, partial softening plus HCl polishing, and antiscalant-only treatment. Use equilibrate_feed at fixed temperature, pressure, feed pH and water recovery to evaluate Calcite, Gypsum and Anhydrite. The design criteria are Calcite SI≤-0.10, Gypsum SI≤-0.10, Anhydrite SI&lt;0 and equilibrium pH≥6.80. Because regenerant-brine disposal is constrained, allowable Ca removal is capped at 70%. Identify why each route passes or fails, determine the minimum HCl dose for the hybrid route, and make an actionable recommendation.</x:v>
      </x:c>
      <x:c r="B6" s="8" t="str">
        <x:v>A coastal-well RO system has a process-fixed water recovery of 50%. The feed contains elevated Ca²⁺, SO₄²⁻ and alkalinity. The project must choose among acidification only, sodium-cycle cation softening, partial softening plus HCl polishing, and antiscalant-only treatment. Use equilibrate_feed at fixed temperature, pressure, feed pH and water recovery to evaluate Calcite, Gypsum and Anhydrite. The design criteria are Calcite SI≤-0.10, Gypsum SI≤-0.10, Anhydrite SI&lt;0 and equilibrium pH≥6.80. Because regenerant-brine disposal is constrained, allowable Ca removal is capped at 70%. Identify why each route passes or fails, determine the minimum HCl dose for the hybrid route, and make an actionable recommendation.</x:v>
      </x:c>
      <x:c r="C6" s="8" t="str">
        <x:v>A coastal-well RO system has a process-fixed water recovery of 50%. The feed contains elevated Ca²⁺, SO₄²⁻ and alkalinity. The project must choose among acidification only, sodium-cycle cation softening, partial softening plus HCl polishing, and antiscalant-only treatment. Use equilibrate_feed at fixed temperature, pressure, feed pH and water recovery to evaluate Calcite, Gypsum and Anhydrite. The design criteria are Calcite SI≤-0.10, Gypsum SI≤-0.10, Anhydrite SI&lt;0 and equilibrium pH≥6.80. Because regenerant-brine disposal is constrained, allowable Ca removal is capped at 70%. Identify why each route passes or fails, determine the minimum HCl dose for the hybrid route, and make an actionable recommendation.</x:v>
      </x:c>
      <x:c r="D6" s="8" t="str">
        <x:v>A coastal-well RO system has a process-fixed water recovery of 50%. The feed contains elevated Ca²⁺, SO₄²⁻ and alkalinity. The project must choose among acidification only, sodium-cycle cation softening, partial softening plus HCl polishing, and antiscalant-only treatment. Use equilibrate_feed at fixed temperature, pressure, feed pH and water recovery to evaluate Calcite, Gypsum and Anhydrite. The design criteria are Calcite SI≤-0.10, Gypsum SI≤-0.10, Anhydrite SI&lt;0 and equilibrium pH≥6.80. Because regenerant-brine disposal is constrained, allowable Ca removal is capped at 70%. Identify why each route passes or fails, determine the minimum HCl dose for the hybrid route, and make an actionable recommendation.</x:v>
      </x:c>
      <x:c r="E6" s="8" t="str">
        <x:v>A coastal-well RO system has a process-fixed water recovery of 50%. The feed contains elevated Ca²⁺, SO₄²⁻ and alkalinity. The project must choose among acidification only, sodium-cycle cation softening, partial softening plus HCl polishing, and antiscalant-only treatment. Use equilibrate_feed at fixed temperature, pressure, feed pH and water recovery to evaluate Calcite, Gypsum and Anhydrite. The design criteria are Calcite SI≤-0.10, Gypsum SI≤-0.10, Anhydrite SI&lt;0 and equilibrium pH≥6.80. Because regenerant-brine disposal is constrained, allowable Ca removal is capped at 70%. Identify why each route passes or fails, determine the minimum HCl dose for the hybrid route, and make an actionable recommendation.</x:v>
      </x:c>
      <x:c r="F6" s="8" t="str">
        <x:v>A coastal-well RO system has a process-fixed water recovery of 50%. The feed contains elevated Ca²⁺, SO₄²⁻ and alkalinity. The project must choose among acidification only, sodium-cycle cation softening, partial softening plus HCl polishing, and antiscalant-only treatment. Use equilibrate_feed at fixed temperature, pressure, feed pH and water recovery to evaluate Calcite, Gypsum and Anhydrite. The design criteria are Calcite SI≤-0.10, Gypsum SI≤-0.10, Anhydrite SI&lt;0 and equilibrium pH≥6.80. Because regenerant-brine disposal is constrained, allowable Ca removal is capped at 70%. Identify why each route passes or fails, determine the minimum HCl dose for the hybrid route, and make an actionable recommendation.</x:v>
      </x:c>
      <x:c r="G6" s="8" t="str">
        <x:v>A coastal-well RO system has a process-fixed water recovery of 50%. The feed contains elevated Ca²⁺, SO₄²⁻ and alkalinity. The project must choose among acidification only, sodium-cycle cation softening, partial softening plus HCl polishing, and antiscalant-only treatment. Use equilibrate_feed at fixed temperature, pressure, feed pH and water recovery to evaluate Calcite, Gypsum and Anhydrite. The design criteria are Calcite SI≤-0.10, Gypsum SI≤-0.10, Anhydrite SI&lt;0 and equilibrium pH≥6.80. Because regenerant-brine disposal is constrained, allowable Ca removal is capped at 70%. Identify why each route passes or fails, determine the minimum HCl dose for the hybrid route, and make an actionable recommendation.</x:v>
      </x:c>
      <x:c r="H6" s="8" t="str">
        <x:v>A coastal-well RO system has a process-fixed water recovery of 50%. The feed contains elevated Ca²⁺, SO₄²⁻ and alkalinity. The project must choose among acidification only, sodium-cycle cation softening, partial softening plus HCl polishing, and antiscalant-only treatment. Use equilibrate_feed at fixed temperature, pressure, feed pH and water recovery to evaluate Calcite, Gypsum and Anhydrite. The design criteria are Calcite SI≤-0.10, Gypsum SI≤-0.10, Anhydrite SI&lt;0 and equilibrium pH≥6.80. Because regenerant-brine disposal is constrained, allowable Ca removal is capped at 70%. Identify why each route passes or fails, determine the minimum HCl dose for the hybrid route, and make an actionable recommendation.</x:v>
      </x:c>
    </x:row>
    <x:row r="8">
      <x:c r="A8" s="11" t="str">
        <x:v>Fixed conditions and engineering constraints</x:v>
      </x:c>
      <x:c r="B8" s="11" t="str">
        <x:v>Fixed conditions and engineering constraints</x:v>
      </x:c>
      <x:c r="C8" s="11" t="str">
        <x:v>Fixed conditions and engineering constraints</x:v>
      </x:c>
      <x:c r="D8" s="11" t="str">
        <x:v>Fixed conditions and engineering constraints</x:v>
      </x:c>
      <x:c r="F8" s="11" t="str">
        <x:v>Candidate routes and decision gates</x:v>
      </x:c>
      <x:c r="G8" s="11" t="str">
        <x:v>Candidate routes and decision gates</x:v>
      </x:c>
      <x:c r="H8" s="11" t="str">
        <x:v>Candidate routes and decision gates</x:v>
      </x:c>
    </x:row>
    <x:row r="9">
      <x:c r="A9" s="17" t="str">
        <x:v>Parameter</x:v>
      </x:c>
      <x:c r="B9" s="17" t="str">
        <x:v>Value</x:v>
      </x:c>
      <x:c r="C9" s="17" t="str">
        <x:v>Unit</x:v>
      </x:c>
      <x:c r="D9" s="17" t="str">
        <x:v>Note</x:v>
      </x:c>
      <x:c r="F9" s="17" t="str">
        <x:v>Route</x:v>
      </x:c>
      <x:c r="G9" s="17" t="str">
        <x:v>Specified configuration</x:v>
      </x:c>
      <x:c r="H9" s="17" t="str">
        <x:v>Decision question</x:v>
      </x:c>
    </x:row>
    <x:row r="10" ht="43" customHeight="1">
      <x:c r="A10" s="21" t="str">
        <x:v>Temperature</x:v>
      </x:c>
      <x:c r="B10" s="22" t="n">
        <x:v>28</x:v>
      </x:c>
      <x:c r="C10" s="21" t="str">
        <x:v>°C</x:v>
      </x:c>
      <x:c r="D10" s="21" t="str">
        <x:v>Fixed</x:v>
      </x:c>
      <x:c r="F10" s="21" t="str">
        <x:v>Acid only</x:v>
      </x:c>
      <x:c r="G10" s="21" t="str">
        <x:v>HCl≤0.0035 mol/s; pH≥6.80</x:v>
      </x:c>
      <x:c r="H10" s="21" t="str">
        <x:v>Can it control carbonate and sulfate scales?</x:v>
      </x:c>
    </x:row>
    <x:row r="11" ht="43" customHeight="1">
      <x:c r="A11" s="21" t="str">
        <x:v>Pressure</x:v>
      </x:c>
      <x:c r="B11" s="22" t="n">
        <x:v>1.013</x:v>
      </x:c>
      <x:c r="C11" s="21" t="str">
        <x:v>bar</x:v>
      </x:c>
      <x:c r="D11" s="21" t="str">
        <x:v>Chemical-equilibrium pressure</x:v>
      </x:c>
      <x:c r="F11" s="21" t="str">
        <x:v>Softening only</x:v>
      </x:c>
      <x:c r="G11" s="21" t="str">
        <x:v>Ca removal≤70%; add 2 Na⁺ per Ca²⁺ removed</x:v>
      </x:c>
      <x:c r="H11" s="21" t="str">
        <x:v>Can it meet SI margins without acid?</x:v>
      </x:c>
    </x:row>
    <x:row r="12" ht="43" customHeight="1">
      <x:c r="A12" s="21" t="str">
        <x:v>Feed pH</x:v>
      </x:c>
      <x:c r="B12" s="22" t="n">
        <x:v>7.6</x:v>
      </x:c>
      <x:c r="C12" s="21" t="str">
        <x:v>-</x:v>
      </x:c>
      <x:c r="D12" s="21" t="str">
        <x:v>Fixed</x:v>
      </x:c>
      <x:c r="F12" s="21" t="str">
        <x:v>Hybrid</x:v>
      </x:c>
      <x:c r="G12" s="21" t="str">
        <x:v>Residual Ca 0.030 mol/s plus HCl polishing</x:v>
      </x:c>
      <x:c r="H12" s="21" t="str">
        <x:v>Find minimum passing HCl dose</x:v>
      </x:c>
    </x:row>
    <x:row r="13" ht="43" customHeight="1">
      <x:c r="A13" s="21" t="str">
        <x:v>Water recovery</x:v>
      </x:c>
      <x:c r="B13" s="23" t="n">
        <x:v>0.5</x:v>
      </x:c>
      <x:c r="C13" s="21" t="str">
        <x:v>-</x:v>
      </x:c>
      <x:c r="D13" s="21" t="str">
        <x:v>Given by upstream RO design</x:v>
      </x:c>
      <x:c r="F13" s="21" t="str">
        <x:v>Antiscalant only</x:v>
      </x:c>
      <x:c r="G13" s="21" t="str">
        <x:v>No equilibrium-composition change</x:v>
      </x:c>
      <x:c r="H13" s="21" t="str">
        <x:v>Can the model prove inhibitor efficacy?</x:v>
      </x:c>
    </x:row>
    <x:row r="14">
      <x:c r="A14" s="21" t="str">
        <x:v>Minerals</x:v>
      </x:c>
      <x:c r="B14" s="22" t="str">
        <x:v>Calcite, Gypsum, Anhydrite</x:v>
      </x:c>
      <x:c r="C14" s="21" t="str">
        <x:v>-</x:v>
      </x:c>
      <x:c r="D14" s="21" t="str">
        <x:v>Evaluate together</x:v>
      </x:c>
    </x:row>
    <x:row r="15">
      <x:c r="A15" s="21" t="str">
        <x:v>SI criteria</x:v>
      </x:c>
      <x:c r="B15" s="22" t="str">
        <x:v>Calcite/Gypsum≤-0.10; Anhydrite&lt;0</x:v>
      </x:c>
      <x:c r="C15" s="21" t="str">
        <x:v>-</x:v>
      </x:c>
      <x:c r="D15" s="21" t="str">
        <x:v>Benchmark engineering criteria</x:v>
      </x:c>
      <x:c r="F15" s="11" t="str">
        <x:v>Required deliverables</x:v>
      </x:c>
      <x:c r="G15" s="11" t="str">
        <x:v>Required deliverables</x:v>
      </x:c>
      <x:c r="H15" s="11" t="str">
        <x:v>Required deliverables</x:v>
      </x:c>
    </x:row>
    <x:row r="16" ht="46" customHeight="1">
      <x:c r="A16" s="21" t="str">
        <x:v>Maximum Ca removal</x:v>
      </x:c>
      <x:c r="B16" s="23" t="n">
        <x:v>0.7</x:v>
      </x:c>
      <x:c r="C16" s="21" t="str">
        <x:v>-</x:v>
      </x:c>
      <x:c r="D16" s="21" t="str">
        <x:v>Regenerant-brine disposal limit</x:v>
      </x:c>
      <x:c r="F16" s="28" t="str">
        <x:v>1. Use the zero-dose baseline to identify controlling scales and distinguish pH-sensitive Calcite from sulfate scales.</x:v>
      </x:c>
      <x:c r="G16" s="28" t="str">
        <x:v>1. Use the zero-dose baseline to identify controlling scales and distinguish pH-sensitive Calcite from sulfate scales.</x:v>
      </x:c>
      <x:c r="H16" s="28" t="str">
        <x:v>1. Use the zero-dose baseline to identify controlling scales and distinguish pH-sensitive Calcite from sulfate scales.</x:v>
      </x:c>
    </x:row>
    <x:row r="17" ht="46" customHeight="1">
      <x:c r="A17" s="21" t="str">
        <x:v>HCl search step</x:v>
      </x:c>
      <x:c r="B17" s="24" t="n">
        <x:v>0.0001</x:v>
      </x:c>
      <x:c r="C17" s="21" t="str">
        <x:v>mol/s</x:v>
      </x:c>
      <x:c r="D17" s="21" t="str">
        <x:v>Hybrid-route boundary</x:v>
      </x:c>
      <x:c r="F17" s="28" t="str">
        <x:v>2. Test the acid-only limit; do not ignore Gypsum or the minimum pH once Calcite becomes safe.</x:v>
      </x:c>
      <x:c r="G17" s="28" t="str">
        <x:v>2. Test the acid-only limit; do not ignore Gypsum or the minimum pH once Calcite becomes safe.</x:v>
      </x:c>
      <x:c r="H17" s="28" t="str">
        <x:v>2. Test the acid-only limit; do not ignore Gypsum or the minimum pH once Calcite becomes safe.</x:v>
      </x:c>
    </x:row>
    <x:row r="18" ht="46" customHeight="1">
      <x:c r="F18" s="28" t="str">
        <x:v>3. Test softening-only at the 70% operating cap and use 80%/90% counterfactuals to judge whether the branch is worth continuing.</x:v>
      </x:c>
      <x:c r="G18" s="28" t="str">
        <x:v>3. Test softening-only at the 70% operating cap and use 80%/90% counterfactuals to judge whether the branch is worth continuing.</x:v>
      </x:c>
      <x:c r="H18" s="28" t="str">
        <x:v>3. Test softening-only at the 70% operating cap and use 80%/90% counterfactuals to judge whether the branch is worth continuing.</x:v>
      </x:c>
    </x:row>
    <x:row r="19" ht="46" customHeight="1">
      <x:c r="A19" s="11" t="str">
        <x:v>Feed composition (equilibrate_feed input)</x:v>
      </x:c>
      <x:c r="B19" s="11" t="str">
        <x:v>Feed composition (equilibrate_feed input)</x:v>
      </x:c>
      <x:c r="C19" s="11" t="str">
        <x:v>Feed composition (equilibrate_feed input)</x:v>
      </x:c>
      <x:c r="D19" s="11" t="str">
        <x:v>Feed composition (equilibrate_feed input)</x:v>
      </x:c>
      <x:c r="F19" s="28" t="str">
        <x:v>4. For the hybrid route, lock the minimum HCl boundary on a 1×10^-4 mol/s grid and convert to pure-HCl g/h and 30 wt% HCl L/h.</x:v>
      </x:c>
      <x:c r="G19" s="28" t="str">
        <x:v>4. For the hybrid route, lock the minimum HCl boundary on a 1×10^-4 mol/s grid and convert to pure-HCl g/h and 30 wt% HCl L/h.</x:v>
      </x:c>
      <x:c r="H19" s="28" t="str">
        <x:v>4. For the hybrid route, lock the minimum HCl boundary on a 1×10^-4 mol/s grid and convert to pure-HCl g/h and 30 wt% HCl L/h.</x:v>
      </x:c>
    </x:row>
    <x:row r="20" ht="46" customHeight="1">
      <x:c r="A20" s="17" t="str">
        <x:v>Species</x:v>
      </x:c>
      <x:c r="B20" s="17" t="str">
        <x:v>Flow mol/s</x:v>
      </x:c>
      <x:c r="C20" s="17" t="str">
        <x:v>Note</x:v>
      </x:c>
      <x:c r="D20" s="17" t="str">
        <x:v>Status</x:v>
      </x:c>
      <x:c r="F20" s="28" t="str">
        <x:v>5. Separate thermodynamic SI from antiscalant kinetics and give an engineering recommendation with model boundaries.</x:v>
      </x:c>
      <x:c r="G20" s="28" t="str">
        <x:v>5. Separate thermodynamic SI from antiscalant kinetics and give an engineering recommendation with model boundaries.</x:v>
      </x:c>
      <x:c r="H20" s="28" t="str">
        <x:v>5. Separate thermodynamic SI from antiscalant kinetics and give an engineering recommendation with model boundaries.</x:v>
      </x:c>
    </x:row>
    <x:row r="21">
      <x:c r="A21" s="21" t="str">
        <x:v>H2O</x:v>
      </x:c>
      <x:c r="B21" s="25" t="n">
        <x:v>214.58866919145154</x:v>
      </x:c>
      <x:c r="C21" s="21" t="str">
        <x:v>Required</x:v>
      </x:c>
      <x:c r="D21" s="21" t="str">
        <x:v>Fixed</x:v>
      </x:c>
    </x:row>
    <x:row r="22">
      <x:c r="A22" s="21" t="str">
        <x:v>Na</x:v>
      </x:c>
      <x:c r="B22" s="25" t="n">
        <x:v>1.2</x:v>
      </x:c>
      <x:c r="C22" s="21" t="str">
        <x:v>Feed analysis</x:v>
      </x:c>
      <x:c r="D22" s="21" t="str">
        <x:v>Fixed</x:v>
      </x:c>
      <x:c r="F22" s="32" t="str">
        <x:v>Scope: water recovery=0.50 is supplied by upstream RO design; this task evaluates Reaktoro-PSE chemistry only. Softening is represented by reducing Ca and adding charge-equivalent Na. This simplified treated-water composition does not model resin capacity, regenerant, sludge or whole-plant economics. Antiscalants act on nucleation and crystal-growth kinetics, which equilibrate_feed does not model; without a vendor guarantee and dynamic testing, antiscalant-only treatment cannot replace the thermodynamic criteria used here.</x:v>
      </x:c>
      <x:c r="G22" s="32" t="str">
        <x:v>Scope: water recovery=0.50 is supplied by upstream RO design; this task evaluates Reaktoro-PSE chemistry only. Softening is represented by reducing Ca and adding charge-equivalent Na. This simplified treated-water composition does not model resin capacity, regenerant, sludge or whole-plant economics. Antiscalants act on nucleation and crystal-growth kinetics, which equilibrate_feed does not model; without a vendor guarantee and dynamic testing, antiscalant-only treatment cannot replace the thermodynamic criteria used here.</x:v>
      </x:c>
      <x:c r="H22" s="32" t="str">
        <x:v>Scope: water recovery=0.50 is supplied by upstream RO design; this task evaluates Reaktoro-PSE chemistry only. Softening is represented by reducing Ca and adding charge-equivalent Na. This simplified treated-water composition does not model resin capacity, regenerant, sludge or whole-plant economics. Antiscalants act on nucleation and crystal-growth kinetics, which equilibrate_feed does not model; without a vendor guarantee and dynamic testing, antiscalant-only treatment cannot replace the thermodynamic criteria used here.</x:v>
      </x:c>
    </x:row>
    <x:row r="23">
      <x:c r="A23" s="21" t="str">
        <x:v>Cl</x:v>
      </x:c>
      <x:c r="B23" s="25" t="n">
        <x:v>1.38</x:v>
      </x:c>
      <x:c r="C23" s="21" t="str">
        <x:v>Feed analysis</x:v>
      </x:c>
      <x:c r="D23" s="21" t="str">
        <x:v>Fixed</x:v>
      </x:c>
      <x:c r="F23" s="32" t="str">
        <x:v>Scope: water recovery=0.50 is supplied by upstream RO design; this task evaluates Reaktoro-PSE chemistry only. Softening is represented by reducing Ca and adding charge-equivalent Na. This simplified treated-water composition does not model resin capacity, regenerant, sludge or whole-plant economics. Antiscalants act on nucleation and crystal-growth kinetics, which equilibrate_feed does not model; without a vendor guarantee and dynamic testing, antiscalant-only treatment cannot replace the thermodynamic criteria used here.</x:v>
      </x:c>
      <x:c r="G23" s="32" t="str">
        <x:v>Scope: water recovery=0.50 is supplied by upstream RO design; this task evaluates Reaktoro-PSE chemistry only. Softening is represented by reducing Ca and adding charge-equivalent Na. This simplified treated-water composition does not model resin capacity, regenerant, sludge or whole-plant economics. Antiscalants act on nucleation and crystal-growth kinetics, which equilibrate_feed does not model; without a vendor guarantee and dynamic testing, antiscalant-only treatment cannot replace the thermodynamic criteria used here.</x:v>
      </x:c>
      <x:c r="H23" s="32" t="str">
        <x:v>Scope: water recovery=0.50 is supplied by upstream RO design; this task evaluates Reaktoro-PSE chemistry only. Softening is represented by reducing Ca and adding charge-equivalent Na. This simplified treated-water composition does not model resin capacity, regenerant, sludge or whole-plant economics. Antiscalants act on nucleation and crystal-growth kinetics, which equilibrate_feed does not model; without a vendor guarantee and dynamic testing, antiscalant-only treatment cannot replace the thermodynamic criteria used here.</x:v>
      </x:c>
    </x:row>
    <x:row r="24">
      <x:c r="A24" s="21" t="str">
        <x:v>Mg</x:v>
      </x:c>
      <x:c r="B24" s="25" t="n">
        <x:v>0.12</x:v>
      </x:c>
      <x:c r="C24" s="21" t="str">
        <x:v>Feed analysis</x:v>
      </x:c>
      <x:c r="D24" s="21" t="str">
        <x:v>Fixed</x:v>
      </x:c>
      <x:c r="F24" s="32" t="str">
        <x:v>Scope: water recovery=0.50 is supplied by upstream RO design; this task evaluates Reaktoro-PSE chemistry only. Softening is represented by reducing Ca and adding charge-equivalent Na. This simplified treated-water composition does not model resin capacity, regenerant, sludge or whole-plant economics. Antiscalants act on nucleation and crystal-growth kinetics, which equilibrate_feed does not model; without a vendor guarantee and dynamic testing, antiscalant-only treatment cannot replace the thermodynamic criteria used here.</x:v>
      </x:c>
      <x:c r="G24" s="32" t="str">
        <x:v>Scope: water recovery=0.50 is supplied by upstream RO design; this task evaluates Reaktoro-PSE chemistry only. Softening is represented by reducing Ca and adding charge-equivalent Na. This simplified treated-water composition does not model resin capacity, regenerant, sludge or whole-plant economics. Antiscalants act on nucleation and crystal-growth kinetics, which equilibrate_feed does not model; without a vendor guarantee and dynamic testing, antiscalant-only treatment cannot replace the thermodynamic criteria used here.</x:v>
      </x:c>
      <x:c r="H24" s="32" t="str">
        <x:v>Scope: water recovery=0.50 is supplied by upstream RO design; this task evaluates Reaktoro-PSE chemistry only. Softening is represented by reducing Ca and adding charge-equivalent Na. This simplified treated-water composition does not model resin capacity, regenerant, sludge or whole-plant economics. Antiscalants act on nucleation and crystal-growth kinetics, which equilibrate_feed does not model; without a vendor guarantee and dynamic testing, antiscalant-only treatment cannot replace the thermodynamic criteria used here.</x:v>
      </x:c>
    </x:row>
    <x:row r="25">
      <x:c r="A25" s="21" t="str">
        <x:v>SO4</x:v>
      </x:c>
      <x:c r="B25" s="25" t="n">
        <x:v>0.16</x:v>
      </x:c>
      <x:c r="C25" s="21" t="str">
        <x:v>Feed analysis</x:v>
      </x:c>
      <x:c r="D25" s="21" t="str">
        <x:v>Fixed</x:v>
      </x:c>
      <x:c r="F25" s="32" t="str">
        <x:v>Scope: water recovery=0.50 is supplied by upstream RO design; this task evaluates Reaktoro-PSE chemistry only. Softening is represented by reducing Ca and adding charge-equivalent Na. This simplified treated-water composition does not model resin capacity, regenerant, sludge or whole-plant economics. Antiscalants act on nucleation and crystal-growth kinetics, which equilibrate_feed does not model; without a vendor guarantee and dynamic testing, antiscalant-only treatment cannot replace the thermodynamic criteria used here.</x:v>
      </x:c>
      <x:c r="G25" s="32" t="str">
        <x:v>Scope: water recovery=0.50 is supplied by upstream RO design; this task evaluates Reaktoro-PSE chemistry only. Softening is represented by reducing Ca and adding charge-equivalent Na. This simplified treated-water composition does not model resin capacity, regenerant, sludge or whole-plant economics. Antiscalants act on nucleation and crystal-growth kinetics, which equilibrate_feed does not model; without a vendor guarantee and dynamic testing, antiscalant-only treatment cannot replace the thermodynamic criteria used here.</x:v>
      </x:c>
      <x:c r="H25" s="32" t="str">
        <x:v>Scope: water recovery=0.50 is supplied by upstream RO design; this task evaluates Reaktoro-PSE chemistry only. Softening is represented by reducing Ca and adding charge-equivalent Na. This simplified treated-water composition does not model resin capacity, regenerant, sludge or whole-plant economics. Antiscalants act on nucleation and crystal-growth kinetics, which equilibrate_feed does not model; without a vendor guarantee and dynamic testing, antiscalant-only treatment cannot replace the thermodynamic criteria used here.</x:v>
      </x:c>
    </x:row>
    <x:row r="26">
      <x:c r="A26" s="21" t="str">
        <x:v>Ca</x:v>
      </x:c>
      <x:c r="B26" s="25" t="n">
        <x:v>0.08</x:v>
      </x:c>
      <x:c r="C26" s="21" t="str">
        <x:v>Feed analysis</x:v>
      </x:c>
      <x:c r="D26" s="21" t="str">
        <x:v>Fixed</x:v>
      </x:c>
      <x:c r="F26" s="32" t="str">
        <x:v>Scope: water recovery=0.50 is supplied by upstream RO design; this task evaluates Reaktoro-PSE chemistry only. Softening is represented by reducing Ca and adding charge-equivalent Na. This simplified treated-water composition does not model resin capacity, regenerant, sludge or whole-plant economics. Antiscalants act on nucleation and crystal-growth kinetics, which equilibrate_feed does not model; without a vendor guarantee and dynamic testing, antiscalant-only treatment cannot replace the thermodynamic criteria used here.</x:v>
      </x:c>
      <x:c r="G26" s="32" t="str">
        <x:v>Scope: water recovery=0.50 is supplied by upstream RO design; this task evaluates Reaktoro-PSE chemistry only. Softening is represented by reducing Ca and adding charge-equivalent Na. This simplified treated-water composition does not model resin capacity, regenerant, sludge or whole-plant economics. Antiscalants act on nucleation and crystal-growth kinetics, which equilibrate_feed does not model; without a vendor guarantee and dynamic testing, antiscalant-only treatment cannot replace the thermodynamic criteria used here.</x:v>
      </x:c>
      <x:c r="H26" s="32" t="str">
        <x:v>Scope: water recovery=0.50 is supplied by upstream RO design; this task evaluates Reaktoro-PSE chemistry only. Softening is represented by reducing Ca and adding charge-equivalent Na. This simplified treated-water composition does not model resin capacity, regenerant, sludge or whole-plant economics. Antiscalants act on nucleation and crystal-growth kinetics, which equilibrate_feed does not model; without a vendor guarantee and dynamic testing, antiscalant-only treatment cannot replace the thermodynamic criteria used here.</x:v>
      </x:c>
    </x:row>
    <x:row r="27">
      <x:c r="A27" s="21" t="str">
        <x:v>HCO3</x:v>
      </x:c>
      <x:c r="B27" s="25" t="n">
        <x:v>0.012</x:v>
      </x:c>
      <x:c r="C27" s="21" t="str">
        <x:v>Feed analysis</x:v>
      </x:c>
      <x:c r="D27" s="21" t="str">
        <x:v>Fixed</x:v>
      </x:c>
      <x:c r="F27" s="32" t="str">
        <x:v>Scope: water recovery=0.50 is supplied by upstream RO design; this task evaluates Reaktoro-PSE chemistry only. Softening is represented by reducing Ca and adding charge-equivalent Na. This simplified treated-water composition does not model resin capacity, regenerant, sludge or whole-plant economics. Antiscalants act on nucleation and crystal-growth kinetics, which equilibrate_feed does not model; without a vendor guarantee and dynamic testing, antiscalant-only treatment cannot replace the thermodynamic criteria used here.</x:v>
      </x:c>
      <x:c r="G27" s="32" t="str">
        <x:v>Scope: water recovery=0.50 is supplied by upstream RO design; this task evaluates Reaktoro-PSE chemistry only. Softening is represented by reducing Ca and adding charge-equivalent Na. This simplified treated-water composition does not model resin capacity, regenerant, sludge or whole-plant economics. Antiscalants act on nucleation and crystal-growth kinetics, which equilibrate_feed does not model; without a vendor guarantee and dynamic testing, antiscalant-only treatment cannot replace the thermodynamic criteria used here.</x:v>
      </x:c>
      <x:c r="H27" s="32" t="str">
        <x:v>Scope: water recovery=0.50 is supplied by upstream RO design; this task evaluates Reaktoro-PSE chemistry only. Softening is represented by reducing Ca and adding charge-equivalent Na. This simplified treated-water composition does not model resin capacity, regenerant, sludge or whole-plant economics. Antiscalants act on nucleation and crystal-growth kinetics, which equilibrate_feed does not model; without a vendor guarantee and dynamic testing, antiscalant-only treatment cannot replace the thermodynamic criteria used here.</x:v>
      </x:c>
    </x:row>
  </x:sheetData>
  <x:mergeCells>
    <x:mergeCell ref="A1:H2"/>
    <x:mergeCell ref="A4:H6"/>
    <x:mergeCell ref="A8:D8"/>
    <x:mergeCell ref="A19:D19"/>
    <x:mergeCell ref="F8:H8"/>
    <x:mergeCell ref="F15:H15"/>
    <x:mergeCell ref="F16:H16"/>
    <x:mergeCell ref="F17:H17"/>
    <x:mergeCell ref="F18:H18"/>
    <x:mergeCell ref="F19:H19"/>
    <x:mergeCell ref="F20:H20"/>
    <x:mergeCell ref="F22:H2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24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4" hidden="0" customWidth="1"/>
    <x:col min="8" max="8" width="14" hidden="0" customWidth="1"/>
    <x:col min="9" max="9" width="14" hidden="0" customWidth="1"/>
    <x:col min="10" max="10" width="13" hidden="0" customWidth="1"/>
    <x:col min="11" max="11" width="14" hidden="0" customWidth="1"/>
    <x:col min="12" max="12" width="14" hidden="0" customWidth="1"/>
    <x:col min="13" max="13" width="15" hidden="0" customWidth="1"/>
    <x:col min="14" max="14" width="24" hidden="0" customWidth="1"/>
    <x:col min="15" max="15" width="3" hidden="0" customWidth="1"/>
    <x:col min="16" max="16" width="23" hidden="0" customWidth="1"/>
    <x:col min="17" max="17" width="15" hidden="0" customWidth="1"/>
    <x:col min="18" max="18" width="15" hidden="0" customWidth="1"/>
    <x:col min="19" max="19" width="15" hidden="0" customWidth="1"/>
  </x:cols>
  <x:sheetData>
    <x:row r="1" ht="26" customHeight="1">
      <x:c r="A1" s="4" t="str">
        <x:v>D5-5b: Stepwise Gold Answer — Route Screening and Hybrid-Dose Boundary</x:v>
      </x:c>
      <x:c r="B1" s="4" t="str">
        <x:v>D5-5b: Stepwise Gold Answer — Route Screening and Hybrid-Dose Boundary</x:v>
      </x:c>
      <x:c r="C1" s="4" t="str">
        <x:v>D5-5b: Stepwise Gold Answer — Route Screening and Hybrid-Dose Boundary</x:v>
      </x:c>
      <x:c r="D1" s="4" t="str">
        <x:v>D5-5b: Stepwise Gold Answer — Route Screening and Hybrid-Dose Boundary</x:v>
      </x:c>
      <x:c r="E1" s="4" t="str">
        <x:v>D5-5b: Stepwise Gold Answer — Route Screening and Hybrid-Dose Boundary</x:v>
      </x:c>
      <x:c r="F1" s="4" t="str">
        <x:v>D5-5b: Stepwise Gold Answer — Route Screening and Hybrid-Dose Boundary</x:v>
      </x:c>
      <x:c r="G1" s="4" t="str">
        <x:v>D5-5b: Stepwise Gold Answer — Route Screening and Hybrid-Dose Boundary</x:v>
      </x:c>
      <x:c r="H1" s="4" t="str">
        <x:v>D5-5b: Stepwise Gold Answer — Route Screening and Hybrid-Dose Boundary</x:v>
      </x:c>
      <x:c r="I1" s="4" t="str">
        <x:v>D5-5b: Stepwise Gold Answer — Route Screening and Hybrid-Dose Boundary</x:v>
      </x:c>
      <x:c r="J1" s="4" t="str">
        <x:v>D5-5b: Stepwise Gold Answer — Route Screening and Hybrid-Dose Boundary</x:v>
      </x:c>
      <x:c r="K1" s="4" t="str">
        <x:v>D5-5b: Stepwise Gold Answer — Route Screening and Hybrid-Dose Boundary</x:v>
      </x:c>
      <x:c r="L1" s="4" t="str">
        <x:v>D5-5b: Stepwise Gold Answer — Route Screening and Hybrid-Dose Boundary</x:v>
      </x:c>
      <x:c r="M1" s="4" t="str">
        <x:v>D5-5b: Stepwise Gold Answer — Route Screening and Hybrid-Dose Boundary</x:v>
      </x:c>
      <x:c r="N1" s="4" t="str">
        <x:v>D5-5b: Stepwise Gold Answer — Route Screening and Hybrid-Dose Boundary</x:v>
      </x:c>
      <x:c r="O1" s="4" t="str">
        <x:v>D5-5b: Stepwise Gold Answer — Route Screening and Hybrid-Dose Boundary</x:v>
      </x:c>
      <x:c r="P1" s="4" t="str">
        <x:v>D5-5b: Stepwise Gold Answer — Route Screening and Hybrid-Dose Boundary</x:v>
      </x:c>
      <x:c r="Q1" s="4" t="str">
        <x:v>D5-5b: Stepwise Gold Answer — Route Screening and Hybrid-Dose Boundary</x:v>
      </x:c>
      <x:c r="R1" s="4" t="str">
        <x:v>D5-5b: Stepwise Gold Answer — Route Screening and Hybrid-Dose Boundary</x:v>
      </x:c>
      <x:c r="S1" s="4" t="str">
        <x:v>D5-5b: Stepwise Gold Answer — Route Screening and Hybrid-Dose Boundary</x:v>
      </x:c>
    </x:row>
    <x:row r="2" ht="26" customHeight="1">
      <x:c r="A2" s="4" t="str">
        <x:v>D5-5b: Stepwise Gold Answer — Route Screening and Hybrid-Dose Boundary</x:v>
      </x:c>
      <x:c r="B2" s="4" t="str">
        <x:v>D5-5b: Stepwise Gold Answer — Route Screening and Hybrid-Dose Boundary</x:v>
      </x:c>
      <x:c r="C2" s="4" t="str">
        <x:v>D5-5b: Stepwise Gold Answer — Route Screening and Hybrid-Dose Boundary</x:v>
      </x:c>
      <x:c r="D2" s="4" t="str">
        <x:v>D5-5b: Stepwise Gold Answer — Route Screening and Hybrid-Dose Boundary</x:v>
      </x:c>
      <x:c r="E2" s="4" t="str">
        <x:v>D5-5b: Stepwise Gold Answer — Route Screening and Hybrid-Dose Boundary</x:v>
      </x:c>
      <x:c r="F2" s="4" t="str">
        <x:v>D5-5b: Stepwise Gold Answer — Route Screening and Hybrid-Dose Boundary</x:v>
      </x:c>
      <x:c r="G2" s="4" t="str">
        <x:v>D5-5b: Stepwise Gold Answer — Route Screening and Hybrid-Dose Boundary</x:v>
      </x:c>
      <x:c r="H2" s="4" t="str">
        <x:v>D5-5b: Stepwise Gold Answer — Route Screening and Hybrid-Dose Boundary</x:v>
      </x:c>
      <x:c r="I2" s="4" t="str">
        <x:v>D5-5b: Stepwise Gold Answer — Route Screening and Hybrid-Dose Boundary</x:v>
      </x:c>
      <x:c r="J2" s="4" t="str">
        <x:v>D5-5b: Stepwise Gold Answer — Route Screening and Hybrid-Dose Boundary</x:v>
      </x:c>
      <x:c r="K2" s="4" t="str">
        <x:v>D5-5b: Stepwise Gold Answer — Route Screening and Hybrid-Dose Boundary</x:v>
      </x:c>
      <x:c r="L2" s="4" t="str">
        <x:v>D5-5b: Stepwise Gold Answer — Route Screening and Hybrid-Dose Boundary</x:v>
      </x:c>
      <x:c r="M2" s="4" t="str">
        <x:v>D5-5b: Stepwise Gold Answer — Route Screening and Hybrid-Dose Boundary</x:v>
      </x:c>
      <x:c r="N2" s="4" t="str">
        <x:v>D5-5b: Stepwise Gold Answer — Route Screening and Hybrid-Dose Boundary</x:v>
      </x:c>
      <x:c r="O2" s="4" t="str">
        <x:v>D5-5b: Stepwise Gold Answer — Route Screening and Hybrid-Dose Boundary</x:v>
      </x:c>
      <x:c r="P2" s="4" t="str">
        <x:v>D5-5b: Stepwise Gold Answer — Route Screening and Hybrid-Dose Boundary</x:v>
      </x:c>
      <x:c r="Q2" s="4" t="str">
        <x:v>D5-5b: Stepwise Gold Answer — Route Screening and Hybrid-Dose Boundary</x:v>
      </x:c>
      <x:c r="R2" s="4" t="str">
        <x:v>D5-5b: Stepwise Gold Answer — Route Screening and Hybrid-Dose Boundary</x:v>
      </x:c>
      <x:c r="S2" s="4" t="str">
        <x:v>D5-5b: Stepwise Gold Answer — Route Screening and Hybrid-Dose Boundary</x:v>
      </x:c>
    </x:row>
    <x:row r="4">
      <x:c r="A4" s="36" t="str">
        <x:v>The reference efficient trajectory uses nine equilibrate_feed calls: untreated baseline → acid-only limit → softening at 70% plus 80%/90% counterfactuals → partial-softening baseline → 0.0010 → 0.0012 → 0.0013 mol/s to lock the hybrid boundary. Other adaptive orders are acceptable if every branch has a justified stopping point.</x:v>
      </x:c>
      <x:c r="B4" s="36" t="str">
        <x:v>The reference efficient trajectory uses nine equilibrate_feed calls: untreated baseline → acid-only limit → softening at 70% plus 80%/90% counterfactuals → partial-softening baseline → 0.0010 → 0.0012 → 0.0013 mol/s to lock the hybrid boundary. Other adaptive orders are acceptable if every branch has a justified stopping point.</x:v>
      </x:c>
      <x:c r="C4" s="36" t="str">
        <x:v>The reference efficient trajectory uses nine equilibrate_feed calls: untreated baseline → acid-only limit → softening at 70% plus 80%/90% counterfactuals → partial-softening baseline → 0.0010 → 0.0012 → 0.0013 mol/s to lock the hybrid boundary. Other adaptive orders are acceptable if every branch has a justified stopping point.</x:v>
      </x:c>
      <x:c r="D4" s="36" t="str">
        <x:v>The reference efficient trajectory uses nine equilibrate_feed calls: untreated baseline → acid-only limit → softening at 70% plus 80%/90% counterfactuals → partial-softening baseline → 0.0010 → 0.0012 → 0.0013 mol/s to lock the hybrid boundary. Other adaptive orders are acceptable if every branch has a justified stopping point.</x:v>
      </x:c>
      <x:c r="E4" s="36" t="str">
        <x:v>The reference efficient trajectory uses nine equilibrate_feed calls: untreated baseline → acid-only limit → softening at 70% plus 80%/90% counterfactuals → partial-softening baseline → 0.0010 → 0.0012 → 0.0013 mol/s to lock the hybrid boundary. Other adaptive orders are acceptable if every branch has a justified stopping point.</x:v>
      </x:c>
      <x:c r="F4" s="36" t="str">
        <x:v>The reference efficient trajectory uses nine equilibrate_feed calls: untreated baseline → acid-only limit → softening at 70% plus 80%/90% counterfactuals → partial-softening baseline → 0.0010 → 0.0012 → 0.0013 mol/s to lock the hybrid boundary. Other adaptive orders are acceptable if every branch has a justified stopping point.</x:v>
      </x:c>
      <x:c r="G4" s="36" t="str">
        <x:v>The reference efficient trajectory uses nine equilibrate_feed calls: untreated baseline → acid-only limit → softening at 70% plus 80%/90% counterfactuals → partial-softening baseline → 0.0010 → 0.0012 → 0.0013 mol/s to lock the hybrid boundary. Other adaptive orders are acceptable if every branch has a justified stopping point.</x:v>
      </x:c>
      <x:c r="H4" s="36" t="str">
        <x:v>The reference efficient trajectory uses nine equilibrate_feed calls: untreated baseline → acid-only limit → softening at 70% plus 80%/90% counterfactuals → partial-softening baseline → 0.0010 → 0.0012 → 0.0013 mol/s to lock the hybrid boundary. Other adaptive orders are acceptable if every branch has a justified stopping point.</x:v>
      </x:c>
      <x:c r="I4" s="36" t="str">
        <x:v>The reference efficient trajectory uses nine equilibrate_feed calls: untreated baseline → acid-only limit → softening at 70% plus 80%/90% counterfactuals → partial-softening baseline → 0.0010 → 0.0012 → 0.0013 mol/s to lock the hybrid boundary. Other adaptive orders are acceptable if every branch has a justified stopping point.</x:v>
      </x:c>
      <x:c r="J4" s="36" t="str">
        <x:v>The reference efficient trajectory uses nine equilibrate_feed calls: untreated baseline → acid-only limit → softening at 70% plus 80%/90% counterfactuals → partial-softening baseline → 0.0010 → 0.0012 → 0.0013 mol/s to lock the hybrid boundary. Other adaptive orders are acceptable if every branch has a justified stopping point.</x:v>
      </x:c>
      <x:c r="K4" s="36" t="str">
        <x:v>The reference efficient trajectory uses nine equilibrate_feed calls: untreated baseline → acid-only limit → softening at 70% plus 80%/90% counterfactuals → partial-softening baseline → 0.0010 → 0.0012 → 0.0013 mol/s to lock the hybrid boundary. Other adaptive orders are acceptable if every branch has a justified stopping point.</x:v>
      </x:c>
      <x:c r="L4" s="36" t="str">
        <x:v>The reference efficient trajectory uses nine equilibrate_feed calls: untreated baseline → acid-only limit → softening at 70% plus 80%/90% counterfactuals → partial-softening baseline → 0.0010 → 0.0012 → 0.0013 mol/s to lock the hybrid boundary. Other adaptive orders are acceptable if every branch has a justified stopping point.</x:v>
      </x:c>
      <x:c r="M4" s="36" t="str">
        <x:v>The reference efficient trajectory uses nine equilibrate_feed calls: untreated baseline → acid-only limit → softening at 70% plus 80%/90% counterfactuals → partial-softening baseline → 0.0010 → 0.0012 → 0.0013 mol/s to lock the hybrid boundary. Other adaptive orders are acceptable if every branch has a justified stopping point.</x:v>
      </x:c>
      <x:c r="N4" s="36" t="str">
        <x:v>The reference efficient trajectory uses nine equilibrate_feed calls: untreated baseline → acid-only limit → softening at 70% plus 80%/90% counterfactuals → partial-softening baseline → 0.0010 → 0.0012 → 0.0013 mol/s to lock the hybrid boundary. Other adaptive orders are acceptable if every branch has a justified stopping point.</x:v>
      </x:c>
      <x:c r="O4" s="36" t="str">
        <x:v>The reference efficient trajectory uses nine equilibrate_feed calls: untreated baseline → acid-only limit → softening at 70% plus 80%/90% counterfactuals → partial-softening baseline → 0.0010 → 0.0012 → 0.0013 mol/s to lock the hybrid boundary. Other adaptive orders are acceptable if every branch has a justified stopping point.</x:v>
      </x:c>
      <x:c r="P4" s="36" t="str">
        <x:v>The reference efficient trajectory uses nine equilibrate_feed calls: untreated baseline → acid-only limit → softening at 70% plus 80%/90% counterfactuals → partial-softening baseline → 0.0010 → 0.0012 → 0.0013 mol/s to lock the hybrid boundary. Other adaptive orders are acceptable if every branch has a justified stopping point.</x:v>
      </x:c>
      <x:c r="Q4" s="36" t="str">
        <x:v>The reference efficient trajectory uses nine equilibrate_feed calls: untreated baseline → acid-only limit → softening at 70% plus 80%/90% counterfactuals → partial-softening baseline → 0.0010 → 0.0012 → 0.0013 mol/s to lock the hybrid boundary. Other adaptive orders are acceptable if every branch has a justified stopping point.</x:v>
      </x:c>
      <x:c r="R4" s="36" t="str">
        <x:v>The reference efficient trajectory uses nine equilibrate_feed calls: untreated baseline → acid-only limit → softening at 70% plus 80%/90% counterfactuals → partial-softening baseline → 0.0010 → 0.0012 → 0.0013 mol/s to lock the hybrid boundary. Other adaptive orders are acceptable if every branch has a justified stopping point.</x:v>
      </x:c>
      <x:c r="S4" s="36" t="str">
        <x:v>The reference efficient trajectory uses nine equilibrate_feed calls: untreated baseline → acid-only limit → softening at 70% plus 80%/90% counterfactuals → partial-softening baseline → 0.0010 → 0.0012 → 0.0013 mol/s to lock the hybrid boundary. Other adaptive orders are acceptable if every branch has a justified stopping point.</x:v>
      </x:c>
    </x:row>
    <x:row r="5">
      <x:c r="A5" s="36" t="str">
        <x:v>The reference efficient trajectory uses nine equilibrate_feed calls: untreated baseline → acid-only limit → softening at 70% plus 80%/90% counterfactuals → partial-softening baseline → 0.0010 → 0.0012 → 0.0013 mol/s to lock the hybrid boundary. Other adaptive orders are acceptable if every branch has a justified stopping point.</x:v>
      </x:c>
      <x:c r="B5" s="36" t="str">
        <x:v>The reference efficient trajectory uses nine equilibrate_feed calls: untreated baseline → acid-only limit → softening at 70% plus 80%/90% counterfactuals → partial-softening baseline → 0.0010 → 0.0012 → 0.0013 mol/s to lock the hybrid boundary. Other adaptive orders are acceptable if every branch has a justified stopping point.</x:v>
      </x:c>
      <x:c r="C5" s="36" t="str">
        <x:v>The reference efficient trajectory uses nine equilibrate_feed calls: untreated baseline → acid-only limit → softening at 70% plus 80%/90% counterfactuals → partial-softening baseline → 0.0010 → 0.0012 → 0.0013 mol/s to lock the hybrid boundary. Other adaptive orders are acceptable if every branch has a justified stopping point.</x:v>
      </x:c>
      <x:c r="D5" s="36" t="str">
        <x:v>The reference efficient trajectory uses nine equilibrate_feed calls: untreated baseline → acid-only limit → softening at 70% plus 80%/90% counterfactuals → partial-softening baseline → 0.0010 → 0.0012 → 0.0013 mol/s to lock the hybrid boundary. Other adaptive orders are acceptable if every branch has a justified stopping point.</x:v>
      </x:c>
      <x:c r="E5" s="36" t="str">
        <x:v>The reference efficient trajectory uses nine equilibrate_feed calls: untreated baseline → acid-only limit → softening at 70% plus 80%/90% counterfactuals → partial-softening baseline → 0.0010 → 0.0012 → 0.0013 mol/s to lock the hybrid boundary. Other adaptive orders are acceptable if every branch has a justified stopping point.</x:v>
      </x:c>
      <x:c r="F5" s="36" t="str">
        <x:v>The reference efficient trajectory uses nine equilibrate_feed calls: untreated baseline → acid-only limit → softening at 70% plus 80%/90% counterfactuals → partial-softening baseline → 0.0010 → 0.0012 → 0.0013 mol/s to lock the hybrid boundary. Other adaptive orders are acceptable if every branch has a justified stopping point.</x:v>
      </x:c>
      <x:c r="G5" s="36" t="str">
        <x:v>The reference efficient trajectory uses nine equilibrate_feed calls: untreated baseline → acid-only limit → softening at 70% plus 80%/90% counterfactuals → partial-softening baseline → 0.0010 → 0.0012 → 0.0013 mol/s to lock the hybrid boundary. Other adaptive orders are acceptable if every branch has a justified stopping point.</x:v>
      </x:c>
      <x:c r="H5" s="36" t="str">
        <x:v>The reference efficient trajectory uses nine equilibrate_feed calls: untreated baseline → acid-only limit → softening at 70% plus 80%/90% counterfactuals → partial-softening baseline → 0.0010 → 0.0012 → 0.0013 mol/s to lock the hybrid boundary. Other adaptive orders are acceptable if every branch has a justified stopping point.</x:v>
      </x:c>
      <x:c r="I5" s="36" t="str">
        <x:v>The reference efficient trajectory uses nine equilibrate_feed calls: untreated baseline → acid-only limit → softening at 70% plus 80%/90% counterfactuals → partial-softening baseline → 0.0010 → 0.0012 → 0.0013 mol/s to lock the hybrid boundary. Other adaptive orders are acceptable if every branch has a justified stopping point.</x:v>
      </x:c>
      <x:c r="J5" s="36" t="str">
        <x:v>The reference efficient trajectory uses nine equilibrate_feed calls: untreated baseline → acid-only limit → softening at 70% plus 80%/90% counterfactuals → partial-softening baseline → 0.0010 → 0.0012 → 0.0013 mol/s to lock the hybrid boundary. Other adaptive orders are acceptable if every branch has a justified stopping point.</x:v>
      </x:c>
      <x:c r="K5" s="36" t="str">
        <x:v>The reference efficient trajectory uses nine equilibrate_feed calls: untreated baseline → acid-only limit → softening at 70% plus 80%/90% counterfactuals → partial-softening baseline → 0.0010 → 0.0012 → 0.0013 mol/s to lock the hybrid boundary. Other adaptive orders are acceptable if every branch has a justified stopping point.</x:v>
      </x:c>
      <x:c r="L5" s="36" t="str">
        <x:v>The reference efficient trajectory uses nine equilibrate_feed calls: untreated baseline → acid-only limit → softening at 70% plus 80%/90% counterfactuals → partial-softening baseline → 0.0010 → 0.0012 → 0.0013 mol/s to lock the hybrid boundary. Other adaptive orders are acceptable if every branch has a justified stopping point.</x:v>
      </x:c>
      <x:c r="M5" s="36" t="str">
        <x:v>The reference efficient trajectory uses nine equilibrate_feed calls: untreated baseline → acid-only limit → softening at 70% plus 80%/90% counterfactuals → partial-softening baseline → 0.0010 → 0.0012 → 0.0013 mol/s to lock the hybrid boundary. Other adaptive orders are acceptable if every branch has a justified stopping point.</x:v>
      </x:c>
      <x:c r="N5" s="36" t="str">
        <x:v>The reference efficient trajectory uses nine equilibrate_feed calls: untreated baseline → acid-only limit → softening at 70% plus 80%/90% counterfactuals → partial-softening baseline → 0.0010 → 0.0012 → 0.0013 mol/s to lock the hybrid boundary. Other adaptive orders are acceptable if every branch has a justified stopping point.</x:v>
      </x:c>
      <x:c r="O5" s="36" t="str">
        <x:v>The reference efficient trajectory uses nine equilibrate_feed calls: untreated baseline → acid-only limit → softening at 70% plus 80%/90% counterfactuals → partial-softening baseline → 0.0010 → 0.0012 → 0.0013 mol/s to lock the hybrid boundary. Other adaptive orders are acceptable if every branch has a justified stopping point.</x:v>
      </x:c>
      <x:c r="P5" s="36" t="str">
        <x:v>The reference efficient trajectory uses nine equilibrate_feed calls: untreated baseline → acid-only limit → softening at 70% plus 80%/90% counterfactuals → partial-softening baseline → 0.0010 → 0.0012 → 0.0013 mol/s to lock the hybrid boundary. Other adaptive orders are acceptable if every branch has a justified stopping point.</x:v>
      </x:c>
      <x:c r="Q5" s="36" t="str">
        <x:v>The reference efficient trajectory uses nine equilibrate_feed calls: untreated baseline → acid-only limit → softening at 70% plus 80%/90% counterfactuals → partial-softening baseline → 0.0010 → 0.0012 → 0.0013 mol/s to lock the hybrid boundary. Other adaptive orders are acceptable if every branch has a justified stopping point.</x:v>
      </x:c>
      <x:c r="R5" s="36" t="str">
        <x:v>The reference efficient trajectory uses nine equilibrate_feed calls: untreated baseline → acid-only limit → softening at 70% plus 80%/90% counterfactuals → partial-softening baseline → 0.0010 → 0.0012 → 0.0013 mol/s to lock the hybrid boundary. Other adaptive orders are acceptable if every branch has a justified stopping point.</x:v>
      </x:c>
      <x:c r="S5" s="36" t="str">
        <x:v>The reference efficient trajectory uses nine equilibrate_feed calls: untreated baseline → acid-only limit → softening at 70% plus 80%/90% counterfactuals → partial-softening baseline → 0.0010 → 0.0012 → 0.0013 mol/s to lock the hybrid boundary. Other adaptive orders are acceptable if every branch has a justified stopping point.</x:v>
      </x:c>
    </x:row>
    <x:row r="6">
      <x:c r="A6" s="36" t="str">
        <x:v>The reference efficient trajectory uses nine equilibrate_feed calls: untreated baseline → acid-only limit → softening at 70% plus 80%/90% counterfactuals → partial-softening baseline → 0.0010 → 0.0012 → 0.0013 mol/s to lock the hybrid boundary. Other adaptive orders are acceptable if every branch has a justified stopping point.</x:v>
      </x:c>
      <x:c r="B6" s="36" t="str">
        <x:v>The reference efficient trajectory uses nine equilibrate_feed calls: untreated baseline → acid-only limit → softening at 70% plus 80%/90% counterfactuals → partial-softening baseline → 0.0010 → 0.0012 → 0.0013 mol/s to lock the hybrid boundary. Other adaptive orders are acceptable if every branch has a justified stopping point.</x:v>
      </x:c>
      <x:c r="C6" s="36" t="str">
        <x:v>The reference efficient trajectory uses nine equilibrate_feed calls: untreated baseline → acid-only limit → softening at 70% plus 80%/90% counterfactuals → partial-softening baseline → 0.0010 → 0.0012 → 0.0013 mol/s to lock the hybrid boundary. Other adaptive orders are acceptable if every branch has a justified stopping point.</x:v>
      </x:c>
      <x:c r="D6" s="36" t="str">
        <x:v>The reference efficient trajectory uses nine equilibrate_feed calls: untreated baseline → acid-only limit → softening at 70% plus 80%/90% counterfactuals → partial-softening baseline → 0.0010 → 0.0012 → 0.0013 mol/s to lock the hybrid boundary. Other adaptive orders are acceptable if every branch has a justified stopping point.</x:v>
      </x:c>
      <x:c r="E6" s="36" t="str">
        <x:v>The reference efficient trajectory uses nine equilibrate_feed calls: untreated baseline → acid-only limit → softening at 70% plus 80%/90% counterfactuals → partial-softening baseline → 0.0010 → 0.0012 → 0.0013 mol/s to lock the hybrid boundary. Other adaptive orders are acceptable if every branch has a justified stopping point.</x:v>
      </x:c>
      <x:c r="F6" s="36" t="str">
        <x:v>The reference efficient trajectory uses nine equilibrate_feed calls: untreated baseline → acid-only limit → softening at 70% plus 80%/90% counterfactuals → partial-softening baseline → 0.0010 → 0.0012 → 0.0013 mol/s to lock the hybrid boundary. Other adaptive orders are acceptable if every branch has a justified stopping point.</x:v>
      </x:c>
      <x:c r="G6" s="36" t="str">
        <x:v>The reference efficient trajectory uses nine equilibrate_feed calls: untreated baseline → acid-only limit → softening at 70% plus 80%/90% counterfactuals → partial-softening baseline → 0.0010 → 0.0012 → 0.0013 mol/s to lock the hybrid boundary. Other adaptive orders are acceptable if every branch has a justified stopping point.</x:v>
      </x:c>
      <x:c r="H6" s="36" t="str">
        <x:v>The reference efficient trajectory uses nine equilibrate_feed calls: untreated baseline → acid-only limit → softening at 70% plus 80%/90% counterfactuals → partial-softening baseline → 0.0010 → 0.0012 → 0.0013 mol/s to lock the hybrid boundary. Other adaptive orders are acceptable if every branch has a justified stopping point.</x:v>
      </x:c>
      <x:c r="I6" s="36" t="str">
        <x:v>The reference efficient trajectory uses nine equilibrate_feed calls: untreated baseline → acid-only limit → softening at 70% plus 80%/90% counterfactuals → partial-softening baseline → 0.0010 → 0.0012 → 0.0013 mol/s to lock the hybrid boundary. Other adaptive orders are acceptable if every branch has a justified stopping point.</x:v>
      </x:c>
      <x:c r="J6" s="36" t="str">
        <x:v>The reference efficient trajectory uses nine equilibrate_feed calls: untreated baseline → acid-only limit → softening at 70% plus 80%/90% counterfactuals → partial-softening baseline → 0.0010 → 0.0012 → 0.0013 mol/s to lock the hybrid boundary. Other adaptive orders are acceptable if every branch has a justified stopping point.</x:v>
      </x:c>
      <x:c r="K6" s="36" t="str">
        <x:v>The reference efficient trajectory uses nine equilibrate_feed calls: untreated baseline → acid-only limit → softening at 70% plus 80%/90% counterfactuals → partial-softening baseline → 0.0010 → 0.0012 → 0.0013 mol/s to lock the hybrid boundary. Other adaptive orders are acceptable if every branch has a justified stopping point.</x:v>
      </x:c>
      <x:c r="L6" s="36" t="str">
        <x:v>The reference efficient trajectory uses nine equilibrate_feed calls: untreated baseline → acid-only limit → softening at 70% plus 80%/90% counterfactuals → partial-softening baseline → 0.0010 → 0.0012 → 0.0013 mol/s to lock the hybrid boundary. Other adaptive orders are acceptable if every branch has a justified stopping point.</x:v>
      </x:c>
      <x:c r="M6" s="36" t="str">
        <x:v>The reference efficient trajectory uses nine equilibrate_feed calls: untreated baseline → acid-only limit → softening at 70% plus 80%/90% counterfactuals → partial-softening baseline → 0.0010 → 0.0012 → 0.0013 mol/s to lock the hybrid boundary. Other adaptive orders are acceptable if every branch has a justified stopping point.</x:v>
      </x:c>
      <x:c r="N6" s="36" t="str">
        <x:v>The reference efficient trajectory uses nine equilibrate_feed calls: untreated baseline → acid-only limit → softening at 70% plus 80%/90% counterfactuals → partial-softening baseline → 0.0010 → 0.0012 → 0.0013 mol/s to lock the hybrid boundary. Other adaptive orders are acceptable if every branch has a justified stopping point.</x:v>
      </x:c>
      <x:c r="O6" s="36" t="str">
        <x:v>The reference efficient trajectory uses nine equilibrate_feed calls: untreated baseline → acid-only limit → softening at 70% plus 80%/90% counterfactuals → partial-softening baseline → 0.0010 → 0.0012 → 0.0013 mol/s to lock the hybrid boundary. Other adaptive orders are acceptable if every branch has a justified stopping point.</x:v>
      </x:c>
      <x:c r="P6" s="36" t="str">
        <x:v>The reference efficient trajectory uses nine equilibrate_feed calls: untreated baseline → acid-only limit → softening at 70% plus 80%/90% counterfactuals → partial-softening baseline → 0.0010 → 0.0012 → 0.0013 mol/s to lock the hybrid boundary. Other adaptive orders are acceptable if every branch has a justified stopping point.</x:v>
      </x:c>
      <x:c r="Q6" s="36" t="str">
        <x:v>The reference efficient trajectory uses nine equilibrate_feed calls: untreated baseline → acid-only limit → softening at 70% plus 80%/90% counterfactuals → partial-softening baseline → 0.0010 → 0.0012 → 0.0013 mol/s to lock the hybrid boundary. Other adaptive orders are acceptable if every branch has a justified stopping point.</x:v>
      </x:c>
      <x:c r="R6" s="36" t="str">
        <x:v>The reference efficient trajectory uses nine equilibrate_feed calls: untreated baseline → acid-only limit → softening at 70% plus 80%/90% counterfactuals → partial-softening baseline → 0.0010 → 0.0012 → 0.0013 mol/s to lock the hybrid boundary. Other adaptive orders are acceptable if every branch has a justified stopping point.</x:v>
      </x:c>
      <x:c r="S6" s="36" t="str">
        <x:v>The reference efficient trajectory uses nine equilibrate_feed calls: untreated baseline → acid-only limit → softening at 70% plus 80%/90% counterfactuals → partial-softening baseline → 0.0010 → 0.0012 → 0.0013 mol/s to lock the hybrid boundary. Other adaptive orders are acceptable if every branch has a justified stopping point.</x:v>
      </x:c>
    </x:row>
    <x:row r="8">
      <x:c r="A8" s="11" t="str">
        <x:v>Human-readable continuous trajectory</x:v>
      </x:c>
      <x:c r="B8" s="11" t="str">
        <x:v>Human-readable continuous trajectory</x:v>
      </x:c>
      <x:c r="C8" s="11" t="str">
        <x:v>Human-readable continuous trajectory</x:v>
      </x:c>
      <x:c r="D8" s="11" t="str">
        <x:v>Human-readable continuous trajectory</x:v>
      </x:c>
      <x:c r="E8" s="11" t="str">
        <x:v>Human-readable continuous trajectory</x:v>
      </x:c>
      <x:c r="F8" s="11" t="str">
        <x:v>Human-readable continuous trajectory</x:v>
      </x:c>
      <x:c r="G8" s="11" t="str">
        <x:v>Human-readable continuous trajectory</x:v>
      </x:c>
    </x:row>
    <x:row r="9">
      <x:c r="A9" s="17" t="str">
        <x:v>Stage</x:v>
      </x:c>
      <x:c r="B9" s="17" t="str">
        <x:v>Current state/problem</x:v>
      </x:c>
      <x:c r="C9" s="17" t="str">
        <x:v>Action</x:v>
      </x:c>
      <x:c r="D9" s="17" t="str">
        <x:v>Key observation</x:v>
      </x:c>
      <x:c r="E9" s="17" t="str">
        <x:v>State update</x:v>
      </x:c>
      <x:c r="F9" s="17" t="str">
        <x:v>Next step</x:v>
      </x:c>
      <x:c r="G9" s="17" t="str">
        <x:v>Trajectory role</x:v>
      </x:c>
    </x:row>
    <x:row r="10" ht="63" customHeight="1">
      <x:c r="A10" s="21" t="str">
        <x:v>1 Baseline</x:v>
      </x:c>
      <x:c r="B10" s="21" t="str">
        <x:v>Controlling scales unknown</x:v>
      </x:c>
      <x:c r="C10" s="21" t="str">
        <x:v>Zero-dose equilibrium</x:v>
      </x:c>
      <x:c r="D10" s="21" t="str">
        <x:v>Calcite +0.970; Gypsum +0.165</x:v>
      </x:c>
      <x:c r="E10" s="21" t="str">
        <x:v>Two simultaneous scale risks</x:v>
      </x:c>
      <x:c r="F10" s="21" t="str">
        <x:v>Test acid-only limit</x:v>
      </x:c>
      <x:c r="G10" s="21" t="str">
        <x:v>Problem diagnosis</x:v>
      </x:c>
    </x:row>
    <x:row r="11" ht="63" customHeight="1">
      <x:c r="A11" s="21" t="str">
        <x:v>2 Acid screen</x:v>
      </x:c>
      <x:c r="B11" s="21" t="str">
        <x:v>Acid should affect carbonate scale only</x:v>
      </x:c>
      <x:c r="C11" s="21" t="str">
        <x:v>HCl 0.0035</x:v>
      </x:c>
      <x:c r="D11" s="21" t="str">
        <x:v>Calcite -0.226; Gypsum +0.165; pH 6.430</x:v>
      </x:c>
      <x:c r="E11" s="21" t="str">
        <x:v>Acid-only fails</x:v>
      </x:c>
      <x:c r="F11" s="21" t="str">
        <x:v>Move to Ca removal</x:v>
      </x:c>
      <x:c r="G11" s="21" t="str">
        <x:v>Mechanism distinction</x:v>
      </x:c>
    </x:row>
    <x:row r="12" ht="63" customHeight="1">
      <x:c r="A12" s="21" t="str">
        <x:v>3 Softening screen</x:v>
      </x:c>
      <x:c r="B12" s="21" t="str">
        <x:v>Ca removal must control both scales</x:v>
      </x:c>
      <x:c r="C12" s="21" t="str">
        <x:v>70%→80%→90% Ca removal</x:v>
      </x:c>
      <x:c r="D12" s="21" t="str">
        <x:v>Gypsum becomes safe; Calcite only reaches -0.044 at 90%</x:v>
      </x:c>
      <x:c r="E12" s="21" t="str">
        <x:v>Softening-only misses margin and exceeds limit</x:v>
      </x:c>
      <x:c r="F12" s="21" t="str">
        <x:v>Try partial softening plus acid</x:v>
      </x:c>
      <x:c r="G12" s="21" t="str">
        <x:v>Counterfactual pruning</x:v>
      </x:c>
    </x:row>
    <x:row r="13" ht="63" customHeight="1">
      <x:c r="A13" s="21" t="str">
        <x:v>4 Hybrid boundary</x:v>
      </x:c>
      <x:c r="B13" s="21" t="str">
        <x:v>Residual Ca 0.030 makes sulfate scales safe</x:v>
      </x:c>
      <x:c r="C13" s="21" t="str">
        <x:v>HCl 0→0.0010→0.0012→0.0013</x:v>
      </x:c>
      <x:c r="D13" s="21" t="str">
        <x:v>Calcite is -0.0686 at 0.0012 and -0.1039 at 0.0013</x:v>
      </x:c>
      <x:c r="E13" s="21" t="str">
        <x:v>Minimum passing dose locked</x:v>
      </x:c>
      <x:c r="F13" s="21" t="str">
        <x:v>Convert chemical use and check pH</x:v>
      </x:c>
      <x:c r="G13" s="21" t="str">
        <x:v>Adaptive boundary search</x:v>
      </x:c>
    </x:row>
    <x:row r="14" ht="63" customHeight="1">
      <x:c r="A14" s="21" t="str">
        <x:v>5 Decision</x:v>
      </x:c>
      <x:c r="B14" s="21" t="str">
        <x:v>One route meets every hard constraint</x:v>
      </x:c>
      <x:c r="C14" s="21" t="str">
        <x:v>Combine SI, pH, softening fraction and model limits</x:v>
      </x:c>
      <x:c r="D14" s="21" t="str">
        <x:v>Unique passing point: 62.5% softening + 0.0013 mol/s HCl</x:v>
      </x:c>
      <x:c r="E14" s="21" t="str">
        <x:v>Recommend hybrid route</x:v>
      </x:c>
      <x:c r="F14" s="21" t="str">
        <x:v>Stop</x:v>
      </x:c>
      <x:c r="G14" s="21" t="str">
        <x:v>Engineering decision</x:v>
      </x:c>
    </x:row>
    <x:row r="17">
      <x:c r="A17" s="11" t="str">
        <x:v>Direct equilibrate_feed results</x:v>
      </x:c>
      <x:c r="B17" s="11" t="str">
        <x:v>Direct equilibrate_feed results</x:v>
      </x:c>
      <x:c r="C17" s="11" t="str">
        <x:v>Direct equilibrate_feed results</x:v>
      </x:c>
      <x:c r="D17" s="11" t="str">
        <x:v>Direct equilibrate_feed results</x:v>
      </x:c>
      <x:c r="E17" s="11" t="str">
        <x:v>Direct equilibrate_feed results</x:v>
      </x:c>
      <x:c r="F17" s="11" t="str">
        <x:v>Direct equilibrate_feed results</x:v>
      </x:c>
      <x:c r="G17" s="11" t="str">
        <x:v>Direct equilibrate_feed results</x:v>
      </x:c>
      <x:c r="H17" s="11" t="str">
        <x:v>Direct equilibrate_feed results</x:v>
      </x:c>
      <x:c r="I17" s="11" t="str">
        <x:v>Direct equilibrate_feed results</x:v>
      </x:c>
      <x:c r="J17" s="11" t="str">
        <x:v>Direct equilibrate_feed results</x:v>
      </x:c>
      <x:c r="K17" s="11" t="str">
        <x:v>Direct equilibrate_feed results</x:v>
      </x:c>
      <x:c r="L17" s="11" t="str">
        <x:v>Direct equilibrate_feed results</x:v>
      </x:c>
      <x:c r="M17" s="11" t="str">
        <x:v>Direct equilibrate_feed results</x:v>
      </x:c>
      <x:c r="N17" s="11" t="str">
        <x:v>Direct equilibrate_feed results</x:v>
      </x:c>
    </x:row>
    <x:row r="18">
      <x:c r="A18" s="17" t="str">
        <x:v>Call</x:v>
      </x:c>
      <x:c r="B18" s="17" t="str">
        <x:v>Route/case</x:v>
      </x:c>
      <x:c r="C18" s="17" t="str">
        <x:v>Ca mol/s</x:v>
      </x:c>
      <x:c r="D18" s="17" t="str">
        <x:v>Na mol/s</x:v>
      </x:c>
      <x:c r="E18" s="17" t="str">
        <x:v>HCl mol/s</x:v>
      </x:c>
      <x:c r="F18" s="17" t="str">
        <x:v>Ca removal</x:v>
      </x:c>
      <x:c r="G18" s="17" t="str">
        <x:v>Calcite SI</x:v>
      </x:c>
      <x:c r="H18" s="17" t="str">
        <x:v>Gypsum SI</x:v>
      </x:c>
      <x:c r="I18" s="17" t="str">
        <x:v>Anhydrite SI</x:v>
      </x:c>
      <x:c r="J18" s="17" t="str">
        <x:v>pH</x:v>
      </x:c>
      <x:c r="K18" s="17" t="str">
        <x:v>Osmotic bar</x:v>
      </x:c>
      <x:c r="L18" s="17" t="str">
        <x:v>Pure HCl g/h</x:v>
      </x:c>
      <x:c r="M18" s="17" t="str">
        <x:v>30% HCl L/h</x:v>
      </x:c>
      <x:c r="N18" s="17" t="str">
        <x:v>Decision/next step</x:v>
      </x:c>
      <x:c r="P18" t="str">
        <x:v>Case</x:v>
      </x:c>
      <x:c r="Q18" t="str">
        <x:v>Calcite SI</x:v>
      </x:c>
      <x:c r="R18" t="str">
        <x:v>Gypsum SI</x:v>
      </x:c>
      <x:c r="S18" t="str">
        <x:v>Design line</x:v>
      </x:c>
    </x:row>
    <x:row r="19" ht="44" customHeight="1">
      <x:c r="A19" s="21" t="n">
        <x:v>1</x:v>
      </x:c>
      <x:c r="B19" s="21" t="str">
        <x:v>Untreated baseline</x:v>
      </x:c>
      <x:c r="C19" s="24" t="n">
        <x:v>0.08</x:v>
      </x:c>
      <x:c r="D19" s="24" t="n">
        <x:v>1.2</x:v>
      </x:c>
      <x:c r="E19" s="24" t="n">
        <x:v>0</x:v>
      </x:c>
      <x:c r="F19" s="23" t="n">
        <x:f>($C$19-C19)/$C$19</x:f>
        <x:v>0</x:v>
      </x:c>
      <x:c r="G19" s="37" t="n">
        <x:v>0.9701619100677641</x:v>
      </x:c>
      <x:c r="H19" s="37" t="n">
        <x:v>0.16482867149987626</x:v>
      </x:c>
      <x:c r="I19" s="37" t="n">
        <x:v>-0.12775164127347774</x:v>
      </x:c>
      <x:c r="J19" s="37" t="n">
        <x:v>7.490218287399513</x:v>
      </x:c>
      <x:c r="K19" s="37" t="n">
        <x:v>32.36333006188641</x:v>
      </x:c>
      <x:c r="L19" s="38" t="n">
        <x:f>E19*36.46*3600</x:f>
        <x:v>0</x:v>
      </x:c>
      <x:c r="M19" s="38" t="n">
        <x:f>L19/1000/0.30/1.15</x:f>
        <x:v>0</x:v>
      </x:c>
      <x:c r="N19" s="21" t="str">
        <x:v>FAIL: Calcite and Gypsum；Acid cannot solve sulfate scale</x:v>
      </x:c>
      <x:c r="P19" t="str">
        <x:f>B19</x:f>
        <x:v>Untreated baseline</x:v>
      </x:c>
      <x:c r="Q19" t="n">
        <x:f>G19</x:f>
        <x:v>0.9701619100677641</x:v>
      </x:c>
      <x:c r="R19" t="n">
        <x:f>H19</x:f>
        <x:v>0.16482867149987626</x:v>
      </x:c>
      <x:c r="S19" t="n">
        <x:f>-0.10</x:f>
        <x:v>-0.1</x:v>
      </x:c>
    </x:row>
    <x:row r="20" ht="44" customHeight="1">
      <x:c r="A20" s="21" t="n">
        <x:v>2</x:v>
      </x:c>
      <x:c r="B20" s="21" t="str">
        <x:v>Acid only</x:v>
      </x:c>
      <x:c r="C20" s="24" t="n">
        <x:v>0.08</x:v>
      </x:c>
      <x:c r="D20" s="24" t="n">
        <x:v>1.2</x:v>
      </x:c>
      <x:c r="E20" s="24" t="n">
        <x:v>0.0035</x:v>
      </x:c>
      <x:c r="F20" s="23" t="n">
        <x:f>($C$19-C20)/$C$19</x:f>
        <x:v>0</x:v>
      </x:c>
      <x:c r="G20" s="37" t="n">
        <x:v>-0.22560669864847668</x:v>
      </x:c>
      <x:c r="H20" s="37" t="n">
        <x:v>0.16479341752707205</x:v>
      </x:c>
      <x:c r="I20" s="37" t="n">
        <x:v>-0.12775040763068096</x:v>
      </x:c>
      <x:c r="J20" s="37" t="n">
        <x:v>6.430407093324606</x:v>
      </x:c>
      <x:c r="K20" s="37" t="n">
        <x:v>32.42149348301656</x:v>
      </x:c>
      <x:c r="L20" s="38" t="n">
        <x:f>E20*36.46*3600</x:f>
        <x:v>459.396</x:v>
      </x:c>
      <x:c r="M20" s="38" t="n">
        <x:f>L20/1000/0.30/1.15</x:f>
        <x:v>1.3315826086956526</x:v>
      </x:c>
      <x:c r="N20" s="21" t="str">
        <x:v>FAIL: Gypsum; pH too low；Reject acid-only route</x:v>
      </x:c>
      <x:c r="P20" t="str">
        <x:f>B20</x:f>
        <x:v>Acid only</x:v>
      </x:c>
      <x:c r="Q20" t="n">
        <x:f>G20</x:f>
        <x:v>-0.22560669864847668</x:v>
      </x:c>
      <x:c r="R20" t="n">
        <x:f>H20</x:f>
        <x:v>0.16479341752707205</x:v>
      </x:c>
      <x:c r="S20" t="n">
        <x:f>-0.10</x:f>
        <x:v>-0.1</x:v>
      </x:c>
    </x:row>
    <x:row r="21" ht="44" customHeight="1">
      <x:c r="A21" s="21" t="n">
        <x:v>3</x:v>
      </x:c>
      <x:c r="B21" s="21" t="str">
        <x:v>Softening only, 70%</x:v>
      </x:c>
      <x:c r="C21" s="24" t="n">
        <x:v>0.024</x:v>
      </x:c>
      <x:c r="D21" s="24" t="n">
        <x:v>1.312</x:v>
      </x:c>
      <x:c r="E21" s="24" t="n">
        <x:v>0</x:v>
      </x:c>
      <x:c r="F21" s="23" t="n">
        <x:f>($C$19-C21)/$C$19</x:f>
        <x:v>0.7</x:v>
      </x:c>
      <x:c r="G21" s="37" t="n">
        <x:v>0.4362531133112686</x:v>
      </x:c>
      <x:c r="H21" s="37" t="n">
        <x:v>-0.3239083740397195</x:v>
      </x:c>
      <x:c r="I21" s="37" t="n">
        <x:v>-0.6160013369776989</x:v>
      </x:c>
      <x:c r="J21" s="37" t="n">
        <x:v>7.489639922140139</x:v>
      </x:c>
      <x:c r="K21" s="37" t="n">
        <x:v>33.140194574574274</x:v>
      </x:c>
      <x:c r="L21" s="38" t="n">
        <x:f>E21*36.46*3600</x:f>
        <x:v>0</x:v>
      </x:c>
      <x:c r="M21" s="38" t="n">
        <x:f>L21/1000/0.30/1.15</x:f>
        <x:v>0</x:v>
      </x:c>
      <x:c r="N21" s="21" t="str">
        <x:v>FAIL: Calcite；At allowed softening limit</x:v>
      </x:c>
      <x:c r="P21" t="str">
        <x:f>B21</x:f>
        <x:v>Softening only, 70%</x:v>
      </x:c>
      <x:c r="Q21" t="n">
        <x:f>G21</x:f>
        <x:v>0.4362531133112686</x:v>
      </x:c>
      <x:c r="R21" t="n">
        <x:f>H21</x:f>
        <x:v>-0.3239083740397195</x:v>
      </x:c>
      <x:c r="S21" t="n">
        <x:f>-0.10</x:f>
        <x:v>-0.1</x:v>
      </x:c>
    </x:row>
    <x:row r="22" ht="44" customHeight="1">
      <x:c r="A22" s="21" t="n">
        <x:v>4</x:v>
      </x:c>
      <x:c r="B22" s="21" t="str">
        <x:v>Softening only, 80%</x:v>
      </x:c>
      <x:c r="C22" s="24" t="n">
        <x:v>0.016</x:v>
      </x:c>
      <x:c r="D22" s="24" t="n">
        <x:v>1.328</x:v>
      </x:c>
      <x:c r="E22" s="24" t="n">
        <x:v>0</x:v>
      </x:c>
      <x:c r="F22" s="23" t="n">
        <x:f>($C$19-C22)/$C$19</x:f>
        <x:v>0.8</x:v>
      </x:c>
      <x:c r="G22" s="37" t="n">
        <x:v>0.2584504678311524</x:v>
      </x:c>
      <x:c r="H22" s="37" t="n">
        <x:v>-0.49511083872848044</x:v>
      </x:c>
      <x:c r="I22" s="37" t="n">
        <x:v>-0.787134602098519</x:v>
      </x:c>
      <x:c r="J22" s="37" t="n">
        <x:v>7.489498766341265</x:v>
      </x:c>
      <x:c r="K22" s="37" t="n">
        <x:v>33.25050278589207</x:v>
      </x:c>
      <x:c r="L22" s="38" t="n">
        <x:f>E22*36.46*3600</x:f>
        <x:v>0</x:v>
      </x:c>
      <x:c r="M22" s="38" t="n">
        <x:f>L22/1000/0.30/1.15</x:f>
        <x:v>0</x:v>
      </x:c>
      <x:c r="N22" s="21" t="str">
        <x:v>FAIL; over softening limit；Deeper softening still insufficient</x:v>
      </x:c>
      <x:c r="P22" t="str">
        <x:f>B22</x:f>
        <x:v>Softening only, 80%</x:v>
      </x:c>
      <x:c r="Q22" t="n">
        <x:f>G22</x:f>
        <x:v>0.2584504678311524</x:v>
      </x:c>
      <x:c r="R22" t="n">
        <x:f>H22</x:f>
        <x:v>-0.49511083872848044</x:v>
      </x:c>
      <x:c r="S22" t="n">
        <x:f>-0.10</x:f>
        <x:v>-0.1</x:v>
      </x:c>
    </x:row>
    <x:row r="23" ht="44" customHeight="1">
      <x:c r="A23" s="21" t="n">
        <x:v>5</x:v>
      </x:c>
      <x:c r="B23" s="21" t="str">
        <x:v>Softening only, 90%</x:v>
      </x:c>
      <x:c r="C23" s="24" t="n">
        <x:v>0.008</x:v>
      </x:c>
      <x:c r="D23" s="24" t="n">
        <x:v>1.344</x:v>
      </x:c>
      <x:c r="E23" s="24" t="n">
        <x:v>0</x:v>
      </x:c>
      <x:c r="F23" s="23" t="n">
        <x:f>($C$19-C23)/$C$19</x:f>
        <x:v>0.9000000000000001</x:v>
      </x:c>
      <x:c r="G23" s="37" t="n">
        <x:v>-0.044325849665336474</x:v>
      </x:c>
      <x:c r="H23" s="37" t="n">
        <x:v>-0.7912498973615432</x:v>
      </x:c>
      <x:c r="I23" s="37" t="n">
        <x:v>-1.083204565987755</x:v>
      </x:c>
      <x:c r="J23" s="37" t="n">
        <x:v>7.489342830873814</x:v>
      </x:c>
      <x:c r="K23" s="37" t="n">
        <x:v>33.360643901362764</x:v>
      </x:c>
      <x:c r="L23" s="38" t="n">
        <x:f>E23*36.46*3600</x:f>
        <x:v>0</x:v>
      </x:c>
      <x:c r="M23" s="38" t="n">
        <x:f>L23/1000/0.30/1.15</x:f>
        <x:v>0</x:v>
      </x:c>
      <x:c r="N23" s="21" t="str">
        <x:v>FAIL margin; over limit；Reject softening-only route</x:v>
      </x:c>
      <x:c r="P23" t="str">
        <x:f>B23</x:f>
        <x:v>Softening only, 90%</x:v>
      </x:c>
      <x:c r="Q23" t="n">
        <x:f>G23</x:f>
        <x:v>-0.044325849665336474</x:v>
      </x:c>
      <x:c r="R23" t="n">
        <x:f>H23</x:f>
        <x:v>-0.7912498973615432</x:v>
      </x:c>
      <x:c r="S23" t="n">
        <x:f>-0.10</x:f>
        <x:v>-0.1</x:v>
      </x:c>
    </x:row>
    <x:row r="24" ht="44" customHeight="1">
      <x:c r="A24" s="21" t="n">
        <x:v>6</x:v>
      </x:c>
      <x:c r="B24" s="21" t="str">
        <x:v>Partial softening, no acid</x:v>
      </x:c>
      <x:c r="C24" s="24" t="n">
        <x:v>0.03</x:v>
      </x:c>
      <x:c r="D24" s="24" t="n">
        <x:v>1.3</x:v>
      </x:c>
      <x:c r="E24" s="24" t="n">
        <x:v>0</x:v>
      </x:c>
      <x:c r="F24" s="23" t="n">
        <x:f>($C$19-C24)/$C$19</x:f>
        <x:v>0.625</x:v>
      </x:c>
      <x:c r="G24" s="37" t="n">
        <x:v>0.5344239490688274</x:v>
      </x:c>
      <x:c r="H24" s="37" t="n">
        <x:v>-0.23066340216128278</x:v>
      </x:c>
      <x:c r="I24" s="37" t="n">
        <x:v>-0.5228083336977853</x:v>
      </x:c>
      <x:c r="J24" s="37" t="n">
        <x:v>7.489736117895044</x:v>
      </x:c>
      <x:c r="K24" s="37" t="n">
        <x:v>33.05735354942871</x:v>
      </x:c>
      <x:c r="L24" s="38" t="n">
        <x:f>E24*36.46*3600</x:f>
        <x:v>0</x:v>
      </x:c>
      <x:c r="M24" s="38" t="n">
        <x:f>L24/1000/0.30/1.15</x:f>
        <x:v>0</x:v>
      </x:c>
      <x:c r="N24" s="21" t="str">
        <x:v>FAIL: Calcite；Start acid-polishing boundary</x:v>
      </x:c>
      <x:c r="P24" t="str">
        <x:f>B24</x:f>
        <x:v>Partial softening, no acid</x:v>
      </x:c>
      <x:c r="Q24" t="n">
        <x:f>G24</x:f>
        <x:v>0.5344239490688274</x:v>
      </x:c>
      <x:c r="R24" t="n">
        <x:f>H24</x:f>
        <x:v>-0.23066340216128278</x:v>
      </x:c>
      <x:c r="S24" t="n">
        <x:f>-0.10</x:f>
        <x:v>-0.1</x:v>
      </x:c>
    </x:row>
    <x:row r="25" ht="44" customHeight="1">
      <x:c r="A25" s="21" t="n">
        <x:v>7</x:v>
      </x:c>
      <x:c r="B25" s="21" t="str">
        <x:v>Hybrid, HCl 0.0010</x:v>
      </x:c>
      <x:c r="C25" s="24" t="n">
        <x:v>0.03</x:v>
      </x:c>
      <x:c r="D25" s="24" t="n">
        <x:v>1.3</x:v>
      </x:c>
      <x:c r="E25" s="24" t="n">
        <x:v>0.001</x:v>
      </x:c>
      <x:c r="F25" s="23" t="n">
        <x:f>($C$19-C25)/$C$19</x:f>
        <x:v>0.625</x:v>
      </x:c>
      <x:c r="G25" s="37" t="n">
        <x:v>0.006650118070516778</x:v>
      </x:c>
      <x:c r="H25" s="37" t="n">
        <x:v>-0.23063190083113702</x:v>
      </x:c>
      <x:c r="I25" s="37" t="n">
        <x:v>-0.5227659770720314</x:v>
      </x:c>
      <x:c r="J25" s="37" t="n">
        <x:v>6.988779984057349</x:v>
      </x:c>
      <x:c r="K25" s="37" t="n">
        <x:v>33.074657533796206</x:v>
      </x:c>
      <x:c r="L25" s="38" t="n">
        <x:f>E25*36.46*3600</x:f>
        <x:v>131.256</x:v>
      </x:c>
      <x:c r="M25" s="38" t="n">
        <x:f>L25/1000/0.30/1.15</x:f>
        <x:v>0.3804521739130436</x:v>
      </x:c>
      <x:c r="N25" s="21" t="str">
        <x:v>FAIL: Calcite margin；Increase acid dose</x:v>
      </x:c>
      <x:c r="P25" t="str">
        <x:f>B25</x:f>
        <x:v>Hybrid, HCl 0.0010</x:v>
      </x:c>
      <x:c r="Q25" t="n">
        <x:f>G25</x:f>
        <x:v>0.006650118070516778</x:v>
      </x:c>
      <x:c r="R25" t="n">
        <x:f>H25</x:f>
        <x:v>-0.23063190083113702</x:v>
      </x:c>
      <x:c r="S25" t="n">
        <x:f>-0.10</x:f>
        <x:v>-0.1</x:v>
      </x:c>
    </x:row>
    <x:row r="26" ht="44" customHeight="1">
      <x:c r="A26" s="21" t="n">
        <x:v>8</x:v>
      </x:c>
      <x:c r="B26" s="21" t="str">
        <x:v>Hybrid, HCl 0.0012</x:v>
      </x:c>
      <x:c r="C26" s="24" t="n">
        <x:v>0.03</x:v>
      </x:c>
      <x:c r="D26" s="24" t="n">
        <x:v>1.3</x:v>
      </x:c>
      <x:c r="E26" s="24" t="n">
        <x:v>0.0012</x:v>
      </x:c>
      <x:c r="F26" s="23" t="n">
        <x:f>($C$19-C26)/$C$19</x:f>
        <x:v>0.625</x:v>
      </x:c>
      <x:c r="G26" s="37" t="n">
        <x:v>-0.06860826029098793</x:v>
      </x:c>
      <x:c r="H26" s="37" t="n">
        <x:v>-0.2306354764265177</x:v>
      </x:c>
      <x:c r="I26" s="37" t="n">
        <x:v>-0.5227674375626044</x:v>
      </x:c>
      <x:c r="J26" s="37" t="n">
        <x:v>6.920858310768344</x:v>
      </x:c>
      <x:c r="K26" s="37" t="n">
        <x:v>33.07802913617869</x:v>
      </x:c>
      <x:c r="L26" s="38" t="n">
        <x:f>E26*36.46*3600</x:f>
        <x:v>157.50719999999998</x:v>
      </x:c>
      <x:c r="M26" s="38" t="n">
        <x:f>L26/1000/0.30/1.15</x:f>
        <x:v>0.45654260869565216</x:v>
      </x:c>
      <x:c r="N26" s="21" t="str">
        <x:v>FAIL: Calcite margin；Lower side of boundary</x:v>
      </x:c>
      <x:c r="P26" t="str">
        <x:f>B26</x:f>
        <x:v>Hybrid, HCl 0.0012</x:v>
      </x:c>
      <x:c r="Q26" t="n">
        <x:f>G26</x:f>
        <x:v>-0.06860826029098793</x:v>
      </x:c>
      <x:c r="R26" t="n">
        <x:f>H26</x:f>
        <x:v>-0.2306354764265177</x:v>
      </x:c>
      <x:c r="S26" t="n">
        <x:f>-0.10</x:f>
        <x:v>-0.1</x:v>
      </x:c>
    </x:row>
    <x:row r="27" ht="44" customHeight="1">
      <x:c r="A27" s="21" t="n">
        <x:v>9</x:v>
      </x:c>
      <x:c r="B27" s="21" t="str">
        <x:v>Hybrid, HCl 0.0013</x:v>
      </x:c>
      <x:c r="C27" s="24" t="n">
        <x:v>0.03</x:v>
      </x:c>
      <x:c r="D27" s="24" t="n">
        <x:v>1.3</x:v>
      </x:c>
      <x:c r="E27" s="24" t="n">
        <x:v>0.0013</x:v>
      </x:c>
      <x:c r="F27" s="23" t="n">
        <x:f>($C$19-C27)/$C$19</x:f>
        <x:v>0.625</x:v>
      </x:c>
      <x:c r="G27" s="37" t="n">
        <x:v>-0.10385299155230501</x:v>
      </x:c>
      <x:c r="H27" s="37" t="n">
        <x:v>-0.23063770364200395</x:v>
      </x:c>
      <x:c r="I27" s="37" t="n">
        <x:v>-0.5227686097192921</x:v>
      </x:c>
      <x:c r="J27" s="37" t="n">
        <x:v>6.889408203590511</x:v>
      </x:c>
      <x:c r="K27" s="37" t="n">
        <x:v>33.07971096241546</x:v>
      </x:c>
      <x:c r="L27" s="38" t="n">
        <x:f>E27*36.46*3600</x:f>
        <x:v>170.63279999999997</x:v>
      </x:c>
      <x:c r="M27" s="38" t="n">
        <x:f>L27/1000/0.30/1.15</x:f>
        <x:v>0.4945878260869565</x:v>
      </x:c>
      <x:c r="N27" s="21" t="str">
        <x:v>PASS: recommended；Stop and decide</x:v>
      </x:c>
      <x:c r="P27" t="str">
        <x:f>B27</x:f>
        <x:v>Hybrid, HCl 0.0013</x:v>
      </x:c>
      <x:c r="Q27" t="n">
        <x:f>G27</x:f>
        <x:v>-0.10385299155230501</x:v>
      </x:c>
      <x:c r="R27" t="n">
        <x:f>H27</x:f>
        <x:v>-0.23063770364200395</x:v>
      </x:c>
      <x:c r="S27" t="n">
        <x:f>-0.10</x:f>
        <x:v>-0.1</x:v>
      </x:c>
    </x:row>
    <x:row r="29">
      <x:c r="A29" s="11" t="str">
        <x:v>Final route screening and boundary</x:v>
      </x:c>
      <x:c r="B29" s="11" t="str">
        <x:v>Final route screening and boundary</x:v>
      </x:c>
      <x:c r="C29" s="11" t="str">
        <x:v>Final route screening and boundary</x:v>
      </x:c>
      <x:c r="D29" s="11" t="str">
        <x:v>Final route screening and boundary</x:v>
      </x:c>
      <x:c r="E29" s="11" t="str">
        <x:v>Final route screening and boundary</x:v>
      </x:c>
      <x:c r="F29" s="11" t="str">
        <x:v>Final route screening and boundary</x:v>
      </x:c>
      <x:c r="H29" s="36" t="str">
        <x:v>Final conclusion
Recommend partial sodium-cycle softening plus HCl polishing: reduce Ca from 0.080 to 0.030 mol/s (62.5% removal, with Na adjusted to 1.300 mol/s), then dose HCl at 0.0013 mol/s. This gives Calcite SI=-0.10385, Gypsum SI=-0.23064, Anhydrite SI=-0.52277 and equilibrium pH=6.889, satisfying every criterion. At 0.0012 mol/s, Calcite SI is still -0.06861, so 0.0013 mol/s is the minimum passing dose on the 1×10^-4 mol/s grid. It equals about 170.63 g/h pure HCl or 0.495 L/h of 30 wt% HCl at 1.15 kg/L. Acid-only treatment still leaves Gypsum SI=+0.16479 at 0.0035 mol/s and lowers pH to 6.430. Softening-only gives Calcite SI=+0.43625 at the allowed 70% removal; even 90% removal reaches only -0.04433, misses the -0.10 margin and violates the operating limit. Antiscalant-only treatment lacks model-internal efficacy evidence and is not recommended in this benchmark.</x:v>
      </x:c>
      <x:c r="I29" s="36" t="str">
        <x:v>Final conclusion
Recommend partial sodium-cycle softening plus HCl polishing: reduce Ca from 0.080 to 0.030 mol/s (62.5% removal, with Na adjusted to 1.300 mol/s), then dose HCl at 0.0013 mol/s. This gives Calcite SI=-0.10385, Gypsum SI=-0.23064, Anhydrite SI=-0.52277 and equilibrium pH=6.889, satisfying every criterion. At 0.0012 mol/s, Calcite SI is still -0.06861, so 0.0013 mol/s is the minimum passing dose on the 1×10^-4 mol/s grid. It equals about 170.63 g/h pure HCl or 0.495 L/h of 30 wt% HCl at 1.15 kg/L. Acid-only treatment still leaves Gypsum SI=+0.16479 at 0.0035 mol/s and lowers pH to 6.430. Softening-only gives Calcite SI=+0.43625 at the allowed 70% removal; even 90% removal reaches only -0.04433, misses the -0.10 margin and violates the operating limit. Antiscalant-only treatment lacks model-internal efficacy evidence and is not recommended in this benchmark.</x:v>
      </x:c>
      <x:c r="J29" s="36" t="str">
        <x:v>Final conclusion
Recommend partial sodium-cycle softening plus HCl polishing: reduce Ca from 0.080 to 0.030 mol/s (62.5% removal, with Na adjusted to 1.300 mol/s), then dose HCl at 0.0013 mol/s. This gives Calcite SI=-0.10385, Gypsum SI=-0.23064, Anhydrite SI=-0.52277 and equilibrium pH=6.889, satisfying every criterion. At 0.0012 mol/s, Calcite SI is still -0.06861, so 0.0013 mol/s is the minimum passing dose on the 1×10^-4 mol/s grid. It equals about 170.63 g/h pure HCl or 0.495 L/h of 30 wt% HCl at 1.15 kg/L. Acid-only treatment still leaves Gypsum SI=+0.16479 at 0.0035 mol/s and lowers pH to 6.430. Softening-only gives Calcite SI=+0.43625 at the allowed 70% removal; even 90% removal reaches only -0.04433, misses the -0.10 margin and violates the operating limit. Antiscalant-only treatment lacks model-internal efficacy evidence and is not recommended in this benchmark.</x:v>
      </x:c>
      <x:c r="K29" s="36" t="str">
        <x:v>Final conclusion
Recommend partial sodium-cycle softening plus HCl polishing: reduce Ca from 0.080 to 0.030 mol/s (62.5% removal, with Na adjusted to 1.300 mol/s), then dose HCl at 0.0013 mol/s. This gives Calcite SI=-0.10385, Gypsum SI=-0.23064, Anhydrite SI=-0.52277 and equilibrium pH=6.889, satisfying every criterion. At 0.0012 mol/s, Calcite SI is still -0.06861, so 0.0013 mol/s is the minimum passing dose on the 1×10^-4 mol/s grid. It equals about 170.63 g/h pure HCl or 0.495 L/h of 30 wt% HCl at 1.15 kg/L. Acid-only treatment still leaves Gypsum SI=+0.16479 at 0.0035 mol/s and lowers pH to 6.430. Softening-only gives Calcite SI=+0.43625 at the allowed 70% removal; even 90% removal reaches only -0.04433, misses the -0.10 margin and violates the operating limit. Antiscalant-only treatment lacks model-internal efficacy evidence and is not recommended in this benchmark.</x:v>
      </x:c>
      <x:c r="L29" s="36" t="str">
        <x:v>Final conclusion
Recommend partial sodium-cycle softening plus HCl polishing: reduce Ca from 0.080 to 0.030 mol/s (62.5% removal, with Na adjusted to 1.300 mol/s), then dose HCl at 0.0013 mol/s. This gives Calcite SI=-0.10385, Gypsum SI=-0.23064, Anhydrite SI=-0.52277 and equilibrium pH=6.889, satisfying every criterion. At 0.0012 mol/s, Calcite SI is still -0.06861, so 0.0013 mol/s is the minimum passing dose on the 1×10^-4 mol/s grid. It equals about 170.63 g/h pure HCl or 0.495 L/h of 30 wt% HCl at 1.15 kg/L. Acid-only treatment still leaves Gypsum SI=+0.16479 at 0.0035 mol/s and lowers pH to 6.430. Softening-only gives Calcite SI=+0.43625 at the allowed 70% removal; even 90% removal reaches only -0.04433, misses the -0.10 margin and violates the operating limit. Antiscalant-only treatment lacks model-internal efficacy evidence and is not recommended in this benchmark.</x:v>
      </x:c>
      <x:c r="M29" s="36" t="str">
        <x:v>Final conclusion
Recommend partial sodium-cycle softening plus HCl polishing: reduce Ca from 0.080 to 0.030 mol/s (62.5% removal, with Na adjusted to 1.300 mol/s), then dose HCl at 0.0013 mol/s. This gives Calcite SI=-0.10385, Gypsum SI=-0.23064, Anhydrite SI=-0.52277 and equilibrium pH=6.889, satisfying every criterion. At 0.0012 mol/s, Calcite SI is still -0.06861, so 0.0013 mol/s is the minimum passing dose on the 1×10^-4 mol/s grid. It equals about 170.63 g/h pure HCl or 0.495 L/h of 30 wt% HCl at 1.15 kg/L. Acid-only treatment still leaves Gypsum SI=+0.16479 at 0.0035 mol/s and lowers pH to 6.430. Softening-only gives Calcite SI=+0.43625 at the allowed 70% removal; even 90% removal reaches only -0.04433, misses the -0.10 margin and violates the operating limit. Antiscalant-only treatment lacks model-internal efficacy evidence and is not recommended in this benchmark.</x:v>
      </x:c>
      <x:c r="N29" s="36" t="str">
        <x:v>Final conclusion
Recommend partial sodium-cycle softening plus HCl polishing: reduce Ca from 0.080 to 0.030 mol/s (62.5% removal, with Na adjusted to 1.300 mol/s), then dose HCl at 0.0013 mol/s. This gives Calcite SI=-0.10385, Gypsum SI=-0.23064, Anhydrite SI=-0.52277 and equilibrium pH=6.889, satisfying every criterion. At 0.0012 mol/s, Calcite SI is still -0.06861, so 0.0013 mol/s is the minimum passing dose on the 1×10^-4 mol/s grid. It equals about 170.63 g/h pure HCl or 0.495 L/h of 30 wt% HCl at 1.15 kg/L. Acid-only treatment still leaves Gypsum SI=+0.16479 at 0.0035 mol/s and lowers pH to 6.430. Softening-only gives Calcite SI=+0.43625 at the allowed 70% removal; even 90% removal reaches only -0.04433, misses the -0.10 margin and violates the operating limit. Antiscalant-only treatment lacks model-internal efficacy evidence and is not recommended in this benchmark.</x:v>
      </x:c>
    </x:row>
    <x:row r="30">
      <x:c r="A30" s="17" t="str">
        <x:v>Route</x:v>
      </x:c>
      <x:c r="B30" s="17" t="str">
        <x:v>Key fail/pass point</x:v>
      </x:c>
      <x:c r="C30" s="17" t="str">
        <x:v>Calcite SI</x:v>
      </x:c>
      <x:c r="D30" s="17" t="str">
        <x:v>Gypsum SI</x:v>
      </x:c>
      <x:c r="E30" s="17" t="str">
        <x:v>Hard constraint</x:v>
      </x:c>
      <x:c r="F30" s="17" t="str">
        <x:v>Conclusion</x:v>
      </x:c>
      <x:c r="H30" s="36" t="str">
        <x:v>Final conclusion
Recommend partial sodium-cycle softening plus HCl polishing: reduce Ca from 0.080 to 0.030 mol/s (62.5% removal, with Na adjusted to 1.300 mol/s), then dose HCl at 0.0013 mol/s. This gives Calcite SI=-0.10385, Gypsum SI=-0.23064, Anhydrite SI=-0.52277 and equilibrium pH=6.889, satisfying every criterion. At 0.0012 mol/s, Calcite SI is still -0.06861, so 0.0013 mol/s is the minimum passing dose on the 1×10^-4 mol/s grid. It equals about 170.63 g/h pure HCl or 0.495 L/h of 30 wt% HCl at 1.15 kg/L. Acid-only treatment still leaves Gypsum SI=+0.16479 at 0.0035 mol/s and lowers pH to 6.430. Softening-only gives Calcite SI=+0.43625 at the allowed 70% removal; even 90% removal reaches only -0.04433, misses the -0.10 margin and violates the operating limit. Antiscalant-only treatment lacks model-internal efficacy evidence and is not recommended in this benchmark.</x:v>
      </x:c>
      <x:c r="I30" s="36" t="str">
        <x:v>Final conclusion
Recommend partial sodium-cycle softening plus HCl polishing: reduce Ca from 0.080 to 0.030 mol/s (62.5% removal, with Na adjusted to 1.300 mol/s), then dose HCl at 0.0013 mol/s. This gives Calcite SI=-0.10385, Gypsum SI=-0.23064, Anhydrite SI=-0.52277 and equilibrium pH=6.889, satisfying every criterion. At 0.0012 mol/s, Calcite SI is still -0.06861, so 0.0013 mol/s is the minimum passing dose on the 1×10^-4 mol/s grid. It equals about 170.63 g/h pure HCl or 0.495 L/h of 30 wt% HCl at 1.15 kg/L. Acid-only treatment still leaves Gypsum SI=+0.16479 at 0.0035 mol/s and lowers pH to 6.430. Softening-only gives Calcite SI=+0.43625 at the allowed 70% removal; even 90% removal reaches only -0.04433, misses the -0.10 margin and violates the operating limit. Antiscalant-only treatment lacks model-internal efficacy evidence and is not recommended in this benchmark.</x:v>
      </x:c>
      <x:c r="J30" s="36" t="str">
        <x:v>Final conclusion
Recommend partial sodium-cycle softening plus HCl polishing: reduce Ca from 0.080 to 0.030 mol/s (62.5% removal, with Na adjusted to 1.300 mol/s), then dose HCl at 0.0013 mol/s. This gives Calcite SI=-0.10385, Gypsum SI=-0.23064, Anhydrite SI=-0.52277 and equilibrium pH=6.889, satisfying every criterion. At 0.0012 mol/s, Calcite SI is still -0.06861, so 0.0013 mol/s is the minimum passing dose on the 1×10^-4 mol/s grid. It equals about 170.63 g/h pure HCl or 0.495 L/h of 30 wt% HCl at 1.15 kg/L. Acid-only treatment still leaves Gypsum SI=+0.16479 at 0.0035 mol/s and lowers pH to 6.430. Softening-only gives Calcite SI=+0.43625 at the allowed 70% removal; even 90% removal reaches only -0.04433, misses the -0.10 margin and violates the operating limit. Antiscalant-only treatment lacks model-internal efficacy evidence and is not recommended in this benchmark.</x:v>
      </x:c>
      <x:c r="K30" s="36" t="str">
        <x:v>Final conclusion
Recommend partial sodium-cycle softening plus HCl polishing: reduce Ca from 0.080 to 0.030 mol/s (62.5% removal, with Na adjusted to 1.300 mol/s), then dose HCl at 0.0013 mol/s. This gives Calcite SI=-0.10385, Gypsum SI=-0.23064, Anhydrite SI=-0.52277 and equilibrium pH=6.889, satisfying every criterion. At 0.0012 mol/s, Calcite SI is still -0.06861, so 0.0013 mol/s is the minimum passing dose on the 1×10^-4 mol/s grid. It equals about 170.63 g/h pure HCl or 0.495 L/h of 30 wt% HCl at 1.15 kg/L. Acid-only treatment still leaves Gypsum SI=+0.16479 at 0.0035 mol/s and lowers pH to 6.430. Softening-only gives Calcite SI=+0.43625 at the allowed 70% removal; even 90% removal reaches only -0.04433, misses the -0.10 margin and violates the operating limit. Antiscalant-only treatment lacks model-internal efficacy evidence and is not recommended in this benchmark.</x:v>
      </x:c>
      <x:c r="L30" s="36" t="str">
        <x:v>Final conclusion
Recommend partial sodium-cycle softening plus HCl polishing: reduce Ca from 0.080 to 0.030 mol/s (62.5% removal, with Na adjusted to 1.300 mol/s), then dose HCl at 0.0013 mol/s. This gives Calcite SI=-0.10385, Gypsum SI=-0.23064, Anhydrite SI=-0.52277 and equilibrium pH=6.889, satisfying every criterion. At 0.0012 mol/s, Calcite SI is still -0.06861, so 0.0013 mol/s is the minimum passing dose on the 1×10^-4 mol/s grid. It equals about 170.63 g/h pure HCl or 0.495 L/h of 30 wt% HCl at 1.15 kg/L. Acid-only treatment still leaves Gypsum SI=+0.16479 at 0.0035 mol/s and lowers pH to 6.430. Softening-only gives Calcite SI=+0.43625 at the allowed 70% removal; even 90% removal reaches only -0.04433, misses the -0.10 margin and violates the operating limit. Antiscalant-only treatment lacks model-internal efficacy evidence and is not recommended in this benchmark.</x:v>
      </x:c>
      <x:c r="M30" s="36" t="str">
        <x:v>Final conclusion
Recommend partial sodium-cycle softening plus HCl polishing: reduce Ca from 0.080 to 0.030 mol/s (62.5% removal, with Na adjusted to 1.300 mol/s), then dose HCl at 0.0013 mol/s. This gives Calcite SI=-0.10385, Gypsum SI=-0.23064, Anhydrite SI=-0.52277 and equilibrium pH=6.889, satisfying every criterion. At 0.0012 mol/s, Calcite SI is still -0.06861, so 0.0013 mol/s is the minimum passing dose on the 1×10^-4 mol/s grid. It equals about 170.63 g/h pure HCl or 0.495 L/h of 30 wt% HCl at 1.15 kg/L. Acid-only treatment still leaves Gypsum SI=+0.16479 at 0.0035 mol/s and lowers pH to 6.430. Softening-only gives Calcite SI=+0.43625 at the allowed 70% removal; even 90% removal reaches only -0.04433, misses the -0.10 margin and violates the operating limit. Antiscalant-only treatment lacks model-internal efficacy evidence and is not recommended in this benchmark.</x:v>
      </x:c>
      <x:c r="N30" s="36" t="str">
        <x:v>Final conclusion
Recommend partial sodium-cycle softening plus HCl polishing: reduce Ca from 0.080 to 0.030 mol/s (62.5% removal, with Na adjusted to 1.300 mol/s), then dose HCl at 0.0013 mol/s. This gives Calcite SI=-0.10385, Gypsum SI=-0.23064, Anhydrite SI=-0.52277 and equilibrium pH=6.889, satisfying every criterion. At 0.0012 mol/s, Calcite SI is still -0.06861, so 0.0013 mol/s is the minimum passing dose on the 1×10^-4 mol/s grid. It equals about 170.63 g/h pure HCl or 0.495 L/h of 30 wt% HCl at 1.15 kg/L. Acid-only treatment still leaves Gypsum SI=+0.16479 at 0.0035 mol/s and lowers pH to 6.430. Softening-only gives Calcite SI=+0.43625 at the allowed 70% removal; even 90% removal reaches only -0.04433, misses the -0.10 margin and violates the operating limit. Antiscalant-only treatment lacks model-internal efficacy evidence and is not recommended in this benchmark.</x:v>
      </x:c>
    </x:row>
    <x:row r="31" ht="49" customHeight="1">
      <x:c r="A31" s="21" t="str">
        <x:v>Acid only</x:v>
      </x:c>
      <x:c r="B31" s="21" t="str">
        <x:v>HCl 0.0035; pH 6.430</x:v>
      </x:c>
      <x:c r="C31" s="37" t="n">
        <x:f>G20</x:f>
        <x:v>-0.22560669864847668</x:v>
      </x:c>
      <x:c r="D31" s="37" t="n">
        <x:f>H20</x:f>
        <x:v>0.16479341752707205</x:v>
      </x:c>
      <x:c r="E31" s="21" t="str">
        <x:v>Gypsum≤-0.10; pH≥6.80</x:v>
      </x:c>
      <x:c r="F31" s="21" t="str">
        <x:v>Reject</x:v>
      </x:c>
      <x:c r="H31" s="36" t="str">
        <x:v>Final conclusion
Recommend partial sodium-cycle softening plus HCl polishing: reduce Ca from 0.080 to 0.030 mol/s (62.5% removal, with Na adjusted to 1.300 mol/s), then dose HCl at 0.0013 mol/s. This gives Calcite SI=-0.10385, Gypsum SI=-0.23064, Anhydrite SI=-0.52277 and equilibrium pH=6.889, satisfying every criterion. At 0.0012 mol/s, Calcite SI is still -0.06861, so 0.0013 mol/s is the minimum passing dose on the 1×10^-4 mol/s grid. It equals about 170.63 g/h pure HCl or 0.495 L/h of 30 wt% HCl at 1.15 kg/L. Acid-only treatment still leaves Gypsum SI=+0.16479 at 0.0035 mol/s and lowers pH to 6.430. Softening-only gives Calcite SI=+0.43625 at the allowed 70% removal; even 90% removal reaches only -0.04433, misses the -0.10 margin and violates the operating limit. Antiscalant-only treatment lacks model-internal efficacy evidence and is not recommended in this benchmark.</x:v>
      </x:c>
      <x:c r="I31" s="36" t="str">
        <x:v>Final conclusion
Recommend partial sodium-cycle softening plus HCl polishing: reduce Ca from 0.080 to 0.030 mol/s (62.5% removal, with Na adjusted to 1.300 mol/s), then dose HCl at 0.0013 mol/s. This gives Calcite SI=-0.10385, Gypsum SI=-0.23064, Anhydrite SI=-0.52277 and equilibrium pH=6.889, satisfying every criterion. At 0.0012 mol/s, Calcite SI is still -0.06861, so 0.0013 mol/s is the minimum passing dose on the 1×10^-4 mol/s grid. It equals about 170.63 g/h pure HCl or 0.495 L/h of 30 wt% HCl at 1.15 kg/L. Acid-only treatment still leaves Gypsum SI=+0.16479 at 0.0035 mol/s and lowers pH to 6.430. Softening-only gives Calcite SI=+0.43625 at the allowed 70% removal; even 90% removal reaches only -0.04433, misses the -0.10 margin and violates the operating limit. Antiscalant-only treatment lacks model-internal efficacy evidence and is not recommended in this benchmark.</x:v>
      </x:c>
      <x:c r="J31" s="36" t="str">
        <x:v>Final conclusion
Recommend partial sodium-cycle softening plus HCl polishing: reduce Ca from 0.080 to 0.030 mol/s (62.5% removal, with Na adjusted to 1.300 mol/s), then dose HCl at 0.0013 mol/s. This gives Calcite SI=-0.10385, Gypsum SI=-0.23064, Anhydrite SI=-0.52277 and equilibrium pH=6.889, satisfying every criterion. At 0.0012 mol/s, Calcite SI is still -0.06861, so 0.0013 mol/s is the minimum passing dose on the 1×10^-4 mol/s grid. It equals about 170.63 g/h pure HCl or 0.495 L/h of 30 wt% HCl at 1.15 kg/L. Acid-only treatment still leaves Gypsum SI=+0.16479 at 0.0035 mol/s and lowers pH to 6.430. Softening-only gives Calcite SI=+0.43625 at the allowed 70% removal; even 90% removal reaches only -0.04433, misses the -0.10 margin and violates the operating limit. Antiscalant-only treatment lacks model-internal efficacy evidence and is not recommended in this benchmark.</x:v>
      </x:c>
      <x:c r="K31" s="36" t="str">
        <x:v>Final conclusion
Recommend partial sodium-cycle softening plus HCl polishing: reduce Ca from 0.080 to 0.030 mol/s (62.5% removal, with Na adjusted to 1.300 mol/s), then dose HCl at 0.0013 mol/s. This gives Calcite SI=-0.10385, Gypsum SI=-0.23064, Anhydrite SI=-0.52277 and equilibrium pH=6.889, satisfying every criterion. At 0.0012 mol/s, Calcite SI is still -0.06861, so 0.0013 mol/s is the minimum passing dose on the 1×10^-4 mol/s grid. It equals about 170.63 g/h pure HCl or 0.495 L/h of 30 wt% HCl at 1.15 kg/L. Acid-only treatment still leaves Gypsum SI=+0.16479 at 0.0035 mol/s and lowers pH to 6.430. Softening-only gives Calcite SI=+0.43625 at the allowed 70% removal; even 90% removal reaches only -0.04433, misses the -0.10 margin and violates the operating limit. Antiscalant-only treatment lacks model-internal efficacy evidence and is not recommended in this benchmark.</x:v>
      </x:c>
      <x:c r="L31" s="36" t="str">
        <x:v>Final conclusion
Recommend partial sodium-cycle softening plus HCl polishing: reduce Ca from 0.080 to 0.030 mol/s (62.5% removal, with Na adjusted to 1.300 mol/s), then dose HCl at 0.0013 mol/s. This gives Calcite SI=-0.10385, Gypsum SI=-0.23064, Anhydrite SI=-0.52277 and equilibrium pH=6.889, satisfying every criterion. At 0.0012 mol/s, Calcite SI is still -0.06861, so 0.0013 mol/s is the minimum passing dose on the 1×10^-4 mol/s grid. It equals about 170.63 g/h pure HCl or 0.495 L/h of 30 wt% HCl at 1.15 kg/L. Acid-only treatment still leaves Gypsum SI=+0.16479 at 0.0035 mol/s and lowers pH to 6.430. Softening-only gives Calcite SI=+0.43625 at the allowed 70% removal; even 90% removal reaches only -0.04433, misses the -0.10 margin and violates the operating limit. Antiscalant-only treatment lacks model-internal efficacy evidence and is not recommended in this benchmark.</x:v>
      </x:c>
      <x:c r="M31" s="36" t="str">
        <x:v>Final conclusion
Recommend partial sodium-cycle softening plus HCl polishing: reduce Ca from 0.080 to 0.030 mol/s (62.5% removal, with Na adjusted to 1.300 mol/s), then dose HCl at 0.0013 mol/s. This gives Calcite SI=-0.10385, Gypsum SI=-0.23064, Anhydrite SI=-0.52277 and equilibrium pH=6.889, satisfying every criterion. At 0.0012 mol/s, Calcite SI is still -0.06861, so 0.0013 mol/s is the minimum passing dose on the 1×10^-4 mol/s grid. It equals about 170.63 g/h pure HCl or 0.495 L/h of 30 wt% HCl at 1.15 kg/L. Acid-only treatment still leaves Gypsum SI=+0.16479 at 0.0035 mol/s and lowers pH to 6.430. Softening-only gives Calcite SI=+0.43625 at the allowed 70% removal; even 90% removal reaches only -0.04433, misses the -0.10 margin and violates the operating limit. Antiscalant-only treatment lacks model-internal efficacy evidence and is not recommended in this benchmark.</x:v>
      </x:c>
      <x:c r="N31" s="36" t="str">
        <x:v>Final conclusion
Recommend partial sodium-cycle softening plus HCl polishing: reduce Ca from 0.080 to 0.030 mol/s (62.5% removal, with Na adjusted to 1.300 mol/s), then dose HCl at 0.0013 mol/s. This gives Calcite SI=-0.10385, Gypsum SI=-0.23064, Anhydrite SI=-0.52277 and equilibrium pH=6.889, satisfying every criterion. At 0.0012 mol/s, Calcite SI is still -0.06861, so 0.0013 mol/s is the minimum passing dose on the 1×10^-4 mol/s grid. It equals about 170.63 g/h pure HCl or 0.495 L/h of 30 wt% HCl at 1.15 kg/L. Acid-only treatment still leaves Gypsum SI=+0.16479 at 0.0035 mol/s and lowers pH to 6.430. Softening-only gives Calcite SI=+0.43625 at the allowed 70% removal; even 90% removal reaches only -0.04433, misses the -0.10 margin and violates the operating limit. Antiscalant-only treatment lacks model-internal efficacy evidence and is not recommended in this benchmark.</x:v>
      </x:c>
    </x:row>
    <x:row r="32" ht="49" customHeight="1">
      <x:c r="A32" s="21" t="str">
        <x:v>Softening only</x:v>
      </x:c>
      <x:c r="B32" s="21" t="str">
        <x:v>70% allowed cap; 90% counterfactual</x:v>
      </x:c>
      <x:c r="C32" s="37" t="n">
        <x:f>G21</x:f>
        <x:v>0.4362531133112686</x:v>
      </x:c>
      <x:c r="D32" s="37" t="n">
        <x:f>H21</x:f>
        <x:v>-0.3239083740397195</x:v>
      </x:c>
      <x:c r="E32" s="21" t="str">
        <x:v>Ca removal≤70%; Calcite≤-0.10</x:v>
      </x:c>
      <x:c r="F32" s="21" t="str">
        <x:v>Reject</x:v>
      </x:c>
      <x:c r="H32" s="36" t="str">
        <x:v>Final conclusion
Recommend partial sodium-cycle softening plus HCl polishing: reduce Ca from 0.080 to 0.030 mol/s (62.5% removal, with Na adjusted to 1.300 mol/s), then dose HCl at 0.0013 mol/s. This gives Calcite SI=-0.10385, Gypsum SI=-0.23064, Anhydrite SI=-0.52277 and equilibrium pH=6.889, satisfying every criterion. At 0.0012 mol/s, Calcite SI is still -0.06861, so 0.0013 mol/s is the minimum passing dose on the 1×10^-4 mol/s grid. It equals about 170.63 g/h pure HCl or 0.495 L/h of 30 wt% HCl at 1.15 kg/L. Acid-only treatment still leaves Gypsum SI=+0.16479 at 0.0035 mol/s and lowers pH to 6.430. Softening-only gives Calcite SI=+0.43625 at the allowed 70% removal; even 90% removal reaches only -0.04433, misses the -0.10 margin and violates the operating limit. Antiscalant-only treatment lacks model-internal efficacy evidence and is not recommended in this benchmark.</x:v>
      </x:c>
      <x:c r="I32" s="36" t="str">
        <x:v>Final conclusion
Recommend partial sodium-cycle softening plus HCl polishing: reduce Ca from 0.080 to 0.030 mol/s (62.5% removal, with Na adjusted to 1.300 mol/s), then dose HCl at 0.0013 mol/s. This gives Calcite SI=-0.10385, Gypsum SI=-0.23064, Anhydrite SI=-0.52277 and equilibrium pH=6.889, satisfying every criterion. At 0.0012 mol/s, Calcite SI is still -0.06861, so 0.0013 mol/s is the minimum passing dose on the 1×10^-4 mol/s grid. It equals about 170.63 g/h pure HCl or 0.495 L/h of 30 wt% HCl at 1.15 kg/L. Acid-only treatment still leaves Gypsum SI=+0.16479 at 0.0035 mol/s and lowers pH to 6.430. Softening-only gives Calcite SI=+0.43625 at the allowed 70% removal; even 90% removal reaches only -0.04433, misses the -0.10 margin and violates the operating limit. Antiscalant-only treatment lacks model-internal efficacy evidence and is not recommended in this benchmark.</x:v>
      </x:c>
      <x:c r="J32" s="36" t="str">
        <x:v>Final conclusion
Recommend partial sodium-cycle softening plus HCl polishing: reduce Ca from 0.080 to 0.030 mol/s (62.5% removal, with Na adjusted to 1.300 mol/s), then dose HCl at 0.0013 mol/s. This gives Calcite SI=-0.10385, Gypsum SI=-0.23064, Anhydrite SI=-0.52277 and equilibrium pH=6.889, satisfying every criterion. At 0.0012 mol/s, Calcite SI is still -0.06861, so 0.0013 mol/s is the minimum passing dose on the 1×10^-4 mol/s grid. It equals about 170.63 g/h pure HCl or 0.495 L/h of 30 wt% HCl at 1.15 kg/L. Acid-only treatment still leaves Gypsum SI=+0.16479 at 0.0035 mol/s and lowers pH to 6.430. Softening-only gives Calcite SI=+0.43625 at the allowed 70% removal; even 90% removal reaches only -0.04433, misses the -0.10 margin and violates the operating limit. Antiscalant-only treatment lacks model-internal efficacy evidence and is not recommended in this benchmark.</x:v>
      </x:c>
      <x:c r="K32" s="36" t="str">
        <x:v>Final conclusion
Recommend partial sodium-cycle softening plus HCl polishing: reduce Ca from 0.080 to 0.030 mol/s (62.5% removal, with Na adjusted to 1.300 mol/s), then dose HCl at 0.0013 mol/s. This gives Calcite SI=-0.10385, Gypsum SI=-0.23064, Anhydrite SI=-0.52277 and equilibrium pH=6.889, satisfying every criterion. At 0.0012 mol/s, Calcite SI is still -0.06861, so 0.0013 mol/s is the minimum passing dose on the 1×10^-4 mol/s grid. It equals about 170.63 g/h pure HCl or 0.495 L/h of 30 wt% HCl at 1.15 kg/L. Acid-only treatment still leaves Gypsum SI=+0.16479 at 0.0035 mol/s and lowers pH to 6.430. Softening-only gives Calcite SI=+0.43625 at the allowed 70% removal; even 90% removal reaches only -0.04433, misses the -0.10 margin and violates the operating limit. Antiscalant-only treatment lacks model-internal efficacy evidence and is not recommended in this benchmark.</x:v>
      </x:c>
      <x:c r="L32" s="36" t="str">
        <x:v>Final conclusion
Recommend partial sodium-cycle softening plus HCl polishing: reduce Ca from 0.080 to 0.030 mol/s (62.5% removal, with Na adjusted to 1.300 mol/s), then dose HCl at 0.0013 mol/s. This gives Calcite SI=-0.10385, Gypsum SI=-0.23064, Anhydrite SI=-0.52277 and equilibrium pH=6.889, satisfying every criterion. At 0.0012 mol/s, Calcite SI is still -0.06861, so 0.0013 mol/s is the minimum passing dose on the 1×10^-4 mol/s grid. It equals about 170.63 g/h pure HCl or 0.495 L/h of 30 wt% HCl at 1.15 kg/L. Acid-only treatment still leaves Gypsum SI=+0.16479 at 0.0035 mol/s and lowers pH to 6.430. Softening-only gives Calcite SI=+0.43625 at the allowed 70% removal; even 90% removal reaches only -0.04433, misses the -0.10 margin and violates the operating limit. Antiscalant-only treatment lacks model-internal efficacy evidence and is not recommended in this benchmark.</x:v>
      </x:c>
      <x:c r="M32" s="36" t="str">
        <x:v>Final conclusion
Recommend partial sodium-cycle softening plus HCl polishing: reduce Ca from 0.080 to 0.030 mol/s (62.5% removal, with Na adjusted to 1.300 mol/s), then dose HCl at 0.0013 mol/s. This gives Calcite SI=-0.10385, Gypsum SI=-0.23064, Anhydrite SI=-0.52277 and equilibrium pH=6.889, satisfying every criterion. At 0.0012 mol/s, Calcite SI is still -0.06861, so 0.0013 mol/s is the minimum passing dose on the 1×10^-4 mol/s grid. It equals about 170.63 g/h pure HCl or 0.495 L/h of 30 wt% HCl at 1.15 kg/L. Acid-only treatment still leaves Gypsum SI=+0.16479 at 0.0035 mol/s and lowers pH to 6.430. Softening-only gives Calcite SI=+0.43625 at the allowed 70% removal; even 90% removal reaches only -0.04433, misses the -0.10 margin and violates the operating limit. Antiscalant-only treatment lacks model-internal efficacy evidence and is not recommended in this benchmark.</x:v>
      </x:c>
      <x:c r="N32" s="36" t="str">
        <x:v>Final conclusion
Recommend partial sodium-cycle softening plus HCl polishing: reduce Ca from 0.080 to 0.030 mol/s (62.5% removal, with Na adjusted to 1.300 mol/s), then dose HCl at 0.0013 mol/s. This gives Calcite SI=-0.10385, Gypsum SI=-0.23064, Anhydrite SI=-0.52277 and equilibrium pH=6.889, satisfying every criterion. At 0.0012 mol/s, Calcite SI is still -0.06861, so 0.0013 mol/s is the minimum passing dose on the 1×10^-4 mol/s grid. It equals about 170.63 g/h pure HCl or 0.495 L/h of 30 wt% HCl at 1.15 kg/L. Acid-only treatment still leaves Gypsum SI=+0.16479 at 0.0035 mol/s and lowers pH to 6.430. Softening-only gives Calcite SI=+0.43625 at the allowed 70% removal; even 90% removal reaches only -0.04433, misses the -0.10 margin and violates the operating limit. Antiscalant-only treatment lacks model-internal efficacy evidence and is not recommended in this benchmark.</x:v>
      </x:c>
    </x:row>
    <x:row r="33" ht="49" customHeight="1">
      <x:c r="A33" s="21" t="str">
        <x:v>Hybrid lower side</x:v>
      </x:c>
      <x:c r="B33" s="21" t="str">
        <x:v>Ca 0.030 + HCl 0.0012</x:v>
      </x:c>
      <x:c r="C33" s="37" t="n">
        <x:f>G26</x:f>
        <x:v>-0.06860826029098793</x:v>
      </x:c>
      <x:c r="D33" s="37" t="n">
        <x:f>H26</x:f>
        <x:v>-0.2306354764265177</x:v>
      </x:c>
      <x:c r="E33" s="21" t="str">
        <x:v>Calcite≤-0.10</x:v>
      </x:c>
      <x:c r="F33" s="21" t="str">
        <x:v>Fail</x:v>
      </x:c>
      <x:c r="H33" s="36" t="str">
        <x:v>Final conclusion
Recommend partial sodium-cycle softening plus HCl polishing: reduce Ca from 0.080 to 0.030 mol/s (62.5% removal, with Na adjusted to 1.300 mol/s), then dose HCl at 0.0013 mol/s. This gives Calcite SI=-0.10385, Gypsum SI=-0.23064, Anhydrite SI=-0.52277 and equilibrium pH=6.889, satisfying every criterion. At 0.0012 mol/s, Calcite SI is still -0.06861, so 0.0013 mol/s is the minimum passing dose on the 1×10^-4 mol/s grid. It equals about 170.63 g/h pure HCl or 0.495 L/h of 30 wt% HCl at 1.15 kg/L. Acid-only treatment still leaves Gypsum SI=+0.16479 at 0.0035 mol/s and lowers pH to 6.430. Softening-only gives Calcite SI=+0.43625 at the allowed 70% removal; even 90% removal reaches only -0.04433, misses the -0.10 margin and violates the operating limit. Antiscalant-only treatment lacks model-internal efficacy evidence and is not recommended in this benchmark.</x:v>
      </x:c>
      <x:c r="I33" s="36" t="str">
        <x:v>Final conclusion
Recommend partial sodium-cycle softening plus HCl polishing: reduce Ca from 0.080 to 0.030 mol/s (62.5% removal, with Na adjusted to 1.300 mol/s), then dose HCl at 0.0013 mol/s. This gives Calcite SI=-0.10385, Gypsum SI=-0.23064, Anhydrite SI=-0.52277 and equilibrium pH=6.889, satisfying every criterion. At 0.0012 mol/s, Calcite SI is still -0.06861, so 0.0013 mol/s is the minimum passing dose on the 1×10^-4 mol/s grid. It equals about 170.63 g/h pure HCl or 0.495 L/h of 30 wt% HCl at 1.15 kg/L. Acid-only treatment still leaves Gypsum SI=+0.16479 at 0.0035 mol/s and lowers pH to 6.430. Softening-only gives Calcite SI=+0.43625 at the allowed 70% removal; even 90% removal reaches only -0.04433, misses the -0.10 margin and violates the operating limit. Antiscalant-only treatment lacks model-internal efficacy evidence and is not recommended in this benchmark.</x:v>
      </x:c>
      <x:c r="J33" s="36" t="str">
        <x:v>Final conclusion
Recommend partial sodium-cycle softening plus HCl polishing: reduce Ca from 0.080 to 0.030 mol/s (62.5% removal, with Na adjusted to 1.300 mol/s), then dose HCl at 0.0013 mol/s. This gives Calcite SI=-0.10385, Gypsum SI=-0.23064, Anhydrite SI=-0.52277 and equilibrium pH=6.889, satisfying every criterion. At 0.0012 mol/s, Calcite SI is still -0.06861, so 0.0013 mol/s is the minimum passing dose on the 1×10^-4 mol/s grid. It equals about 170.63 g/h pure HCl or 0.495 L/h of 30 wt% HCl at 1.15 kg/L. Acid-only treatment still leaves Gypsum SI=+0.16479 at 0.0035 mol/s and lowers pH to 6.430. Softening-only gives Calcite SI=+0.43625 at the allowed 70% removal; even 90% removal reaches only -0.04433, misses the -0.10 margin and violates the operating limit. Antiscalant-only treatment lacks model-internal efficacy evidence and is not recommended in this benchmark.</x:v>
      </x:c>
      <x:c r="K33" s="36" t="str">
        <x:v>Final conclusion
Recommend partial sodium-cycle softening plus HCl polishing: reduce Ca from 0.080 to 0.030 mol/s (62.5% removal, with Na adjusted to 1.300 mol/s), then dose HCl at 0.0013 mol/s. This gives Calcite SI=-0.10385, Gypsum SI=-0.23064, Anhydrite SI=-0.52277 and equilibrium pH=6.889, satisfying every criterion. At 0.0012 mol/s, Calcite SI is still -0.06861, so 0.0013 mol/s is the minimum passing dose on the 1×10^-4 mol/s grid. It equals about 170.63 g/h pure HCl or 0.495 L/h of 30 wt% HCl at 1.15 kg/L. Acid-only treatment still leaves Gypsum SI=+0.16479 at 0.0035 mol/s and lowers pH to 6.430. Softening-only gives Calcite SI=+0.43625 at the allowed 70% removal; even 90% removal reaches only -0.04433, misses the -0.10 margin and violates the operating limit. Antiscalant-only treatment lacks model-internal efficacy evidence and is not recommended in this benchmark.</x:v>
      </x:c>
      <x:c r="L33" s="36" t="str">
        <x:v>Final conclusion
Recommend partial sodium-cycle softening plus HCl polishing: reduce Ca from 0.080 to 0.030 mol/s (62.5% removal, with Na adjusted to 1.300 mol/s), then dose HCl at 0.0013 mol/s. This gives Calcite SI=-0.10385, Gypsum SI=-0.23064, Anhydrite SI=-0.52277 and equilibrium pH=6.889, satisfying every criterion. At 0.0012 mol/s, Calcite SI is still -0.06861, so 0.0013 mol/s is the minimum passing dose on the 1×10^-4 mol/s grid. It equals about 170.63 g/h pure HCl or 0.495 L/h of 30 wt% HCl at 1.15 kg/L. Acid-only treatment still leaves Gypsum SI=+0.16479 at 0.0035 mol/s and lowers pH to 6.430. Softening-only gives Calcite SI=+0.43625 at the allowed 70% removal; even 90% removal reaches only -0.04433, misses the -0.10 margin and violates the operating limit. Antiscalant-only treatment lacks model-internal efficacy evidence and is not recommended in this benchmark.</x:v>
      </x:c>
      <x:c r="M33" s="36" t="str">
        <x:v>Final conclusion
Recommend partial sodium-cycle softening plus HCl polishing: reduce Ca from 0.080 to 0.030 mol/s (62.5% removal, with Na adjusted to 1.300 mol/s), then dose HCl at 0.0013 mol/s. This gives Calcite SI=-0.10385, Gypsum SI=-0.23064, Anhydrite SI=-0.52277 and equilibrium pH=6.889, satisfying every criterion. At 0.0012 mol/s, Calcite SI is still -0.06861, so 0.0013 mol/s is the minimum passing dose on the 1×10^-4 mol/s grid. It equals about 170.63 g/h pure HCl or 0.495 L/h of 30 wt% HCl at 1.15 kg/L. Acid-only treatment still leaves Gypsum SI=+0.16479 at 0.0035 mol/s and lowers pH to 6.430. Softening-only gives Calcite SI=+0.43625 at the allowed 70% removal; even 90% removal reaches only -0.04433, misses the -0.10 margin and violates the operating limit. Antiscalant-only treatment lacks model-internal efficacy evidence and is not recommended in this benchmark.</x:v>
      </x:c>
      <x:c r="N33" s="36" t="str">
        <x:v>Final conclusion
Recommend partial sodium-cycle softening plus HCl polishing: reduce Ca from 0.080 to 0.030 mol/s (62.5% removal, with Na adjusted to 1.300 mol/s), then dose HCl at 0.0013 mol/s. This gives Calcite SI=-0.10385, Gypsum SI=-0.23064, Anhydrite SI=-0.52277 and equilibrium pH=6.889, satisfying every criterion. At 0.0012 mol/s, Calcite SI is still -0.06861, so 0.0013 mol/s is the minimum passing dose on the 1×10^-4 mol/s grid. It equals about 170.63 g/h pure HCl or 0.495 L/h of 30 wt% HCl at 1.15 kg/L. Acid-only treatment still leaves Gypsum SI=+0.16479 at 0.0035 mol/s and lowers pH to 6.430. Softening-only gives Calcite SI=+0.43625 at the allowed 70% removal; even 90% removal reaches only -0.04433, misses the -0.10 margin and violates the operating limit. Antiscalant-only treatment lacks model-internal efficacy evidence and is not recommended in this benchmark.</x:v>
      </x:c>
    </x:row>
    <x:row r="34" ht="49" customHeight="1">
      <x:c r="A34" s="21" t="str">
        <x:v>Hybrid passing</x:v>
      </x:c>
      <x:c r="B34" s="21" t="str">
        <x:v>Ca 0.030 + HCl 0.0013</x:v>
      </x:c>
      <x:c r="C34" s="37" t="n">
        <x:f>G27</x:f>
        <x:v>-0.10385299155230501</x:v>
      </x:c>
      <x:c r="D34" s="37" t="n">
        <x:f>H27</x:f>
        <x:v>-0.23063770364200395</x:v>
      </x:c>
      <x:c r="E34" s="21" t="str">
        <x:v>All criteria</x:v>
      </x:c>
      <x:c r="F34" s="21" t="str">
        <x:v>Recommend</x:v>
      </x:c>
      <x:c r="H34" s="36" t="str">
        <x:v>Final conclusion
Recommend partial sodium-cycle softening plus HCl polishing: reduce Ca from 0.080 to 0.030 mol/s (62.5% removal, with Na adjusted to 1.300 mol/s), then dose HCl at 0.0013 mol/s. This gives Calcite SI=-0.10385, Gypsum SI=-0.23064, Anhydrite SI=-0.52277 and equilibrium pH=6.889, satisfying every criterion. At 0.0012 mol/s, Calcite SI is still -0.06861, so 0.0013 mol/s is the minimum passing dose on the 1×10^-4 mol/s grid. It equals about 170.63 g/h pure HCl or 0.495 L/h of 30 wt% HCl at 1.15 kg/L. Acid-only treatment still leaves Gypsum SI=+0.16479 at 0.0035 mol/s and lowers pH to 6.430. Softening-only gives Calcite SI=+0.43625 at the allowed 70% removal; even 90% removal reaches only -0.04433, misses the -0.10 margin and violates the operating limit. Antiscalant-only treatment lacks model-internal efficacy evidence and is not recommended in this benchmark.</x:v>
      </x:c>
      <x:c r="I34" s="36" t="str">
        <x:v>Final conclusion
Recommend partial sodium-cycle softening plus HCl polishing: reduce Ca from 0.080 to 0.030 mol/s (62.5% removal, with Na adjusted to 1.300 mol/s), then dose HCl at 0.0013 mol/s. This gives Calcite SI=-0.10385, Gypsum SI=-0.23064, Anhydrite SI=-0.52277 and equilibrium pH=6.889, satisfying every criterion. At 0.0012 mol/s, Calcite SI is still -0.06861, so 0.0013 mol/s is the minimum passing dose on the 1×10^-4 mol/s grid. It equals about 170.63 g/h pure HCl or 0.495 L/h of 30 wt% HCl at 1.15 kg/L. Acid-only treatment still leaves Gypsum SI=+0.16479 at 0.0035 mol/s and lowers pH to 6.430. Softening-only gives Calcite SI=+0.43625 at the allowed 70% removal; even 90% removal reaches only -0.04433, misses the -0.10 margin and violates the operating limit. Antiscalant-only treatment lacks model-internal efficacy evidence and is not recommended in this benchmark.</x:v>
      </x:c>
      <x:c r="J34" s="36" t="str">
        <x:v>Final conclusion
Recommend partial sodium-cycle softening plus HCl polishing: reduce Ca from 0.080 to 0.030 mol/s (62.5% removal, with Na adjusted to 1.300 mol/s), then dose HCl at 0.0013 mol/s. This gives Calcite SI=-0.10385, Gypsum SI=-0.23064, Anhydrite SI=-0.52277 and equilibrium pH=6.889, satisfying every criterion. At 0.0012 mol/s, Calcite SI is still -0.06861, so 0.0013 mol/s is the minimum passing dose on the 1×10^-4 mol/s grid. It equals about 170.63 g/h pure HCl or 0.495 L/h of 30 wt% HCl at 1.15 kg/L. Acid-only treatment still leaves Gypsum SI=+0.16479 at 0.0035 mol/s and lowers pH to 6.430. Softening-only gives Calcite SI=+0.43625 at the allowed 70% removal; even 90% removal reaches only -0.04433, misses the -0.10 margin and violates the operating limit. Antiscalant-only treatment lacks model-internal efficacy evidence and is not recommended in this benchmark.</x:v>
      </x:c>
      <x:c r="K34" s="36" t="str">
        <x:v>Final conclusion
Recommend partial sodium-cycle softening plus HCl polishing: reduce Ca from 0.080 to 0.030 mol/s (62.5% removal, with Na adjusted to 1.300 mol/s), then dose HCl at 0.0013 mol/s. This gives Calcite SI=-0.10385, Gypsum SI=-0.23064, Anhydrite SI=-0.52277 and equilibrium pH=6.889, satisfying every criterion. At 0.0012 mol/s, Calcite SI is still -0.06861, so 0.0013 mol/s is the minimum passing dose on the 1×10^-4 mol/s grid. It equals about 170.63 g/h pure HCl or 0.495 L/h of 30 wt% HCl at 1.15 kg/L. Acid-only treatment still leaves Gypsum SI=+0.16479 at 0.0035 mol/s and lowers pH to 6.430. Softening-only gives Calcite SI=+0.43625 at the allowed 70% removal; even 90% removal reaches only -0.04433, misses the -0.10 margin and violates the operating limit. Antiscalant-only treatment lacks model-internal efficacy evidence and is not recommended in this benchmark.</x:v>
      </x:c>
      <x:c r="L34" s="36" t="str">
        <x:v>Final conclusion
Recommend partial sodium-cycle softening plus HCl polishing: reduce Ca from 0.080 to 0.030 mol/s (62.5% removal, with Na adjusted to 1.300 mol/s), then dose HCl at 0.0013 mol/s. This gives Calcite SI=-0.10385, Gypsum SI=-0.23064, Anhydrite SI=-0.52277 and equilibrium pH=6.889, satisfying every criterion. At 0.0012 mol/s, Calcite SI is still -0.06861, so 0.0013 mol/s is the minimum passing dose on the 1×10^-4 mol/s grid. It equals about 170.63 g/h pure HCl or 0.495 L/h of 30 wt% HCl at 1.15 kg/L. Acid-only treatment still leaves Gypsum SI=+0.16479 at 0.0035 mol/s and lowers pH to 6.430. Softening-only gives Calcite SI=+0.43625 at the allowed 70% removal; even 90% removal reaches only -0.04433, misses the -0.10 margin and violates the operating limit. Antiscalant-only treatment lacks model-internal efficacy evidence and is not recommended in this benchmark.</x:v>
      </x:c>
      <x:c r="M34" s="36" t="str">
        <x:v>Final conclusion
Recommend partial sodium-cycle softening plus HCl polishing: reduce Ca from 0.080 to 0.030 mol/s (62.5% removal, with Na adjusted to 1.300 mol/s), then dose HCl at 0.0013 mol/s. This gives Calcite SI=-0.10385, Gypsum SI=-0.23064, Anhydrite SI=-0.52277 and equilibrium pH=6.889, satisfying every criterion. At 0.0012 mol/s, Calcite SI is still -0.06861, so 0.0013 mol/s is the minimum passing dose on the 1×10^-4 mol/s grid. It equals about 170.63 g/h pure HCl or 0.495 L/h of 30 wt% HCl at 1.15 kg/L. Acid-only treatment still leaves Gypsum SI=+0.16479 at 0.0035 mol/s and lowers pH to 6.430. Softening-only gives Calcite SI=+0.43625 at the allowed 70% removal; even 90% removal reaches only -0.04433, misses the -0.10 margin and violates the operating limit. Antiscalant-only treatment lacks model-internal efficacy evidence and is not recommended in this benchmark.</x:v>
      </x:c>
      <x:c r="N34" s="36" t="str">
        <x:v>Final conclusion
Recommend partial sodium-cycle softening plus HCl polishing: reduce Ca from 0.080 to 0.030 mol/s (62.5% removal, with Na adjusted to 1.300 mol/s), then dose HCl at 0.0013 mol/s. This gives Calcite SI=-0.10385, Gypsum SI=-0.23064, Anhydrite SI=-0.52277 and equilibrium pH=6.889, satisfying every criterion. At 0.0012 mol/s, Calcite SI is still -0.06861, so 0.0013 mol/s is the minimum passing dose on the 1×10^-4 mol/s grid. It equals about 170.63 g/h pure HCl or 0.495 L/h of 30 wt% HCl at 1.15 kg/L. Acid-only treatment still leaves Gypsum SI=+0.16479 at 0.0035 mol/s and lowers pH to 6.430. Softening-only gives Calcite SI=+0.43625 at the allowed 70% removal; even 90% removal reaches only -0.04433, misses the -0.10 margin and violates the operating limit. Antiscalant-only treatment lacks model-internal efficacy evidence and is not recommended in this benchmark.</x:v>
      </x:c>
    </x:row>
    <x:row r="35" ht="49" customHeight="1">
      <x:c r="A35" s="21" t="str">
        <x:v>Antiscalant only</x:v>
      </x:c>
      <x:c r="B35" s="21" t="str">
        <x:v>No equilibrium efficacy model</x:v>
      </x:c>
      <x:c r="C35" s="21" t="str">
        <x:v>-</x:v>
      </x:c>
      <x:c r="D35" s="21" t="str">
        <x:v>-</x:v>
      </x:c>
      <x:c r="E35" s="21" t="str">
        <x:v>Vendor guarantee/dynamic test required</x:v>
      </x:c>
      <x:c r="F35" s="21" t="str">
        <x:v>Not recommended in-model</x:v>
      </x:c>
      <x:c r="H35" s="36" t="str">
        <x:v>Final conclusion
Recommend partial sodium-cycle softening plus HCl polishing: reduce Ca from 0.080 to 0.030 mol/s (62.5% removal, with Na adjusted to 1.300 mol/s), then dose HCl at 0.0013 mol/s. This gives Calcite SI=-0.10385, Gypsum SI=-0.23064, Anhydrite SI=-0.52277 and equilibrium pH=6.889, satisfying every criterion. At 0.0012 mol/s, Calcite SI is still -0.06861, so 0.0013 mol/s is the minimum passing dose on the 1×10^-4 mol/s grid. It equals about 170.63 g/h pure HCl or 0.495 L/h of 30 wt% HCl at 1.15 kg/L. Acid-only treatment still leaves Gypsum SI=+0.16479 at 0.0035 mol/s and lowers pH to 6.430. Softening-only gives Calcite SI=+0.43625 at the allowed 70% removal; even 90% removal reaches only -0.04433, misses the -0.10 margin and violates the operating limit. Antiscalant-only treatment lacks model-internal efficacy evidence and is not recommended in this benchmark.</x:v>
      </x:c>
      <x:c r="I35" s="36" t="str">
        <x:v>Final conclusion
Recommend partial sodium-cycle softening plus HCl polishing: reduce Ca from 0.080 to 0.030 mol/s (62.5% removal, with Na adjusted to 1.300 mol/s), then dose HCl at 0.0013 mol/s. This gives Calcite SI=-0.10385, Gypsum SI=-0.23064, Anhydrite SI=-0.52277 and equilibrium pH=6.889, satisfying every criterion. At 0.0012 mol/s, Calcite SI is still -0.06861, so 0.0013 mol/s is the minimum passing dose on the 1×10^-4 mol/s grid. It equals about 170.63 g/h pure HCl or 0.495 L/h of 30 wt% HCl at 1.15 kg/L. Acid-only treatment still leaves Gypsum SI=+0.16479 at 0.0035 mol/s and lowers pH to 6.430. Softening-only gives Calcite SI=+0.43625 at the allowed 70% removal; even 90% removal reaches only -0.04433, misses the -0.10 margin and violates the operating limit. Antiscalant-only treatment lacks model-internal efficacy evidence and is not recommended in this benchmark.</x:v>
      </x:c>
      <x:c r="J35" s="36" t="str">
        <x:v>Final conclusion
Recommend partial sodium-cycle softening plus HCl polishing: reduce Ca from 0.080 to 0.030 mol/s (62.5% removal, with Na adjusted to 1.300 mol/s), then dose HCl at 0.0013 mol/s. This gives Calcite SI=-0.10385, Gypsum SI=-0.23064, Anhydrite SI=-0.52277 and equilibrium pH=6.889, satisfying every criterion. At 0.0012 mol/s, Calcite SI is still -0.06861, so 0.0013 mol/s is the minimum passing dose on the 1×10^-4 mol/s grid. It equals about 170.63 g/h pure HCl or 0.495 L/h of 30 wt% HCl at 1.15 kg/L. Acid-only treatment still leaves Gypsum SI=+0.16479 at 0.0035 mol/s and lowers pH to 6.430. Softening-only gives Calcite SI=+0.43625 at the allowed 70% removal; even 90% removal reaches only -0.04433, misses the -0.10 margin and violates the operating limit. Antiscalant-only treatment lacks model-internal efficacy evidence and is not recommended in this benchmark.</x:v>
      </x:c>
      <x:c r="K35" s="36" t="str">
        <x:v>Final conclusion
Recommend partial sodium-cycle softening plus HCl polishing: reduce Ca from 0.080 to 0.030 mol/s (62.5% removal, with Na adjusted to 1.300 mol/s), then dose HCl at 0.0013 mol/s. This gives Calcite SI=-0.10385, Gypsum SI=-0.23064, Anhydrite SI=-0.52277 and equilibrium pH=6.889, satisfying every criterion. At 0.0012 mol/s, Calcite SI is still -0.06861, so 0.0013 mol/s is the minimum passing dose on the 1×10^-4 mol/s grid. It equals about 170.63 g/h pure HCl or 0.495 L/h of 30 wt% HCl at 1.15 kg/L. Acid-only treatment still leaves Gypsum SI=+0.16479 at 0.0035 mol/s and lowers pH to 6.430. Softening-only gives Calcite SI=+0.43625 at the allowed 70% removal; even 90% removal reaches only -0.04433, misses the -0.10 margin and violates the operating limit. Antiscalant-only treatment lacks model-internal efficacy evidence and is not recommended in this benchmark.</x:v>
      </x:c>
      <x:c r="L35" s="36" t="str">
        <x:v>Final conclusion
Recommend partial sodium-cycle softening plus HCl polishing: reduce Ca from 0.080 to 0.030 mol/s (62.5% removal, with Na adjusted to 1.300 mol/s), then dose HCl at 0.0013 mol/s. This gives Calcite SI=-0.10385, Gypsum SI=-0.23064, Anhydrite SI=-0.52277 and equilibrium pH=6.889, satisfying every criterion. At 0.0012 mol/s, Calcite SI is still -0.06861, so 0.0013 mol/s is the minimum passing dose on the 1×10^-4 mol/s grid. It equals about 170.63 g/h pure HCl or 0.495 L/h of 30 wt% HCl at 1.15 kg/L. Acid-only treatment still leaves Gypsum SI=+0.16479 at 0.0035 mol/s and lowers pH to 6.430. Softening-only gives Calcite SI=+0.43625 at the allowed 70% removal; even 90% removal reaches only -0.04433, misses the -0.10 margin and violates the operating limit. Antiscalant-only treatment lacks model-internal efficacy evidence and is not recommended in this benchmark.</x:v>
      </x:c>
      <x:c r="M35" s="36" t="str">
        <x:v>Final conclusion
Recommend partial sodium-cycle softening plus HCl polishing: reduce Ca from 0.080 to 0.030 mol/s (62.5% removal, with Na adjusted to 1.300 mol/s), then dose HCl at 0.0013 mol/s. This gives Calcite SI=-0.10385, Gypsum SI=-0.23064, Anhydrite SI=-0.52277 and equilibrium pH=6.889, satisfying every criterion. At 0.0012 mol/s, Calcite SI is still -0.06861, so 0.0013 mol/s is the minimum passing dose on the 1×10^-4 mol/s grid. It equals about 170.63 g/h pure HCl or 0.495 L/h of 30 wt% HCl at 1.15 kg/L. Acid-only treatment still leaves Gypsum SI=+0.16479 at 0.0035 mol/s and lowers pH to 6.430. Softening-only gives Calcite SI=+0.43625 at the allowed 70% removal; even 90% removal reaches only -0.04433, misses the -0.10 margin and violates the operating limit. Antiscalant-only treatment lacks model-internal efficacy evidence and is not recommended in this benchmark.</x:v>
      </x:c>
      <x:c r="N35" s="36" t="str">
        <x:v>Final conclusion
Recommend partial sodium-cycle softening plus HCl polishing: reduce Ca from 0.080 to 0.030 mol/s (62.5% removal, with Na adjusted to 1.300 mol/s), then dose HCl at 0.0013 mol/s. This gives Calcite SI=-0.10385, Gypsum SI=-0.23064, Anhydrite SI=-0.52277 and equilibrium pH=6.889, satisfying every criterion. At 0.0012 mol/s, Calcite SI is still -0.06861, so 0.0013 mol/s is the minimum passing dose on the 1×10^-4 mol/s grid. It equals about 170.63 g/h pure HCl or 0.495 L/h of 30 wt% HCl at 1.15 kg/L. Acid-only treatment still leaves Gypsum SI=+0.16479 at 0.0035 mol/s and lowers pH to 6.430. Softening-only gives Calcite SI=+0.43625 at the allowed 70% removal; even 90% removal reaches only -0.04433, misses the -0.10 margin and violates the operating limit. Antiscalant-only treatment lacks model-internal efficacy evidence and is not recommended in this benchmark.</x:v>
      </x:c>
    </x:row>
  </x:sheetData>
  <x:mergeCells>
    <x:mergeCell ref="A1:S2"/>
    <x:mergeCell ref="A4:S6"/>
    <x:mergeCell ref="A8:G8"/>
    <x:mergeCell ref="A17:N17"/>
    <x:mergeCell ref="A29:F29"/>
    <x:mergeCell ref="H29:N35"/>
  </x:mergeCells>
  <x:conditionalFormatting sqref="N19:N27">
    <x:cfRule type="containsText" dxfId="0" priority="1" operator="containsText" text="PASS"/>
  </x:conditionalFormatting>
  <x:pageMargins left="0.7" right="0.7" top="0.75" bottom="0.75" header="0.3" footer="0.3"/>
  <x:drawing xmlns:r="http://schemas.openxmlformats.org/officeDocument/2006/relationships" r:id="Rc633a0ad872e481d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39" hidden="0" customWidth="1"/>
    <x:col min="3" max="3" width="61" hidden="0" customWidth="1"/>
    <x:col min="4" max="4" width="50" hidden="0" customWidth="1"/>
    <x:col min="5" max="5" width="52" hidden="0" customWidth="1"/>
    <x:col min="6" max="6" width="11" hidden="0" customWidth="1"/>
    <x:col min="7" max="7" width="11" hidden="0" customWidth="1"/>
  </x:cols>
  <x:sheetData>
    <x:row r="1" ht="26" customHeight="1">
      <x:c r="A1" s="4" t="str">
        <x:v>D5-5b: Trajectory Quality Rubric (100 points)</x:v>
      </x:c>
      <x:c r="B1" s="4" t="str">
        <x:v>D5-5b: Trajectory Quality Rubric (100 points)</x:v>
      </x:c>
      <x:c r="C1" s="4" t="str">
        <x:v>D5-5b: Trajectory Quality Rubric (100 points)</x:v>
      </x:c>
      <x:c r="D1" s="4" t="str">
        <x:v>D5-5b: Trajectory Quality Rubric (100 points)</x:v>
      </x:c>
      <x:c r="E1" s="4" t="str">
        <x:v>D5-5b: Trajectory Quality Rubric (100 points)</x:v>
      </x:c>
      <x:c r="F1" s="4" t="str">
        <x:v>D5-5b: Trajectory Quality Rubric (100 points)</x:v>
      </x:c>
      <x:c r="G1" s="4" t="str">
        <x:v>D5-5b: Trajectory Quality Rubric (100 points)</x:v>
      </x:c>
    </x:row>
    <x:row r="2" ht="26" customHeight="1">
      <x:c r="A2" s="4" t="str">
        <x:v>D5-5b: Trajectory Quality Rubric (100 points)</x:v>
      </x:c>
      <x:c r="B2" s="4" t="str">
        <x:v>D5-5b: Trajectory Quality Rubric (100 points)</x:v>
      </x:c>
      <x:c r="C2" s="4" t="str">
        <x:v>D5-5b: Trajectory Quality Rubric (100 points)</x:v>
      </x:c>
      <x:c r="D2" s="4" t="str">
        <x:v>D5-5b: Trajectory Quality Rubric (100 points)</x:v>
      </x:c>
      <x:c r="E2" s="4" t="str">
        <x:v>D5-5b: Trajectory Quality Rubric (100 points)</x:v>
      </x:c>
      <x:c r="F2" s="4" t="str">
        <x:v>D5-5b: Trajectory Quality Rubric (100 points)</x:v>
      </x:c>
      <x:c r="G2" s="4" t="str">
        <x:v>D5-5b: Trajectory Quality Rubric (100 points)</x:v>
      </x:c>
    </x:row>
    <x:row r="4">
      <x:c r="A4" s="32" t="str">
        <x:v>Evaluate the complete state→plan→tool call→observation→update→pruning→decision trajectory. The goal is not exhaustive enumeration; it is mechanism-based pruning and adjacent-point proof of the hybrid boundary.</x:v>
      </x:c>
      <x:c r="B4" s="32" t="str">
        <x:v>Evaluate the complete state→plan→tool call→observation→update→pruning→decision trajectory. The goal is not exhaustive enumeration; it is mechanism-based pruning and adjacent-point proof of the hybrid boundary.</x:v>
      </x:c>
      <x:c r="C4" s="32" t="str">
        <x:v>Evaluate the complete state→plan→tool call→observation→update→pruning→decision trajectory. The goal is not exhaustive enumeration; it is mechanism-based pruning and adjacent-point proof of the hybrid boundary.</x:v>
      </x:c>
      <x:c r="D4" s="32" t="str">
        <x:v>Evaluate the complete state→plan→tool call→observation→update→pruning→decision trajectory. The goal is not exhaustive enumeration; it is mechanism-based pruning and adjacent-point proof of the hybrid boundary.</x:v>
      </x:c>
      <x:c r="E4" s="32" t="str">
        <x:v>Evaluate the complete state→plan→tool call→observation→update→pruning→decision trajectory. The goal is not exhaustive enumeration; it is mechanism-based pruning and adjacent-point proof of the hybrid boundary.</x:v>
      </x:c>
      <x:c r="F4" s="32" t="str">
        <x:v>Evaluate the complete state→plan→tool call→observation→update→pruning→decision trajectory. The goal is not exhaustive enumeration; it is mechanism-based pruning and adjacent-point proof of the hybrid boundary.</x:v>
      </x:c>
      <x:c r="G4" s="32" t="str">
        <x:v>Evaluate the complete state→plan→tool call→observation→update→pruning→decision trajectory. The goal is not exhaustive enumeration; it is mechanism-based pruning and adjacent-point proof of the hybrid boundary.</x:v>
      </x:c>
    </x:row>
    <x:row r="5">
      <x:c r="A5" s="32" t="str">
        <x:v>Evaluate the complete state→plan→tool call→observation→update→pruning→decision trajectory. The goal is not exhaustive enumeration; it is mechanism-based pruning and adjacent-point proof of the hybrid boundary.</x:v>
      </x:c>
      <x:c r="B5" s="32" t="str">
        <x:v>Evaluate the complete state→plan→tool call→observation→update→pruning→decision trajectory. The goal is not exhaustive enumeration; it is mechanism-based pruning and adjacent-point proof of the hybrid boundary.</x:v>
      </x:c>
      <x:c r="C5" s="32" t="str">
        <x:v>Evaluate the complete state→plan→tool call→observation→update→pruning→decision trajectory. The goal is not exhaustive enumeration; it is mechanism-based pruning and adjacent-point proof of the hybrid boundary.</x:v>
      </x:c>
      <x:c r="D5" s="32" t="str">
        <x:v>Evaluate the complete state→plan→tool call→observation→update→pruning→decision trajectory. The goal is not exhaustive enumeration; it is mechanism-based pruning and adjacent-point proof of the hybrid boundary.</x:v>
      </x:c>
      <x:c r="E5" s="32" t="str">
        <x:v>Evaluate the complete state→plan→tool call→observation→update→pruning→decision trajectory. The goal is not exhaustive enumeration; it is mechanism-based pruning and adjacent-point proof of the hybrid boundary.</x:v>
      </x:c>
      <x:c r="F5" s="32" t="str">
        <x:v>Evaluate the complete state→plan→tool call→observation→update→pruning→decision trajectory. The goal is not exhaustive enumeration; it is mechanism-based pruning and adjacent-point proof of the hybrid boundary.</x:v>
      </x:c>
      <x:c r="G5" s="32" t="str">
        <x:v>Evaluate the complete state→plan→tool call→observation→update→pruning→decision trajectory. The goal is not exhaustive enumeration; it is mechanism-based pruning and adjacent-point proof of the hybrid boundary.</x:v>
      </x:c>
    </x:row>
    <x:row r="6">
      <x:c r="A6" s="32" t="str">
        <x:v>Evaluate the complete state→plan→tool call→observation→update→pruning→decision trajectory. The goal is not exhaustive enumeration; it is mechanism-based pruning and adjacent-point proof of the hybrid boundary.</x:v>
      </x:c>
      <x:c r="B6" s="32" t="str">
        <x:v>Evaluate the complete state→plan→tool call→observation→update→pruning→decision trajectory. The goal is not exhaustive enumeration; it is mechanism-based pruning and adjacent-point proof of the hybrid boundary.</x:v>
      </x:c>
      <x:c r="C6" s="32" t="str">
        <x:v>Evaluate the complete state→plan→tool call→observation→update→pruning→decision trajectory. The goal is not exhaustive enumeration; it is mechanism-based pruning and adjacent-point proof of the hybrid boundary.</x:v>
      </x:c>
      <x:c r="D6" s="32" t="str">
        <x:v>Evaluate the complete state→plan→tool call→observation→update→pruning→decision trajectory. The goal is not exhaustive enumeration; it is mechanism-based pruning and adjacent-point proof of the hybrid boundary.</x:v>
      </x:c>
      <x:c r="E6" s="32" t="str">
        <x:v>Evaluate the complete state→plan→tool call→observation→update→pruning→decision trajectory. The goal is not exhaustive enumeration; it is mechanism-based pruning and adjacent-point proof of the hybrid boundary.</x:v>
      </x:c>
      <x:c r="F6" s="32" t="str">
        <x:v>Evaluate the complete state→plan→tool call→observation→update→pruning→decision trajectory. The goal is not exhaustive enumeration; it is mechanism-based pruning and adjacent-point proof of the hybrid boundary.</x:v>
      </x:c>
      <x:c r="G6" s="32" t="str">
        <x:v>Evaluate the complete state→plan→tool call→observation→update→pruning→decision trajectory. The goal is not exhaustive enumeration; it is mechanism-based pruning and adjacent-point proof of the hybrid boundary.</x:v>
      </x:c>
    </x:row>
    <x:row r="8">
      <x:c r="A8" s="17" t="str">
        <x:v>Trajectory dimension</x:v>
      </x:c>
      <x:c r="B8" s="17" t="str">
        <x:v>Evaluation focus</x:v>
      </x:c>
      <x:c r="C8" s="17" t="str">
        <x:v>Full-credit evidence</x:v>
      </x:c>
      <x:c r="D8" s="17" t="str">
        <x:v>Partial credit</x:v>
      </x:c>
      <x:c r="E8" s="17" t="str">
        <x:v>Critical failure mode</x:v>
      </x:c>
      <x:c r="F8" s="17" t="str">
        <x:v>Weight</x:v>
      </x:c>
      <x:c r="G8" s="17" t="str">
        <x:v>Score</x:v>
      </x:c>
    </x:row>
    <x:row r="9" ht="82" customHeight="1">
      <x:c r="A9" s="21" t="str">
        <x:v>TQ1 Problem representation</x:v>
      </x:c>
      <x:c r="B9" s="21" t="str">
        <x:v>Identify dual scales, pH and softening cap</x:v>
      </x:c>
      <x:c r="C9" s="21" t="str">
        <x:v>Baseline Calcite and Gypsum risks; Anhydrite safe; four criteria plus 70% cap stated</x:v>
      </x:c>
      <x:c r="D9" s="21" t="str">
        <x:v>Main risk found but one constraint omitted</x:v>
      </x:c>
      <x:c r="E9" s="21" t="str">
        <x:v>Check Calcite only or re-optimize recovery</x:v>
      </x:c>
      <x:c r="F9" s="21" t="n">
        <x:v>15</x:v>
      </x:c>
      <x:c r="G9" s="21"/>
    </x:row>
    <x:row r="10" ht="82" customHeight="1">
      <x:c r="A10" s="21" t="str">
        <x:v>TQ2 Mechanism and plan</x:v>
      </x:c>
      <x:c r="B10" s="21" t="str">
        <x:v>Decompose routes by chemistry</x:v>
      </x:c>
      <x:c r="C10" s="21" t="str">
        <x:v>Use acid screen for sulfate scale, softening screen for Ca/operability, then hybrid dose boundary</x:v>
      </x:c>
      <x:c r="D10" s="21" t="str">
        <x:v>Reasonable comparison but unclear stopping rules</x:v>
      </x:c>
      <x:c r="E10" s="21" t="str">
        <x:v>Blind full-combination grid</x:v>
      </x:c>
      <x:c r="F10" s="21" t="n">
        <x:v>15</x:v>
      </x:c>
      <x:c r="G10" s="21"/>
    </x:row>
    <x:row r="11" ht="82" customHeight="1">
      <x:c r="A11" s="21" t="str">
        <x:v>TQ3 Tool-call correctness</x:v>
      </x:c>
      <x:c r="B11" s="21" t="str">
        <x:v>Keep composition, pH, recovery, minerals and charge compensation correct</x:v>
      </x:c>
      <x:c r="C11" s="21" t="str">
        <x:v>All non-target inputs fixed; add 2 mol Na per mol Ca removed; check all three minerals</x:v>
      </x:c>
      <x:c r="D11" s="21" t="str">
        <x:v>Minor non-controlling deviation</x:v>
      </x:c>
      <x:c r="E11" s="21" t="str">
        <x:v>Unexplained co-changes or unit errors</x:v>
      </x:c>
      <x:c r="F11" s="21" t="n">
        <x:v>20</x:v>
      </x:c>
      <x:c r="G11" s="21"/>
    </x:row>
    <x:row r="12" ht="82" customHeight="1">
      <x:c r="A12" s="21" t="str">
        <x:v>TQ4 Observation and pruning</x:v>
      </x:c>
      <x:c r="B12" s="21" t="str">
        <x:v>Use SI and pH to reject branches</x:v>
      </x:c>
      <x:c r="C12" s="21" t="str">
        <x:v>Reject acid-only on Gypsum/pH; reject 70% softening; 90% still misses margin and violates limit</x:v>
      </x:c>
      <x:c r="D12" s="21" t="str">
        <x:v>Mostly correct with one missing counterfactual</x:v>
      </x:c>
      <x:c r="E12" s="21" t="str">
        <x:v>Call acid-only safe once Calcite is negative</x:v>
      </x:c>
      <x:c r="F12" s="21" t="n">
        <x:v>20</x:v>
      </x:c>
      <x:c r="G12" s="21"/>
    </x:row>
    <x:row r="13" ht="82" customHeight="1">
      <x:c r="A13" s="21" t="str">
        <x:v>TQ5 Hybrid boundary</x:v>
      </x:c>
      <x:c r="B13" s="21" t="str">
        <x:v>Prove minimum HCl with adjacent points</x:v>
      </x:c>
      <x:c r="C13" s="21" t="str">
        <x:v>0.0012 gives Calcite -0.06861 fail; 0.0013 gives -0.10385 pass; other SI and pH pass</x:v>
      </x:c>
      <x:c r="D13" s="21" t="str">
        <x:v>Right dose but missing adjacent failure</x:v>
      </x:c>
      <x:c r="E13" s="21" t="str">
        <x:v>Arbitrary dose or ignored pH</x:v>
      </x:c>
      <x:c r="F13" s="21" t="n">
        <x:v>20</x:v>
      </x:c>
      <x:c r="G13" s="21"/>
    </x:row>
    <x:row r="14" ht="82" customHeight="1">
      <x:c r="A14" s="21" t="str">
        <x:v>TQ6 Decision and scope</x:v>
      </x:c>
      <x:c r="B14" s="21" t="str">
        <x:v>Give actionable recommendation and model boundary</x:v>
      </x:c>
      <x:c r="C14" s="21" t="str">
        <x:v>Recommend 62.5% partial softening +0.0013 mol/s HCl; 170.63 g/h; 0.495 L/h; note antiscalant kinetics</x:v>
      </x:c>
      <x:c r="D14" s="21" t="str">
        <x:v>Right conclusion but one conversion/scope point missing</x:v>
      </x:c>
      <x:c r="E14" s="21" t="str">
        <x:v>Recommend a failing route or claim modeled antiscalant efficacy</x:v>
      </x:c>
      <x:c r="F14" s="21" t="n">
        <x:v>10</x:v>
      </x:c>
      <x:c r="G14" s="21"/>
    </x:row>
    <x:row r="17">
      <x:c r="A17" s="11" t="str">
        <x:v>Gold-answer anchors</x:v>
      </x:c>
      <x:c r="B17" s="11" t="str">
        <x:v>Gold-answer anchors</x:v>
      </x:c>
      <x:c r="C17" s="11" t="str">
        <x:v>Gold-answer anchors</x:v>
      </x:c>
      <x:c r="D17" s="11" t="str">
        <x:v>Gold-answer anchors</x:v>
      </x:c>
      <x:c r="E17" s="11" t="str">
        <x:v>Gold-answer anchors</x:v>
      </x:c>
      <x:c r="F17" s="11" t="str">
        <x:v>Gold-answer anchors</x:v>
      </x:c>
      <x:c r="G17" s="11" t="str">
        <x:v>Gold-answer anchors</x:v>
      </x:c>
    </x:row>
    <x:row r="18" ht="50" customHeight="1">
      <x:c r="A18" s="21" t="str">
        <x:v>Tool evidence</x:v>
      </x:c>
      <x:c r="B18" s="21" t="str">
        <x:v>Nine reference equilibrate_feed calls</x:v>
      </x:c>
      <x:c r="C18" s="21"/>
      <x:c r="D18" s="21"/>
      <x:c r="E18" s="21"/>
      <x:c r="F18" s="21"/>
      <x:c r="G18" s="21"/>
    </x:row>
    <x:row r="19" ht="50" customHeight="1">
      <x:c r="A19" s="21" t="str">
        <x:v>Recommended route</x:v>
      </x:c>
      <x:c r="B19" s="21" t="str">
        <x:v>Ca 0.030 mol/s (62.5% removal) + HCl 0.0013 mol/s</x:v>
      </x:c>
      <x:c r="C19" s="21"/>
      <x:c r="D19" s="21"/>
      <x:c r="E19" s="21"/>
      <x:c r="F19" s="21"/>
      <x:c r="G19" s="21"/>
    </x:row>
    <x:row r="20" ht="50" customHeight="1">
      <x:c r="A20" s="21" t="str">
        <x:v>Key result</x:v>
      </x:c>
      <x:c r="B20" s="21" t="str">
        <x:v>Calcite -0.10385; Gypsum -0.23064; pH 6.889</x:v>
      </x:c>
      <x:c r="C20" s="21"/>
      <x:c r="D20" s="21"/>
      <x:c r="E20" s="21"/>
      <x:c r="F20" s="21"/>
      <x:c r="G20" s="21"/>
    </x:row>
    <x:row r="21" ht="90" customHeight="1">
      <x:c r="A21" s="21" t="str">
        <x:v>Model boundary</x:v>
      </x:c>
      <x:c r="B21" s="21" t="str">
        <x:v>Scope: water recovery=0.50 is supplied by upstream RO design; this task evaluates Reaktoro-PSE chemistry only. Softening is represented by reducing Ca and adding charge-equivalent Na. This simplified treated-water composition does not model resin capacity, regenerant, sludge or whole-plant economics. Antiscalants act on nucleation and crystal-growth kinetics, which equilibrate_feed does not model; without a vendor guarantee and dynamic testing, antiscalant-only treatment cannot replace the thermodynamic criteria used here.</x:v>
      </x:c>
      <x:c r="C21" s="21"/>
      <x:c r="D21" s="21"/>
      <x:c r="E21" s="21"/>
      <x:c r="F21" s="21"/>
      <x:c r="G21" s="21"/>
    </x:row>
  </x:sheetData>
  <x:mergeCells>
    <x:mergeCell ref="A1:G2"/>
    <x:mergeCell ref="A4:G6"/>
    <x:mergeCell ref="A17:G17"/>
    <x:mergeCell ref="B18:G18"/>
    <x:mergeCell ref="B19:G19"/>
    <x:mergeCell ref="B20:G20"/>
    <x:mergeCell ref="B21:G2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41" hidden="0" customWidth="1"/>
    <x:col min="3" max="3" width="59" hidden="0" customWidth="1"/>
    <x:col min="4" max="4" width="49" hidden="0" customWidth="1"/>
    <x:col min="5" max="5" width="50" hidden="0" customWidth="1"/>
    <x:col min="6" max="6" width="58" hidden="0" customWidth="1"/>
    <x:col min="7" max="7" width="11" hidden="0" customWidth="1"/>
  </x:cols>
  <x:sheetData>
    <x:row r="1" ht="26" customHeight="1">
      <x:c r="A1" s="4" t="str">
        <x:v>D5-5b: Tool Usage Efficiency (100 points)</x:v>
      </x:c>
      <x:c r="B1" s="4" t="str">
        <x:v>D5-5b: Tool Usage Efficiency (100 points)</x:v>
      </x:c>
      <x:c r="C1" s="4" t="str">
        <x:v>D5-5b: Tool Usage Efficiency (100 points)</x:v>
      </x:c>
      <x:c r="D1" s="4" t="str">
        <x:v>D5-5b: Tool Usage Efficiency (100 points)</x:v>
      </x:c>
      <x:c r="E1" s="4" t="str">
        <x:v>D5-5b: Tool Usage Efficiency (100 points)</x:v>
      </x:c>
      <x:c r="F1" s="4" t="str">
        <x:v>D5-5b: Tool Usage Efficiency (100 points)</x:v>
      </x:c>
      <x:c r="G1" s="4" t="str">
        <x:v>D5-5b: Tool Usage Efficiency (100 points)</x:v>
      </x:c>
    </x:row>
    <x:row r="2" ht="26" customHeight="1">
      <x:c r="A2" s="4" t="str">
        <x:v>D5-5b: Tool Usage Efficiency (100 points)</x:v>
      </x:c>
      <x:c r="B2" s="4" t="str">
        <x:v>D5-5b: Tool Usage Efficiency (100 points)</x:v>
      </x:c>
      <x:c r="C2" s="4" t="str">
        <x:v>D5-5b: Tool Usage Efficiency (100 points)</x:v>
      </x:c>
      <x:c r="D2" s="4" t="str">
        <x:v>D5-5b: Tool Usage Efficiency (100 points)</x:v>
      </x:c>
      <x:c r="E2" s="4" t="str">
        <x:v>D5-5b: Tool Usage Efficiency (100 points)</x:v>
      </x:c>
      <x:c r="F2" s="4" t="str">
        <x:v>D5-5b: Tool Usage Efficiency (100 points)</x:v>
      </x:c>
      <x:c r="G2" s="4" t="str">
        <x:v>D5-5b: Tool Usage Efficiency (100 points)</x:v>
      </x:c>
    </x:row>
    <x:row r="4">
      <x:c r="A4" s="32" t="str">
        <x:v>The main scientific tool is equilibrate_feed; describe_reaktoro_options is used only to confirm inputs, minerals and acidification behavior. The efficient reference trajectory uses nine chemistry calls: screen routes by mechanism first, then refine only the viable hybrid boundary.</x:v>
      </x:c>
      <x:c r="B4" s="32" t="str">
        <x:v>The main scientific tool is equilibrate_feed; describe_reaktoro_options is used only to confirm inputs, minerals and acidification behavior. The efficient reference trajectory uses nine chemistry calls: screen routes by mechanism first, then refine only the viable hybrid boundary.</x:v>
      </x:c>
      <x:c r="C4" s="32" t="str">
        <x:v>The main scientific tool is equilibrate_feed; describe_reaktoro_options is used only to confirm inputs, minerals and acidification behavior. The efficient reference trajectory uses nine chemistry calls: screen routes by mechanism first, then refine only the viable hybrid boundary.</x:v>
      </x:c>
      <x:c r="D4" s="32" t="str">
        <x:v>The main scientific tool is equilibrate_feed; describe_reaktoro_options is used only to confirm inputs, minerals and acidification behavior. The efficient reference trajectory uses nine chemistry calls: screen routes by mechanism first, then refine only the viable hybrid boundary.</x:v>
      </x:c>
      <x:c r="E4" s="32" t="str">
        <x:v>The main scientific tool is equilibrate_feed; describe_reaktoro_options is used only to confirm inputs, minerals and acidification behavior. The efficient reference trajectory uses nine chemistry calls: screen routes by mechanism first, then refine only the viable hybrid boundary.</x:v>
      </x:c>
      <x:c r="F4" s="32" t="str">
        <x:v>The main scientific tool is equilibrate_feed; describe_reaktoro_options is used only to confirm inputs, minerals and acidification behavior. The efficient reference trajectory uses nine chemistry calls: screen routes by mechanism first, then refine only the viable hybrid boundary.</x:v>
      </x:c>
      <x:c r="G4" s="32" t="str">
        <x:v>The main scientific tool is equilibrate_feed; describe_reaktoro_options is used only to confirm inputs, minerals and acidification behavior. The efficient reference trajectory uses nine chemistry calls: screen routes by mechanism first, then refine only the viable hybrid boundary.</x:v>
      </x:c>
    </x:row>
    <x:row r="5">
      <x:c r="A5" s="32" t="str">
        <x:v>The main scientific tool is equilibrate_feed; describe_reaktoro_options is used only to confirm inputs, minerals and acidification behavior. The efficient reference trajectory uses nine chemistry calls: screen routes by mechanism first, then refine only the viable hybrid boundary.</x:v>
      </x:c>
      <x:c r="B5" s="32" t="str">
        <x:v>The main scientific tool is equilibrate_feed; describe_reaktoro_options is used only to confirm inputs, minerals and acidification behavior. The efficient reference trajectory uses nine chemistry calls: screen routes by mechanism first, then refine only the viable hybrid boundary.</x:v>
      </x:c>
      <x:c r="C5" s="32" t="str">
        <x:v>The main scientific tool is equilibrate_feed; describe_reaktoro_options is used only to confirm inputs, minerals and acidification behavior. The efficient reference trajectory uses nine chemistry calls: screen routes by mechanism first, then refine only the viable hybrid boundary.</x:v>
      </x:c>
      <x:c r="D5" s="32" t="str">
        <x:v>The main scientific tool is equilibrate_feed; describe_reaktoro_options is used only to confirm inputs, minerals and acidification behavior. The efficient reference trajectory uses nine chemistry calls: screen routes by mechanism first, then refine only the viable hybrid boundary.</x:v>
      </x:c>
      <x:c r="E5" s="32" t="str">
        <x:v>The main scientific tool is equilibrate_feed; describe_reaktoro_options is used only to confirm inputs, minerals and acidification behavior. The efficient reference trajectory uses nine chemistry calls: screen routes by mechanism first, then refine only the viable hybrid boundary.</x:v>
      </x:c>
      <x:c r="F5" s="32" t="str">
        <x:v>The main scientific tool is equilibrate_feed; describe_reaktoro_options is used only to confirm inputs, minerals and acidification behavior. The efficient reference trajectory uses nine chemistry calls: screen routes by mechanism first, then refine only the viable hybrid boundary.</x:v>
      </x:c>
      <x:c r="G5" s="32" t="str">
        <x:v>The main scientific tool is equilibrate_feed; describe_reaktoro_options is used only to confirm inputs, minerals and acidification behavior. The efficient reference trajectory uses nine chemistry calls: screen routes by mechanism first, then refine only the viable hybrid boundary.</x:v>
      </x:c>
    </x:row>
    <x:row r="6">
      <x:c r="A6" s="32" t="str">
        <x:v>The main scientific tool is equilibrate_feed; describe_reaktoro_options is used only to confirm inputs, minerals and acidification behavior. The efficient reference trajectory uses nine chemistry calls: screen routes by mechanism first, then refine only the viable hybrid boundary.</x:v>
      </x:c>
      <x:c r="B6" s="32" t="str">
        <x:v>The main scientific tool is equilibrate_feed; describe_reaktoro_options is used only to confirm inputs, minerals and acidification behavior. The efficient reference trajectory uses nine chemistry calls: screen routes by mechanism first, then refine only the viable hybrid boundary.</x:v>
      </x:c>
      <x:c r="C6" s="32" t="str">
        <x:v>The main scientific tool is equilibrate_feed; describe_reaktoro_options is used only to confirm inputs, minerals and acidification behavior. The efficient reference trajectory uses nine chemistry calls: screen routes by mechanism first, then refine only the viable hybrid boundary.</x:v>
      </x:c>
      <x:c r="D6" s="32" t="str">
        <x:v>The main scientific tool is equilibrate_feed; describe_reaktoro_options is used only to confirm inputs, minerals and acidification behavior. The efficient reference trajectory uses nine chemistry calls: screen routes by mechanism first, then refine only the viable hybrid boundary.</x:v>
      </x:c>
      <x:c r="E6" s="32" t="str">
        <x:v>The main scientific tool is equilibrate_feed; describe_reaktoro_options is used only to confirm inputs, minerals and acidification behavior. The efficient reference trajectory uses nine chemistry calls: screen routes by mechanism first, then refine only the viable hybrid boundary.</x:v>
      </x:c>
      <x:c r="F6" s="32" t="str">
        <x:v>The main scientific tool is equilibrate_feed; describe_reaktoro_options is used only to confirm inputs, minerals and acidification behavior. The efficient reference trajectory uses nine chemistry calls: screen routes by mechanism first, then refine only the viable hybrid boundary.</x:v>
      </x:c>
      <x:c r="G6" s="32" t="str">
        <x:v>The main scientific tool is equilibrate_feed; describe_reaktoro_options is used only to confirm inputs, minerals and acidification behavior. The efficient reference trajectory uses nine chemistry calls: screen routes by mechanism first, then refine only the viable hybrid boundary.</x:v>
      </x:c>
    </x:row>
    <x:row r="8">
      <x:c r="A8" s="17" t="str">
        <x:v>Efficiency dimension</x:v>
      </x:c>
      <x:c r="B8" s="17" t="str">
        <x:v>Evaluation focus</x:v>
      </x:c>
      <x:c r="C8" s="17" t="str">
        <x:v>Full credit</x:v>
      </x:c>
      <x:c r="D8" s="17" t="str">
        <x:v>Medium</x:v>
      </x:c>
      <x:c r="E8" s="17" t="str">
        <x:v>Low</x:v>
      </x:c>
      <x:c r="F8" s="17" t="str">
        <x:v>Benchmark evidence</x:v>
      </x:c>
      <x:c r="G8" s="17" t="str">
        <x:v>Points</x:v>
      </x:c>
    </x:row>
    <x:row r="9" ht="82" customHeight="1">
      <x:c r="A9" s="21" t="str">
        <x:v>E1 Tool choice</x:v>
      </x:c>
      <x:c r="B9" s="21" t="str">
        <x:v>Choose the chemistry tool</x:v>
      </x:c>
      <x:c r="C9" s="21" t="str">
        <x:v>Primarily equilibrate_feed; do not re-solve specified recovery with RO tools</x:v>
      </x:c>
      <x:c r="D9" s="21" t="str">
        <x:v>A little necessary metadata</x:v>
      </x:c>
      <x:c r="E9" s="21" t="str">
        <x:v>Wrong tool or many irrelevant calls</x:v>
      </x:c>
      <x:c r="F9" s="21" t="str">
        <x:v>Recovery is specified; D5 is chemistry-only</x:v>
      </x:c>
      <x:c r="G9" s="21" t="n">
        <x:v>20</x:v>
      </x:c>
    </x:row>
    <x:row r="10" ht="82" customHeight="1">
      <x:c r="A10" s="21" t="str">
        <x:v>E2 Information gain</x:v>
      </x:c>
      <x:c r="B10" s="21" t="str">
        <x:v>Obtain discriminating evidence first</x:v>
      </x:c>
      <x:c r="C10" s="21" t="str">
        <x:v>After baseline, test the acid-only and 70% softening limits directly</x:v>
      </x:c>
      <x:c r="D10" s="21" t="str">
        <x:v>Mostly sensible order with minor low-value calls</x:v>
      </x:c>
      <x:c r="E10" s="21" t="str">
        <x:v>Dense scan of every dose/removal from the start</x:v>
      </x:c>
      <x:c r="F10" s="21" t="str">
        <x:v>One acid-limit call proves Gypsum is unchanged</x:v>
      </x:c>
      <x:c r="G10" s="21" t="n">
        <x:v>20</x:v>
      </x:c>
    </x:row>
    <x:row r="11" ht="82" customHeight="1">
      <x:c r="A11" s="21" t="str">
        <x:v>E3 Adaptive pruning</x:v>
      </x:c>
      <x:c r="B11" s="21" t="str">
        <x:v>Stop branches using mechanism and results</x:v>
      </x:c>
      <x:c r="C11" s="21" t="str">
        <x:v>Stop acid branch immediately; use 80/90% counterfactuals to close softening; retain hybrid only</x:v>
      </x:c>
      <x:c r="D11" s="21" t="str">
        <x:v>One or two redundant calls</x:v>
      </x:c>
      <x:c r="E11" s="21" t="str">
        <x:v>Keep testing rejected routes</x:v>
      </x:c>
      <x:c r="F11" s="21" t="str">
        <x:v>Sulfate scale destroys acid-only feasibility</x:v>
      </x:c>
      <x:c r="G11" s="21" t="n">
        <x:v>20</x:v>
      </x:c>
    </x:row>
    <x:row r="12" ht="82" customHeight="1">
      <x:c r="A12" s="21" t="str">
        <x:v>E4 Boundary efficiency</x:v>
      </x:c>
      <x:c r="B12" s="21" t="str">
        <x:v>Lock hybrid dose with few adjacent points</x:v>
      </x:c>
      <x:c r="C12" s="21" t="str">
        <x:v>0, 0.0010, 0.0012 and 0.0013 provide converged evidence</x:v>
      </x:c>
      <x:c r="D12" s="21" t="str">
        <x:v>One or two extra adaptive doses</x:v>
      </x:c>
      <x:c r="E12" s="21" t="str">
        <x:v>Large grid or no adjacent fail/pass</x:v>
      </x:c>
      <x:c r="F12" s="21" t="str">
        <x:v>0.0012 fail / 0.0013 pass</x:v>
      </x:c>
      <x:c r="G12" s="21" t="n">
        <x:v>20</x:v>
      </x:c>
    </x:row>
    <x:row r="13" ht="82" customHeight="1">
      <x:c r="A13" s="21" t="str">
        <x:v>E5 Stop and transparency</x:v>
      </x:c>
      <x:c r="B13" s="21" t="str">
        <x:v>Stop when evidence is sufficient and expose scope</x:v>
      </x:c>
      <x:c r="C13" s="21" t="str">
        <x:v>About 8–10 calls; show Na compensation, HCl conversions and antiscalant model limit</x:v>
      </x:c>
      <x:c r="D13" s="21" t="str">
        <x:v>About 11–13 calls or one unclear basis</x:v>
      </x:c>
      <x:c r="E13" s="21" t="str">
        <x:v>&gt;13 enumerative calls or missing evidence</x:v>
      </x:c>
      <x:c r="F13" s="21" t="str">
        <x:v>Reference nine calls; one unique passing route</x:v>
      </x:c>
      <x:c r="G13" s="21" t="n">
        <x:v>20</x:v>
      </x:c>
    </x:row>
    <x:row r="15">
      <x:c r="F15" s="39" t="str">
        <x:v>Tool-efficiency total</x:v>
      </x:c>
      <x:c r="G15" s="39" t="n">
        <x:f>SUM(G9:G13)</x:f>
        <x:v>100</x:v>
      </x:c>
    </x:row>
  </x:sheetData>
  <x:mergeCells>
    <x:mergeCell ref="A1:G2"/>
    <x:mergeCell ref="A4:G6"/>
  </x:mergeCells>
  <x:pageMargins left="0.7" right="0.7" top="0.75" bottom="0.75" header="0.3" footer="0.3"/>
</x:worksheet>
</file>