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1c3d2d32b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dafb246889b149af"/>
    <x:sheet xmlns:r="http://schemas.openxmlformats.org/officeDocument/2006/relationships" name="Gold_Answer_A" sheetId="2" r:id="Rfb3286ea74d4495c"/>
    <x:sheet xmlns:r="http://schemas.openxmlformats.org/officeDocument/2006/relationships" name="Trajectory_Rubric" sheetId="3" r:id="Rbaacb88c37864960"/>
    <x:sheet xmlns:r="http://schemas.openxmlformats.org/officeDocument/2006/relationships" name="Tool_Efficiency" sheetId="4" r:id="R4d9e5c652e69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%"/>
    <x:numFmt numFmtId="202" formatCode="0"/>
    <x:numFmt numFmtId="203" formatCode="0.00000000"/>
    <x:numFmt numFmtId="204" formatCode="0.00%"/>
    <x:numFmt numFmtId="205" formatCode="0.00000"/>
    <x:numFmt numFmtId="206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5" fontId="4" fillId="7" borderId="1" xfId="0" applyNumberFormat="1" applyFont="1" applyFill="1" applyBorder="1" applyAlignment="1">
      <x:alignment vertical="center" wrapText="1"/>
    </x:xf>
    <x:xf numFmtId="206" fontId="4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783de57c04c33" /><Relationship Type="http://schemas.openxmlformats.org/officeDocument/2006/relationships/theme" Target="/xl/theme/theme1.xml" Id="R16e884c7ea1d4b1a" /><Relationship Type="http://schemas.openxmlformats.org/officeDocument/2006/relationships/sharedStrings" Target="/xl/sharedStrings.xml" Id="R21e18c18a4f74790" /><Relationship Type="http://schemas.openxmlformats.org/officeDocument/2006/relationships/worksheet" Target="/xl/worksheets/sheet1.xml" Id="Rdafb246889b149af" /><Relationship Type="http://schemas.openxmlformats.org/officeDocument/2006/relationships/worksheet" Target="/xl/worksheets/sheet2.xml" Id="Rfb3286ea74d4495c" /><Relationship Type="http://schemas.openxmlformats.org/officeDocument/2006/relationships/worksheet" Target="/xl/worksheets/sheet3.xml" Id="Rbaacb88c37864960" /><Relationship Type="http://schemas.openxmlformats.org/officeDocument/2006/relationships/worksheet" Target="/xl/worksheets/sheet4.xml" Id="R4d9e5c652e694e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dddf40c75542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SiO2(a) SI versus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SiO2(a) SI</c:v>
          </c:tx>
          <c:marker>
            <c:symbol val="none"/>
          </c:marker>
          <c:cat>
            <c:strRef>
              <c:f>'Gold_Answer_A'!$P$18:$P$22</c:f>
              <c:strCache>
                <c:ptCount val="0"/>
              </c:strCache>
            </c:strRef>
          </c:cat>
          <c:val>
            <c:numRef>
              <c:f>'Gold_Answer_A'!$Q$18:$Q$22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Criterion</c:v>
          </c:tx>
          <c:marker>
            <c:symbol val="none"/>
          </c:marker>
          <c:cat>
            <c:strRef>
              <c:f>'Gold_Answer_A'!$P$18:$P$22</c:f>
              <c:strCache>
                <c:ptCount val="0"/>
              </c:strCache>
            </c:strRef>
          </c:cat>
          <c:val>
            <c:numRef>
              <c:f>'Gold_Answer_A'!$R$18:$R$22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dddf40c75542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ca73537ce2348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7" hidden="0" customWidth="1"/>
    <x:col min="4" max="4" width="37" hidden="0" customWidth="1"/>
    <x:col min="5" max="5" width="4" hidden="0" customWidth="1"/>
    <x:col min="6" max="6" width="31" hidden="0" customWidth="1"/>
    <x:col min="7" max="7" width="34" hidden="0" customWidth="1"/>
    <x:col min="8" max="8" width="45" hidden="0" customWidth="1"/>
  </x:cols>
  <x:sheetData>
    <x:row r="1" ht="26" customHeight="1">
      <x:c r="A1" s="4" t="str">
        <x:v>N04 — High-Silica Geothermal BWRO: Silica-Specific Pretreatment</x:v>
      </x:c>
      <x:c r="B1" s="4" t="str">
        <x:v>N04 — High-Silica Geothermal BWRO: Silica-Specific Pretreatment</x:v>
      </x:c>
      <x:c r="C1" s="4" t="str">
        <x:v>N04 — High-Silica Geothermal BWRO: Silica-Specific Pretreatment</x:v>
      </x:c>
      <x:c r="D1" s="4" t="str">
        <x:v>N04 — High-Silica Geothermal BWRO: Silica-Specific Pretreatment</x:v>
      </x:c>
      <x:c r="E1" s="4" t="str">
        <x:v>N04 — High-Silica Geothermal BWRO: Silica-Specific Pretreatment</x:v>
      </x:c>
      <x:c r="F1" s="4" t="str">
        <x:v>N04 — High-Silica Geothermal BWRO: Silica-Specific Pretreatment</x:v>
      </x:c>
      <x:c r="G1" s="4" t="str">
        <x:v>N04 — High-Silica Geothermal BWRO: Silica-Specific Pretreatment</x:v>
      </x:c>
      <x:c r="H1" s="4" t="str">
        <x:v>N04 — High-Silica Geothermal BWRO: Silica-Specific Pretreatment</x:v>
      </x:c>
    </x:row>
    <x:row r="2" ht="26" customHeight="1">
      <x:c r="A2" s="4" t="str">
        <x:v>N04 — High-Silica Geothermal BWRO: Silica-Specific Pretreatment</x:v>
      </x:c>
      <x:c r="B2" s="4" t="str">
        <x:v>N04 — High-Silica Geothermal BWRO: Silica-Specific Pretreatment</x:v>
      </x:c>
      <x:c r="C2" s="4" t="str">
        <x:v>N04 — High-Silica Geothermal BWRO: Silica-Specific Pretreatment</x:v>
      </x:c>
      <x:c r="D2" s="4" t="str">
        <x:v>N04 — High-Silica Geothermal BWRO: Silica-Specific Pretreatment</x:v>
      </x:c>
      <x:c r="E2" s="4" t="str">
        <x:v>N04 — High-Silica Geothermal BWRO: Silica-Specific Pretreatment</x:v>
      </x:c>
      <x:c r="F2" s="4" t="str">
        <x:v>N04 — High-Silica Geothermal BWRO: Silica-Specific Pretreatment</x:v>
      </x:c>
      <x:c r="G2" s="4" t="str">
        <x:v>N04 — High-Silica Geothermal BWRO: Silica-Specific Pretreatment</x:v>
      </x:c>
      <x:c r="H2" s="4" t="str">
        <x:v>N04 — High-Silica Geothermal BWRO: Silica-Specific Pretreatment</x:v>
      </x:c>
    </x:row>
    <x:row r="4" ht="31" customHeight="1">
      <x:c r="A4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B4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C4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D4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E4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F4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G4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H4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</x:row>
    <x:row r="5" ht="31" customHeight="1">
      <x:c r="A5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B5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C5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D5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E5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F5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G5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H5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</x:row>
    <x:row r="6" ht="31" customHeight="1">
      <x:c r="A6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B6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C6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D6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E6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F6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G6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H6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</x:row>
    <x:row r="7" ht="31" customHeight="1">
      <x:c r="A7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B7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C7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D7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E7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F7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G7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  <x:c r="H7" s="8" t="str">
        <x:v>A geothermal BWRO plant operates at 30°C and 75% recovery. Calcium, sulfate and alkalinity are low, but dissolved silica is high. Options are acidification, softening, or magnesium-assisted coagulation/precipitation for silica removal. Use equilibrate_feed to identify the controlling mineral, test acid effectiveness, and select the minimum silica removal among 80%, 85% and 90% that meets SiO2(a) SI≤-0.10.</x:v>
      </x:c>
    </x:row>
    <x:row r="9">
      <x:c r="A9" s="11" t="str">
        <x:v>Fixed conditions and engineering constraints</x:v>
      </x:c>
      <x:c r="B9" s="11" t="str">
        <x:v>Fixed conditions and engineering constraints</x:v>
      </x:c>
      <x:c r="C9" s="11" t="str">
        <x:v>Fixed conditions and engineering constraints</x:v>
      </x:c>
      <x:c r="D9" s="11" t="str">
        <x:v>Fixed conditions and engineering constraints</x:v>
      </x:c>
      <x:c r="F9" s="11" t="str">
        <x:v>Candidate routes and decision questions</x:v>
      </x:c>
      <x:c r="G9" s="11" t="str">
        <x:v>Candidate routes and decision questions</x:v>
      </x:c>
      <x:c r="H9" s="11" t="str">
        <x:v>Candidate routes and decision questions</x:v>
      </x:c>
    </x:row>
    <x:row r="10">
      <x:c r="A10" s="17" t="str">
        <x:v>Parameter</x:v>
      </x:c>
      <x:c r="B10" s="17" t="str">
        <x:v>Value</x:v>
      </x:c>
      <x:c r="C10" s="17" t="str">
        <x:v>Unit</x:v>
      </x:c>
      <x:c r="D10" s="17" t="str">
        <x:v>Note</x:v>
      </x:c>
      <x:c r="F10" s="17" t="str">
        <x:v>Route</x:v>
      </x:c>
      <x:c r="G10" s="17" t="str">
        <x:v>Specified configuration/constraint</x:v>
      </x:c>
      <x:c r="H10" s="17" t="str">
        <x:v>Question</x:v>
      </x:c>
    </x:row>
    <x:row r="11" ht="48" customHeight="1">
      <x:c r="A11" s="21" t="str">
        <x:v>Temperature</x:v>
      </x:c>
      <x:c r="B11" s="22" t="n">
        <x:v>30</x:v>
      </x:c>
      <x:c r="C11" s="21" t="str">
        <x:v>°C</x:v>
      </x:c>
      <x:c r="D11" s="21" t="str">
        <x:v>Fixed</x:v>
      </x:c>
      <x:c r="F11" s="21" t="str">
        <x:v>Acidification</x:v>
      </x:c>
      <x:c r="G11" s="21" t="str">
        <x:v>HCl 0.003 mol/s</x:v>
      </x:c>
      <x:c r="H11" s="21" t="str">
        <x:v>Test silica response</x:v>
      </x:c>
    </x:row>
    <x:row r="12" ht="48" customHeight="1">
      <x:c r="A12" s="21" t="str">
        <x:v>Pressure</x:v>
      </x:c>
      <x:c r="B12" s="22" t="n">
        <x:v>1.013</x:v>
      </x:c>
      <x:c r="C12" s="21" t="str">
        <x:v>bar</x:v>
      </x:c>
      <x:c r="D12" s="21" t="str">
        <x:v>Equilibrium pressure</x:v>
      </x:c>
      <x:c r="F12" s="21" t="str">
        <x:v>Conventional softening</x:v>
      </x:c>
      <x:c r="G12" s="21" t="str">
        <x:v>Feed Ca already low</x:v>
      </x:c>
      <x:c r="H12" s="21" t="str">
        <x:v>Does not remove dissolved silica</x:v>
      </x:c>
    </x:row>
    <x:row r="13" ht="48" customHeight="1">
      <x:c r="A13" s="21" t="str">
        <x:v>Feed pH</x:v>
      </x:c>
      <x:c r="B13" s="22" t="n">
        <x:v>6.8</x:v>
      </x:c>
      <x:c r="C13" s="21" t="str">
        <x:v>-</x:v>
      </x:c>
      <x:c r="D13" s="21" t="str">
        <x:v>Specified feed</x:v>
      </x:c>
      <x:c r="F13" s="21" t="str">
        <x:v>Mg-assisted silica removal</x:v>
      </x:c>
      <x:c r="G13" s="21" t="str">
        <x:v>Coagulation/precipitation plus solids removal</x:v>
      </x:c>
      <x:c r="H13" s="21" t="str">
        <x:v>Find minimum removal</x:v>
      </x:c>
    </x:row>
    <x:row r="14" ht="48" customHeight="1">
      <x:c r="A14" s="21" t="str">
        <x:v>Water recovery</x:v>
      </x:c>
      <x:c r="B14" s="23" t="n">
        <x:v>0.75</x:v>
      </x:c>
      <x:c r="C14" s="21" t="str">
        <x:v>-</x:v>
      </x:c>
      <x:c r="D14" s="21" t="str">
        <x:v>Given by RO design</x:v>
      </x:c>
      <x:c r="F14" s="21" t="str">
        <x:v>Antiscalant only</x:v>
      </x:c>
      <x:c r="G14" s="21" t="str">
        <x:v>High SiO2(a) SI</x:v>
      </x:c>
      <x:c r="H14" s="21" t="str">
        <x:v>Not primary route without validation</x:v>
      </x:c>
    </x:row>
    <x:row r="15">
      <x:c r="A15" s="21" t="str">
        <x:v>Control minerals</x:v>
      </x:c>
      <x:c r="B15" s="22" t="str">
        <x:v>SiO2(a), Calcite, Gypsum</x:v>
      </x:c>
      <x:c r="C15" s="21" t="str">
        <x:v>-</x:v>
      </x:c>
      <x:c r="D15" s="21" t="str">
        <x:v>Evaluate together</x:v>
      </x:c>
    </x:row>
    <x:row r="16">
      <x:c r="A16" s="21" t="str">
        <x:v>Primary criterion</x:v>
      </x:c>
      <x:c r="B16" s="22" t="str">
        <x:v>SiO2(a) SI ≤ -0.10</x:v>
      </x:c>
      <x:c r="C16" s="21" t="str">
        <x:v>-</x:v>
      </x:c>
      <x:c r="D16" s="21" t="str">
        <x:v>See scope note</x:v>
      </x:c>
      <x:c r="F16" s="11" t="str">
        <x:v>Required deliverables</x:v>
      </x:c>
      <x:c r="G16" s="11" t="str">
        <x:v>Required deliverables</x:v>
      </x:c>
      <x:c r="H16" s="11" t="str">
        <x:v>Required deliverables</x:v>
      </x:c>
    </x:row>
    <x:row r="17" ht="44" customHeight="1">
      <x:c r="A17" s="21" t="str">
        <x:v>Reference calls</x:v>
      </x:c>
      <x:c r="B17" s="24" t="n">
        <x:v>5</x:v>
      </x:c>
      <x:c r="C17" s="21" t="str">
        <x:v>-</x:v>
      </x:c>
      <x:c r="D17" s="21" t="str">
        <x:v>Adaptive search</x:v>
      </x:c>
      <x:c r="F17" s="28" t="str">
        <x:v>1. Use the zero-dose baseline to identify the true controlling mineral; do not assume Calcite.</x:v>
      </x:c>
      <x:c r="G17" s="28" t="str">
        <x:v>1. Use the zero-dose baseline to identify the true controlling mineral; do not assume Calcite.</x:v>
      </x:c>
      <x:c r="H17" s="28" t="str">
        <x:v>1. Use the zero-dose baseline to identify the true controlling mineral; do not assume Calcite.</x:v>
      </x:c>
    </x:row>
    <x:row r="18" ht="44" customHeight="1">
      <x:c r="F18" s="28" t="str">
        <x:v>2. Choose the most informative acid, softening or targeted-treatment counterfactual by mechanism.</x:v>
      </x:c>
      <x:c r="G18" s="28" t="str">
        <x:v>2. Choose the most informative acid, softening or targeted-treatment counterfactual by mechanism.</x:v>
      </x:c>
      <x:c r="H18" s="28" t="str">
        <x:v>2. Choose the most informative acid, softening or targeted-treatment counterfactual by mechanism.</x:v>
      </x:c>
    </x:row>
    <x:row r="19" ht="44" customHeight="1">
      <x:c r="A19" s="11" t="str">
        <x:v>Feed composition (equilibrate_feed input)</x:v>
      </x:c>
      <x:c r="B19" s="11" t="str">
        <x:v>Feed composition (equilibrate_feed input)</x:v>
      </x:c>
      <x:c r="C19" s="11" t="str">
        <x:v>Feed composition (equilibrate_feed input)</x:v>
      </x:c>
      <x:c r="D19" s="11" t="str">
        <x:v>Feed composition (equilibrate_feed input)</x:v>
      </x:c>
      <x:c r="F19" s="28" t="str">
        <x:v>3. Hold non-target inputs fixed and record SI, pH and osmotic pressure for every equilibrate_feed call.</x:v>
      </x:c>
      <x:c r="G19" s="28" t="str">
        <x:v>3. Hold non-target inputs fixed and record SI, pH and osmotic pressure for every equilibrate_feed call.</x:v>
      </x:c>
      <x:c r="H19" s="28" t="str">
        <x:v>3. Hold non-target inputs fixed and record SI, pH and osmotic pressure for every equilibrate_feed call.</x:v>
      </x:c>
    </x:row>
    <x:row r="20" ht="44" customHeight="1">
      <x:c r="A20" s="17" t="str">
        <x:v>Species</x:v>
      </x:c>
      <x:c r="B20" s="17" t="str">
        <x:v>Flow mol/s</x:v>
      </x:c>
      <x:c r="C20" s="17" t="str">
        <x:v>Role</x:v>
      </x:c>
      <x:c r="D20" s="17" t="str">
        <x:v>Status</x:v>
      </x:c>
      <x:c r="F20" s="28" t="str">
        <x:v>4. Prove the stopping boundary with adjacent fail/pass points or the stated guarantee envelope.</x:v>
      </x:c>
      <x:c r="G20" s="28" t="str">
        <x:v>4. Prove the stopping boundary with adjacent fail/pass points or the stated guarantee envelope.</x:v>
      </x:c>
      <x:c r="H20" s="28" t="str">
        <x:v>4. Prove the stopping boundary with adjacent fail/pass points or the stated guarantee envelope.</x:v>
      </x:c>
    </x:row>
    <x:row r="21" ht="44" customHeight="1">
      <x:c r="A21" s="21" t="str">
        <x:v>H2O</x:v>
      </x:c>
      <x:c r="B21" s="25" t="n">
        <x:v>220</x:v>
      </x:c>
      <x:c r="C21" s="21" t="str">
        <x:v>Required water</x:v>
      </x:c>
      <x:c r="D21" s="21" t="str">
        <x:v>Fixed</x:v>
      </x:c>
      <x:c r="F21" s="28" t="str">
        <x:v>5. Give an executable route, key values, hard constraints and explicit model limitations.</x:v>
      </x:c>
      <x:c r="G21" s="28" t="str">
        <x:v>5. Give an executable route, key values, hard constraints and explicit model limitations.</x:v>
      </x:c>
      <x:c r="H21" s="28" t="str">
        <x:v>5. Give an executable route, key values, hard constraints and explicit model limitations.</x:v>
      </x:c>
    </x:row>
    <x:row r="22">
      <x:c r="A22" s="21" t="str">
        <x:v>Na</x:v>
      </x:c>
      <x:c r="B22" s="25" t="n">
        <x:v>0.6</x:v>
      </x:c>
      <x:c r="C22" s="21" t="str">
        <x:v>Feed analysis</x:v>
      </x:c>
      <x:c r="D22" s="21" t="str">
        <x:v>Fixed</x:v>
      </x:c>
      <x:c r="F22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G22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H22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</x:row>
    <x:row r="23">
      <x:c r="A23" s="21" t="str">
        <x:v>Ca</x:v>
      </x:c>
      <x:c r="B23" s="25" t="n">
        <x:v>0.01</x:v>
      </x:c>
      <x:c r="C23" s="21" t="str">
        <x:v>Feed analysis</x:v>
      </x:c>
      <x:c r="D23" s="21" t="str">
        <x:v>Fixed</x:v>
      </x:c>
      <x:c r="F23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G23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H23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</x:row>
    <x:row r="24">
      <x:c r="A24" s="21" t="str">
        <x:v>Mg</x:v>
      </x:c>
      <x:c r="B24" s="25" t="n">
        <x:v>0.02</x:v>
      </x:c>
      <x:c r="C24" s="21" t="str">
        <x:v>Feed analysis</x:v>
      </x:c>
      <x:c r="D24" s="21" t="str">
        <x:v>Fixed</x:v>
      </x:c>
      <x:c r="F24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G24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H24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</x:row>
    <x:row r="25">
      <x:c r="A25" s="21" t="str">
        <x:v>Cl</x:v>
      </x:c>
      <x:c r="B25" s="25" t="n">
        <x:v>0.598</x:v>
      </x:c>
      <x:c r="C25" s="21" t="str">
        <x:v>Feed analysis</x:v>
      </x:c>
      <x:c r="D25" s="21" t="str">
        <x:v>Fixed</x:v>
      </x:c>
      <x:c r="F25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G25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H25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</x:row>
    <x:row r="26">
      <x:c r="A26" s="21" t="str">
        <x:v>HCO3</x:v>
      </x:c>
      <x:c r="B26" s="25" t="n">
        <x:v>0.002</x:v>
      </x:c>
      <x:c r="C26" s="21" t="str">
        <x:v>Feed analysis</x:v>
      </x:c>
      <x:c r="D26" s="21" t="str">
        <x:v>Fixed</x:v>
      </x:c>
      <x:c r="F26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G26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H26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</x:row>
    <x:row r="27">
      <x:c r="A27" s="21" t="str">
        <x:v>SO4</x:v>
      </x:c>
      <x:c r="B27" s="25" t="n">
        <x:v>0.03</x:v>
      </x:c>
      <x:c r="C27" s="21" t="str">
        <x:v>Feed analysis</x:v>
      </x:c>
      <x:c r="D27" s="21" t="str">
        <x:v>Fixed</x:v>
      </x:c>
      <x:c r="F27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G27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H27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</x:row>
    <x:row r="28">
      <x:c r="A28" s="21" t="str">
        <x:v>SiO2</x:v>
      </x:c>
      <x:c r="B28" s="25" t="n">
        <x:v>0.015</x:v>
      </x:c>
      <x:c r="C28" s="21" t="str">
        <x:v>Feed analysis</x:v>
      </x:c>
      <x:c r="D28" s="21" t="str">
        <x:v>Fixed</x:v>
      </x:c>
      <x:c r="F28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G28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H28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</x:row>
    <x:row r="29">
      <x:c r="F29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G29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  <x:c r="H29" s="32" t="str">
        <x:v>Amorphous silica, SiO2(a), is the engineering control phase; treated-water SiO2 flow is reduced directly. Criteria: SiO2(a) SI≤-0.10, Calcite and Gypsum SI&lt;0 and pH≥6.50. Coagulant dose, sludge and filtration loading are outside the model.</x:v>
      </x:c>
    </x:row>
  </x:sheetData>
  <x:mergeCells>
    <x:mergeCell ref="A1:H2"/>
    <x:mergeCell ref="A4:H7"/>
    <x:mergeCell ref="A9:D9"/>
    <x:mergeCell ref="A19:D19"/>
    <x:mergeCell ref="F9:H9"/>
    <x:mergeCell ref="F16:H16"/>
    <x:mergeCell ref="F17:H17"/>
    <x:mergeCell ref="F18:H18"/>
    <x:mergeCell ref="F19:H19"/>
    <x:mergeCell ref="F20:H20"/>
    <x:mergeCell ref="F21:H21"/>
    <x:mergeCell ref="F22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29" hidden="0" customWidth="1"/>
    <x:col min="15" max="15" width="3" hidden="0" customWidth="1"/>
    <x:col min="16" max="16" width="24" hidden="0" customWidth="1"/>
    <x:col min="17" max="17" width="16" hidden="0" customWidth="1"/>
    <x:col min="18" max="18" width="16" hidden="0" customWidth="1"/>
  </x:cols>
  <x:sheetData>
    <x:row r="1" ht="26" customHeight="1">
      <x:c r="A1" s="4" t="str">
        <x:v>N04 — Stepwise Gold Answer: High-Silica Geothermal BWRO: Silica-Specific Pretreatment</x:v>
      </x:c>
      <x:c r="B1" s="4" t="str">
        <x:v>N04 — Stepwise Gold Answer: High-Silica Geothermal BWRO: Silica-Specific Pretreatment</x:v>
      </x:c>
      <x:c r="C1" s="4" t="str">
        <x:v>N04 — Stepwise Gold Answer: High-Silica Geothermal BWRO: Silica-Specific Pretreatment</x:v>
      </x:c>
      <x:c r="D1" s="4" t="str">
        <x:v>N04 — Stepwise Gold Answer: High-Silica Geothermal BWRO: Silica-Specific Pretreatment</x:v>
      </x:c>
      <x:c r="E1" s="4" t="str">
        <x:v>N04 — Stepwise Gold Answer: High-Silica Geothermal BWRO: Silica-Specific Pretreatment</x:v>
      </x:c>
      <x:c r="F1" s="4" t="str">
        <x:v>N04 — Stepwise Gold Answer: High-Silica Geothermal BWRO: Silica-Specific Pretreatment</x:v>
      </x:c>
      <x:c r="G1" s="4" t="str">
        <x:v>N04 — Stepwise Gold Answer: High-Silica Geothermal BWRO: Silica-Specific Pretreatment</x:v>
      </x:c>
      <x:c r="H1" s="4" t="str">
        <x:v>N04 — Stepwise Gold Answer: High-Silica Geothermal BWRO: Silica-Specific Pretreatment</x:v>
      </x:c>
      <x:c r="I1" s="4" t="str">
        <x:v>N04 — Stepwise Gold Answer: High-Silica Geothermal BWRO: Silica-Specific Pretreatment</x:v>
      </x:c>
      <x:c r="J1" s="4" t="str">
        <x:v>N04 — Stepwise Gold Answer: High-Silica Geothermal BWRO: Silica-Specific Pretreatment</x:v>
      </x:c>
      <x:c r="K1" s="4" t="str">
        <x:v>N04 — Stepwise Gold Answer: High-Silica Geothermal BWRO: Silica-Specific Pretreatment</x:v>
      </x:c>
      <x:c r="L1" s="4" t="str">
        <x:v>N04 — Stepwise Gold Answer: High-Silica Geothermal BWRO: Silica-Specific Pretreatment</x:v>
      </x:c>
      <x:c r="M1" s="4" t="str">
        <x:v>N04 — Stepwise Gold Answer: High-Silica Geothermal BWRO: Silica-Specific Pretreatment</x:v>
      </x:c>
      <x:c r="N1" s="4" t="str">
        <x:v>N04 — Stepwise Gold Answer: High-Silica Geothermal BWRO: Silica-Specific Pretreatment</x:v>
      </x:c>
      <x:c r="O1" s="4" t="str">
        <x:v>N04 — Stepwise Gold Answer: High-Silica Geothermal BWRO: Silica-Specific Pretreatment</x:v>
      </x:c>
      <x:c r="P1" s="4" t="str">
        <x:v>N04 — Stepwise Gold Answer: High-Silica Geothermal BWRO: Silica-Specific Pretreatment</x:v>
      </x:c>
      <x:c r="Q1" s="4" t="str">
        <x:v>N04 — Stepwise Gold Answer: High-Silica Geothermal BWRO: Silica-Specific Pretreatment</x:v>
      </x:c>
      <x:c r="R1" s="4" t="str">
        <x:v>N04 — Stepwise Gold Answer: High-Silica Geothermal BWRO: Silica-Specific Pretreatment</x:v>
      </x:c>
    </x:row>
    <x:row r="2" ht="26" customHeight="1">
      <x:c r="A2" s="4" t="str">
        <x:v>N04 — Stepwise Gold Answer: High-Silica Geothermal BWRO: Silica-Specific Pretreatment</x:v>
      </x:c>
      <x:c r="B2" s="4" t="str">
        <x:v>N04 — Stepwise Gold Answer: High-Silica Geothermal BWRO: Silica-Specific Pretreatment</x:v>
      </x:c>
      <x:c r="C2" s="4" t="str">
        <x:v>N04 — Stepwise Gold Answer: High-Silica Geothermal BWRO: Silica-Specific Pretreatment</x:v>
      </x:c>
      <x:c r="D2" s="4" t="str">
        <x:v>N04 — Stepwise Gold Answer: High-Silica Geothermal BWRO: Silica-Specific Pretreatment</x:v>
      </x:c>
      <x:c r="E2" s="4" t="str">
        <x:v>N04 — Stepwise Gold Answer: High-Silica Geothermal BWRO: Silica-Specific Pretreatment</x:v>
      </x:c>
      <x:c r="F2" s="4" t="str">
        <x:v>N04 — Stepwise Gold Answer: High-Silica Geothermal BWRO: Silica-Specific Pretreatment</x:v>
      </x:c>
      <x:c r="G2" s="4" t="str">
        <x:v>N04 — Stepwise Gold Answer: High-Silica Geothermal BWRO: Silica-Specific Pretreatment</x:v>
      </x:c>
      <x:c r="H2" s="4" t="str">
        <x:v>N04 — Stepwise Gold Answer: High-Silica Geothermal BWRO: Silica-Specific Pretreatment</x:v>
      </x:c>
      <x:c r="I2" s="4" t="str">
        <x:v>N04 — Stepwise Gold Answer: High-Silica Geothermal BWRO: Silica-Specific Pretreatment</x:v>
      </x:c>
      <x:c r="J2" s="4" t="str">
        <x:v>N04 — Stepwise Gold Answer: High-Silica Geothermal BWRO: Silica-Specific Pretreatment</x:v>
      </x:c>
      <x:c r="K2" s="4" t="str">
        <x:v>N04 — Stepwise Gold Answer: High-Silica Geothermal BWRO: Silica-Specific Pretreatment</x:v>
      </x:c>
      <x:c r="L2" s="4" t="str">
        <x:v>N04 — Stepwise Gold Answer: High-Silica Geothermal BWRO: Silica-Specific Pretreatment</x:v>
      </x:c>
      <x:c r="M2" s="4" t="str">
        <x:v>N04 — Stepwise Gold Answer: High-Silica Geothermal BWRO: Silica-Specific Pretreatment</x:v>
      </x:c>
      <x:c r="N2" s="4" t="str">
        <x:v>N04 — Stepwise Gold Answer: High-Silica Geothermal BWRO: Silica-Specific Pretreatment</x:v>
      </x:c>
      <x:c r="O2" s="4" t="str">
        <x:v>N04 — Stepwise Gold Answer: High-Silica Geothermal BWRO: Silica-Specific Pretreatment</x:v>
      </x:c>
      <x:c r="P2" s="4" t="str">
        <x:v>N04 — Stepwise Gold Answer: High-Silica Geothermal BWRO: Silica-Specific Pretreatment</x:v>
      </x:c>
      <x:c r="Q2" s="4" t="str">
        <x:v>N04 — Stepwise Gold Answer: High-Silica Geothermal BWRO: Silica-Specific Pretreatment</x:v>
      </x:c>
      <x:c r="R2" s="4" t="str">
        <x:v>N04 — Stepwise Gold Answer: High-Silica Geothermal BWRO: Silica-Specific Pretreatment</x:v>
      </x:c>
    </x:row>
    <x:row r="4">
      <x:c r="A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5">
      <x:c r="A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6">
      <x:c r="A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8">
      <x:c r="A8" s="11" t="str">
        <x:v>Human-readable continuous trajectory</x:v>
      </x:c>
      <x:c r="B8" s="11" t="str">
        <x:v>Human-readable continuous trajectory</x:v>
      </x:c>
      <x:c r="C8" s="11" t="str">
        <x:v>Human-readable continuous trajectory</x:v>
      </x:c>
      <x:c r="D8" s="11" t="str">
        <x:v>Human-readable continuous trajectory</x:v>
      </x:c>
      <x:c r="E8" s="11" t="str">
        <x:v>Human-readable continuous trajectory</x:v>
      </x:c>
      <x:c r="F8" s="11" t="str">
        <x:v>Human-readable continuous trajectory</x:v>
      </x:c>
      <x:c r="G8" s="11" t="str">
        <x:v>Human-readable continuous trajectory</x:v>
      </x:c>
    </x:row>
    <x:row r="9">
      <x:c r="A9" s="17" t="str">
        <x:v>Stage</x:v>
      </x:c>
      <x:c r="B9" s="17" t="str">
        <x:v>Current problem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Role</x:v>
      </x:c>
    </x:row>
    <x:row r="10" ht="61" customHeight="1">
      <x:c r="A10" s="21" t="str">
        <x:v>1 Baseline</x:v>
      </x:c>
      <x:c r="B10" s="21" t="str">
        <x:v>Controlling mineral unknown</x:v>
      </x:c>
      <x:c r="C10" s="21" t="str">
        <x:v>Zero-dose equilibrium</x:v>
      </x:c>
      <x:c r="D10" s="21" t="str">
        <x:v>SiO2(a) SI=0.849</x:v>
      </x:c>
      <x:c r="E10" s="21" t="str">
        <x:v>Identify dominant risk</x:v>
      </x:c>
      <x:c r="F10" s="21" t="str">
        <x:v>Choose mechanism counterfactual</x:v>
      </x:c>
      <x:c r="G10" s="21" t="str">
        <x:v>Diagnosis</x:v>
      </x:c>
    </x:row>
    <x:row r="11" ht="61" customHeight="1">
      <x:c r="A11" s="21" t="str">
        <x:v>2 Mechanism screen</x:v>
      </x:c>
      <x:c r="B11" s="21" t="str">
        <x:v>Differentiate acid, softening and targeted routes</x:v>
      </x:c>
      <x:c r="C11" s="21" t="str">
        <x:v>Acid only 0.003</x:v>
      </x:c>
      <x:c r="D11" s="21" t="str">
        <x:v>Silica SI unchanged; pH unacceptable</x:v>
      </x:c>
      <x:c r="E11" s="21" t="str">
        <x:v>Reject ineffective or infeasible route</x:v>
      </x:c>
      <x:c r="F11" s="21" t="str">
        <x:v>Search target variable</x:v>
      </x:c>
      <x:c r="G11" s="21" t="str">
        <x:v>Mechanism</x:v>
      </x:c>
    </x:row>
    <x:row r="12" ht="61" customHeight="1">
      <x:c r="A12" s="21" t="str">
        <x:v>3 Lower boundary</x:v>
      </x:c>
      <x:c r="B12" s="21" t="str">
        <x:v>Minimum treatment intensity not proven</x:v>
      </x:c>
      <x:c r="C12" s="21" t="str">
        <x:v>Silica removal 85%</x:v>
      </x:c>
      <x:c r="D12" s="21" t="str">
        <x:v>SiO2(a) SI=0.0251</x:v>
      </x:c>
      <x:c r="E12" s="21" t="str">
        <x:v>At least one constraint still fails</x:v>
      </x:c>
      <x:c r="F12" s="21" t="str">
        <x:v>Test adjacent stronger point</x:v>
      </x:c>
      <x:c r="G12" s="21" t="str">
        <x:v>Boundary search</x:v>
      </x:c>
    </x:row>
    <x:row r="13" ht="61" customHeight="1">
      <x:c r="A13" s="21" t="str">
        <x:v>4 Passing point</x:v>
      </x:c>
      <x:c r="B13" s="21" t="str">
        <x:v>Adjacent point needs confirmation</x:v>
      </x:c>
      <x:c r="C13" s="21" t="str">
        <x:v>Silica removal 90%</x:v>
      </x:c>
      <x:c r="D13" s="21" t="str">
        <x:v>SiO2(a) SI=-0.1510; pH=6.670</x:v>
      </x:c>
      <x:c r="E13" s="21" t="str">
        <x:v>Passing point locked</x:v>
      </x:c>
      <x:c r="F13" s="21" t="str">
        <x:v>Check engineering constraints</x:v>
      </x:c>
      <x:c r="G13" s="21" t="str">
        <x:v>Convergence proof</x:v>
      </x:c>
    </x:row>
    <x:row r="14" ht="61" customHeight="1">
      <x:c r="A14" s="21" t="str">
        <x:v>5 Decision</x:v>
      </x:c>
      <x:c r="B14" s="21" t="str">
        <x:v>Evidence sufficient</x:v>
      </x:c>
      <x:c r="C14" s="21" t="str">
        <x:v>Combine SI, pH and site constraints</x:v>
      </x:c>
      <x:c r="D14" s="21" t="str">
        <x:v>All pass; recommend</x:v>
      </x:c>
      <x:c r="E14" s="21" t="str">
        <x:v>Form recommendation</x:v>
      </x:c>
      <x:c r="F14" s="21" t="str">
        <x:v>Stop</x:v>
      </x:c>
      <x:c r="G14" s="21" t="str">
        <x:v>Engineering decision</x:v>
      </x:c>
    </x:row>
    <x:row r="16">
      <x:c r="A16" s="11" t="str">
        <x:v>Direct equilibrate_feed results</x:v>
      </x:c>
      <x:c r="B16" s="11" t="str">
        <x:v>Direct equilibrate_feed results</x:v>
      </x:c>
      <x:c r="C16" s="11" t="str">
        <x:v>Direct equilibrate_feed results</x:v>
      </x:c>
      <x:c r="D16" s="11" t="str">
        <x:v>Direct equilibrate_feed results</x:v>
      </x:c>
      <x:c r="E16" s="11" t="str">
        <x:v>Direct equilibrate_feed results</x:v>
      </x:c>
      <x:c r="F16" s="11" t="str">
        <x:v>Direct equilibrate_feed results</x:v>
      </x:c>
      <x:c r="G16" s="11" t="str">
        <x:v>Direct equilibrate_feed results</x:v>
      </x:c>
      <x:c r="H16" s="11" t="str">
        <x:v>Direct equilibrate_feed results</x:v>
      </x:c>
      <x:c r="I16" s="11" t="str">
        <x:v>Direct equilibrate_feed results</x:v>
      </x:c>
      <x:c r="J16" s="11" t="str">
        <x:v>Direct equilibrate_feed results</x:v>
      </x:c>
      <x:c r="K16" s="11" t="str">
        <x:v>Direct equilibrate_feed results</x:v>
      </x:c>
      <x:c r="L16" s="11" t="str">
        <x:v>Direct equilibrate_feed results</x:v>
      </x:c>
      <x:c r="M16" s="11" t="str">
        <x:v>Direct equilibrate_feed results</x:v>
      </x:c>
      <x:c r="N16" s="11" t="str">
        <x:v>Direct equilibrate_feed results</x:v>
      </x:c>
    </x:row>
    <x:row r="17">
      <x:c r="A17" s="17" t="str">
        <x:v>Call</x:v>
      </x:c>
      <x:c r="B17" s="17" t="str">
        <x:v>Route/case</x:v>
      </x:c>
      <x:c r="C17" s="17" t="str">
        <x:v>Recovery</x:v>
      </x:c>
      <x:c r="D17" s="17" t="str">
        <x:v>HCl mol/s</x:v>
      </x:c>
      <x:c r="E17" s="17" t="str">
        <x:v>SiO2 mol/s</x:v>
      </x:c>
      <x:c r="F17" s="17" t="str">
        <x:v>SiO2 removal</x:v>
      </x:c>
      <x:c r="G17" s="17" t="str">
        <x:v>SiO2(a) SI</x:v>
      </x:c>
      <x:c r="H17" s="17" t="str">
        <x:v>Calcite SI</x:v>
      </x:c>
      <x:c r="I17" s="17" t="str">
        <x:v>Gypsum SI</x:v>
      </x:c>
      <x:c r="J17" s="17" t="str">
        <x:v>pH</x:v>
      </x:c>
      <x:c r="K17" s="17" t="str">
        <x:v>Osmotic bar</x:v>
      </x:c>
      <x:c r="L17" s="17" t="str">
        <x:v>Pure HCl g/h</x:v>
      </x:c>
      <x:c r="M17" s="17" t="str">
        <x:v>30% HCl L/h</x:v>
      </x:c>
      <x:c r="N17" s="17" t="str">
        <x:v>Decision/next step</x:v>
      </x:c>
      <x:c r="P17" t="str">
        <x:v>Case</x:v>
      </x:c>
      <x:c r="Q17" t="str">
        <x:v>SiO2(a) SI</x:v>
      </x:c>
      <x:c r="R17" t="str">
        <x:v>Criterion</x:v>
      </x:c>
    </x:row>
    <x:row r="18" ht="43" customHeight="1">
      <x:c r="A18" s="21" t="n">
        <x:v>1</x:v>
      </x:c>
      <x:c r="B18" s="21" t="str">
        <x:v>Untreated baseline</x:v>
      </x:c>
      <x:c r="C18" s="25" t="n">
        <x:v>0.75</x:v>
      </x:c>
      <x:c r="D18" s="25" t="n">
        <x:v>0</x:v>
      </x:c>
      <x:c r="E18" s="25" t="n">
        <x:v>0.015</x:v>
      </x:c>
      <x:c r="F18" s="37" t="n">
        <x:f>1-E18/0.015</x:f>
        <x:v>0</x:v>
      </x:c>
      <x:c r="G18" s="38" t="n">
        <x:v>0.8491927333</x:v>
      </x:c>
      <x:c r="H18" s="38" t="n">
        <x:v>-0.8726701442</x:v>
      </x:c>
      <x:c r="I18" s="38" t="n">
        <x:v>-0.6509495965</x:v>
      </x:c>
      <x:c r="J18" s="38" t="n">
        <x:v>6.6689194269</x:v>
      </x:c>
      <x:c r="K18" s="38" t="n">
        <x:v>29.4137525011</x:v>
      </x:c>
      <x:c r="L18" s="39" t="n">
        <x:f>D18*36.46*3600</x:f>
        <x:v>0</x:v>
      </x:c>
      <x:c r="M18" s="39" t="n">
        <x:f>L18/1000/0.30/1.15</x:f>
        <x:v>0</x:v>
      </x:c>
      <x:c r="N18" s="21" t="str">
        <x:v>SiO2(a) is the sole risk</x:v>
      </x:c>
      <x:c r="P18" t="str">
        <x:f>B18</x:f>
        <x:v>Untreated baseline</x:v>
      </x:c>
      <x:c r="Q18" t="n">
        <x:f>G18</x:f>
        <x:v>0.8491927333</x:v>
      </x:c>
      <x:c r="R18" t="n">
        <x:f>-0.1</x:f>
        <x:v>-0.1</x:v>
      </x:c>
    </x:row>
    <x:row r="19" ht="43" customHeight="1">
      <x:c r="A19" s="21" t="n">
        <x:v>2</x:v>
      </x:c>
      <x:c r="B19" s="21" t="str">
        <x:v>Acid only 0.003</x:v>
      </x:c>
      <x:c r="C19" s="25" t="n">
        <x:v>0.75</x:v>
      </x:c>
      <x:c r="D19" s="25" t="n">
        <x:v>0.003</x:v>
      </x:c>
      <x:c r="E19" s="25" t="n">
        <x:v>0.015</x:v>
      </x:c>
      <x:c r="F19" s="37" t="n">
        <x:f>1-E19/0.015</x:f>
        <x:v>0</x:v>
      </x:c>
      <x:c r="G19" s="38" t="n">
        <x:v>0.8500253972</x:v>
      </x:c>
      <x:c r="H19" s="38" t="n">
        <x:v>-7.3188058794</x:v>
      </x:c>
      <x:c r="I19" s="38" t="n">
        <x:v>-0.656184473</x:v>
      </x:c>
      <x:c r="J19" s="38" t="n">
        <x:v>3.1072129615</x:v>
      </x:c>
      <x:c r="K19" s="38" t="n">
        <x:v>29.5321740377</x:v>
      </x:c>
      <x:c r="L19" s="39" t="n">
        <x:f>D19*36.46*3600</x:f>
        <x:v>393.76800000000003</x:v>
      </x:c>
      <x:c r="M19" s="39" t="n">
        <x:f>L19/1000/0.30/1.15</x:f>
        <x:v>1.1413565217391306</x:v>
      </x:c>
      <x:c r="N19" s="21" t="str">
        <x:v>Silica SI unchanged; pH unacceptable</x:v>
      </x:c>
      <x:c r="P19" t="str">
        <x:f>B19</x:f>
        <x:v>Acid only 0.003</x:v>
      </x:c>
      <x:c r="Q19" t="n">
        <x:f>G19</x:f>
        <x:v>0.8500253972</x:v>
      </x:c>
      <x:c r="R19" t="n">
        <x:f>-0.1</x:f>
        <x:v>-0.1</x:v>
      </x:c>
    </x:row>
    <x:row r="20" ht="43" customHeight="1">
      <x:c r="A20" s="21" t="n">
        <x:v>3</x:v>
      </x:c>
      <x:c r="B20" s="21" t="str">
        <x:v>Silica removal 80%</x:v>
      </x:c>
      <x:c r="C20" s="25" t="n">
        <x:v>0.75</x:v>
      </x:c>
      <x:c r="D20" s="25" t="n">
        <x:v>0</x:v>
      </x:c>
      <x:c r="E20" s="25" t="n">
        <x:v>0.003</x:v>
      </x:c>
      <x:c r="F20" s="37" t="n">
        <x:f>1-E20/0.015</x:f>
        <x:v>0.8</x:v>
      </x:c>
      <x:c r="G20" s="38" t="n">
        <x:v>0.1500181006</x:v>
      </x:c>
      <x:c r="H20" s="38" t="n">
        <x:v>-0.8742262212</x:v>
      </x:c>
      <x:c r="I20" s="38" t="n">
        <x:v>-0.6523457469</x:v>
      </x:c>
      <x:c r="J20" s="38" t="n">
        <x:v>6.6696694972</x:v>
      </x:c>
      <x:c r="K20" s="38" t="n">
        <x:v>29.0876447626</x:v>
      </x:c>
      <x:c r="L20" s="39" t="n">
        <x:f>D20*36.46*3600</x:f>
        <x:v>0</x:v>
      </x:c>
      <x:c r="M20" s="39" t="n">
        <x:f>L20/1000/0.30/1.15</x:f>
        <x:v>0</x:v>
      </x:c>
      <x:c r="N20" s="21" t="str">
        <x:v>Still supersaturated</x:v>
      </x:c>
      <x:c r="P20" t="str">
        <x:f>B20</x:f>
        <x:v>Silica removal 80%</x:v>
      </x:c>
      <x:c r="Q20" t="n">
        <x:f>G20</x:f>
        <x:v>0.1500181006</x:v>
      </x:c>
      <x:c r="R20" t="n">
        <x:f>-0.1</x:f>
        <x:v>-0.1</x:v>
      </x:c>
    </x:row>
    <x:row r="21" ht="43" customHeight="1">
      <x:c r="A21" s="21" t="n">
        <x:v>4</x:v>
      </x:c>
      <x:c r="B21" s="21" t="str">
        <x:v>Silica removal 85%</x:v>
      </x:c>
      <x:c r="C21" s="25" t="n">
        <x:v>0.75</x:v>
      </x:c>
      <x:c r="D21" s="25" t="n">
        <x:v>0</x:v>
      </x:c>
      <x:c r="E21" s="25" t="n">
        <x:v>0.00225</x:v>
      </x:c>
      <x:c r="F21" s="37" t="n">
        <x:f>1-E21/0.015</x:f>
        <x:v>0.85</x:v>
      </x:c>
      <x:c r="G21" s="38" t="n">
        <x:v>0.0250665695</x:v>
      </x:c>
      <x:c r="H21" s="38" t="n">
        <x:v>-0.8743198135</x:v>
      </x:c>
      <x:c r="I21" s="38" t="n">
        <x:v>-0.6524330047</x:v>
      </x:c>
      <x:c r="J21" s="38" t="n">
        <x:v>6.6697194135</x:v>
      </x:c>
      <x:c r="K21" s="38" t="n">
        <x:v>29.0672630304</x:v>
      </x:c>
      <x:c r="L21" s="39" t="n">
        <x:f>D21*36.46*3600</x:f>
        <x:v>0</x:v>
      </x:c>
      <x:c r="M21" s="39" t="n">
        <x:f>L21/1000/0.30/1.15</x:f>
        <x:v>0</x:v>
      </x:c>
      <x:c r="N21" s="21" t="str">
        <x:v>Below zero but misses margin</x:v>
      </x:c>
      <x:c r="P21" t="str">
        <x:f>B21</x:f>
        <x:v>Silica removal 85%</x:v>
      </x:c>
      <x:c r="Q21" t="n">
        <x:f>G21</x:f>
        <x:v>0.0250665695</x:v>
      </x:c>
      <x:c r="R21" t="n">
        <x:f>-0.1</x:f>
        <x:v>-0.1</x:v>
      </x:c>
    </x:row>
    <x:row r="22" ht="43" customHeight="1">
      <x:c r="A22" s="40" t="n">
        <x:v>5</x:v>
      </x:c>
      <x:c r="B22" s="40" t="str">
        <x:v>Silica removal 90%</x:v>
      </x:c>
      <x:c r="C22" s="41" t="n">
        <x:v>0.75</x:v>
      </x:c>
      <x:c r="D22" s="41" t="n">
        <x:v>0</x:v>
      </x:c>
      <x:c r="E22" s="41" t="n">
        <x:v>0.0015</x:v>
      </x:c>
      <x:c r="F22" s="42" t="n">
        <x:f>1-E22/0.015</x:f>
        <x:v>0.9</x:v>
      </x:c>
      <x:c r="G22" s="43" t="n">
        <x:v>-0.1510374848</x:v>
      </x:c>
      <x:c r="H22" s="43" t="n">
        <x:v>-0.8744129447</x:v>
      </x:c>
      <x:c r="I22" s="43" t="n">
        <x:v>-0.6525202622</x:v>
      </x:c>
      <x:c r="J22" s="43" t="n">
        <x:v>6.6697697122</x:v>
      </x:c>
      <x:c r="K22" s="43" t="n">
        <x:v>29.0468812984</x:v>
      </x:c>
      <x:c r="L22" s="44" t="n">
        <x:f>D22*36.46*3600</x:f>
        <x:v>0</x:v>
      </x:c>
      <x:c r="M22" s="44" t="n">
        <x:f>L22/1000/0.30/1.15</x:f>
        <x:v>0</x:v>
      </x:c>
      <x:c r="N22" s="40" t="str">
        <x:v>All pass; recommend</x:v>
      </x:c>
      <x:c r="P22" t="str">
        <x:f>B22</x:f>
        <x:v>Silica removal 90%</x:v>
      </x:c>
      <x:c r="Q22" t="n">
        <x:f>G22</x:f>
        <x:v>-0.1510374848</x:v>
      </x:c>
      <x:c r="R22" t="n">
        <x:f>-0.1</x:f>
        <x:v>-0.1</x:v>
      </x:c>
    </x:row>
    <x:row r="25">
      <x:c r="A25" s="11" t="str">
        <x:v>Key boundary check</x:v>
      </x:c>
      <x:c r="B25" s="11" t="str">
        <x:v>Key boundary check</x:v>
      </x:c>
      <x:c r="C25" s="11" t="str">
        <x:v>Key boundary check</x:v>
      </x:c>
      <x:c r="D25" s="11" t="str">
        <x:v>Key boundary check</x:v>
      </x:c>
      <x:c r="E25" s="11" t="str">
        <x:v>Key boundary check</x:v>
      </x:c>
      <x:c r="F25" s="11" t="str">
        <x:v>Key boundary check</x:v>
      </x:c>
      <x:c r="H25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I25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J25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K25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L25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M25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N25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</x:row>
    <x:row r="26">
      <x:c r="A26" s="17" t="str">
        <x:v>Case</x:v>
      </x:c>
      <x:c r="B26" s="17" t="str">
        <x:v>Key point</x:v>
      </x:c>
      <x:c r="C26" s="17" t="str">
        <x:v>SiO2(a) SI</x:v>
      </x:c>
      <x:c r="D26" s="17" t="str">
        <x:v>Calcite SI</x:v>
      </x:c>
      <x:c r="E26" s="17" t="str">
        <x:v>pH</x:v>
      </x:c>
      <x:c r="F26" s="17" t="str">
        <x:v>Conclusion</x:v>
      </x:c>
      <x:c r="H26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I26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J26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K26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L26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M26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N26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</x:row>
    <x:row r="27" ht="46" customHeight="1">
      <x:c r="A27" s="21" t="str">
        <x:v>Untreated baseline</x:v>
      </x:c>
      <x:c r="B27" s="21" t="str">
        <x:v>SiO2(a) is the sole risk</x:v>
      </x:c>
      <x:c r="C27" s="38" t="n">
        <x:f>G18</x:f>
        <x:v>0.8491927333</x:v>
      </x:c>
      <x:c r="D27" s="38" t="n">
        <x:f>H18</x:f>
        <x:v>-0.8726701442</x:v>
      </x:c>
      <x:c r="E27" s="38" t="n">
        <x:f>J18</x:f>
        <x:v>6.6689194269</x:v>
      </x:c>
      <x:c r="F27" s="21" t="str">
        <x:v>Reject/Fail</x:v>
      </x:c>
      <x:c r="H27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I27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J27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K27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L27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M27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N27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</x:row>
    <x:row r="28" ht="46" customHeight="1">
      <x:c r="A28" s="21" t="str">
        <x:v>Silica removal 85%</x:v>
      </x:c>
      <x:c r="B28" s="21" t="str">
        <x:v>Below zero but misses margin</x:v>
      </x:c>
      <x:c r="C28" s="38" t="n">
        <x:f>G21</x:f>
        <x:v>0.0250665695</x:v>
      </x:c>
      <x:c r="D28" s="38" t="n">
        <x:f>H21</x:f>
        <x:v>-0.8743198135</x:v>
      </x:c>
      <x:c r="E28" s="38" t="n">
        <x:f>J21</x:f>
        <x:v>6.6697194135</x:v>
      </x:c>
      <x:c r="F28" s="21" t="str">
        <x:v>Reject/Fail</x:v>
      </x:c>
      <x:c r="H28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I28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J28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K28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L28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M28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N28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</x:row>
    <x:row r="29" ht="46" customHeight="1">
      <x:c r="A29" s="21" t="str">
        <x:v>Silica removal 90%</x:v>
      </x:c>
      <x:c r="B29" s="21" t="str">
        <x:v>All pass; recommend</x:v>
      </x:c>
      <x:c r="C29" s="38" t="n">
        <x:f>G22</x:f>
        <x:v>-0.1510374848</x:v>
      </x:c>
      <x:c r="D29" s="38" t="n">
        <x:f>H22</x:f>
        <x:v>-0.8744129447</x:v>
      </x:c>
      <x:c r="E29" s="38" t="n">
        <x:f>J22</x:f>
        <x:v>6.6697697122</x:v>
      </x:c>
      <x:c r="F29" s="21" t="str">
        <x:v>Recommend</x:v>
      </x:c>
      <x:c r="H29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I29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J29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K29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L29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M29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  <x:c r="N29" s="36" t="str">
        <x:v>Final conclusion
Recommend magnesium-assisted coagulation/precipitation with solids separation at 90% silica removal, reducing SiO2 from 0.015 to 0.0015 mol/s. The result is SiO2(a) SI=-0.15104, Calcite SI=-0.87441, Gypsum SI=-0.65252 and pH=6.670. At 85% removal, SI=+0.02507 and misses the -0.10 margin. HCl at 0.003 mol/s slightly raises SiO2(a) SI from +0.84919 to +0.85003 and lowers pH to 3.107, confirming that acidification is not a silica-control route.</x:v>
      </x:c>
    </x:row>
  </x:sheetData>
  <x:mergeCells>
    <x:mergeCell ref="A1:R2"/>
    <x:mergeCell ref="A4:R6"/>
    <x:mergeCell ref="A8:G8"/>
    <x:mergeCell ref="A16:N16"/>
    <x:mergeCell ref="A25:F25"/>
    <x:mergeCell ref="H25:N29"/>
  </x:mergeCells>
  <x:pageMargins left="0.7" right="0.7" top="0.75" bottom="0.75" header="0.3" footer="0.3"/>
  <x:drawing xmlns:r="http://schemas.openxmlformats.org/officeDocument/2006/relationships" r:id="Raca73537ce23480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60" hidden="0" customWidth="1"/>
    <x:col min="4" max="4" width="50" hidden="0" customWidth="1"/>
    <x:col min="5" max="5" width="50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N04 — Trajectory Rubric (100 points)</x:v>
      </x:c>
      <x:c r="B1" s="4" t="str">
        <x:v>N04 — Trajectory Rubric (100 points)</x:v>
      </x:c>
      <x:c r="C1" s="4" t="str">
        <x:v>N04 — Trajectory Rubric (100 points)</x:v>
      </x:c>
      <x:c r="D1" s="4" t="str">
        <x:v>N04 — Trajectory Rubric (100 points)</x:v>
      </x:c>
      <x:c r="E1" s="4" t="str">
        <x:v>N04 — Trajectory Rubric (100 points)</x:v>
      </x:c>
      <x:c r="F1" s="4" t="str">
        <x:v>N04 — Trajectory Rubric (100 points)</x:v>
      </x:c>
      <x:c r="G1" s="4" t="str">
        <x:v>N04 — Trajectory Rubric (100 points)</x:v>
      </x:c>
    </x:row>
    <x:row r="2" ht="26" customHeight="1">
      <x:c r="A2" s="4" t="str">
        <x:v>N04 — Trajectory Rubric (100 points)</x:v>
      </x:c>
      <x:c r="B2" s="4" t="str">
        <x:v>N04 — Trajectory Rubric (100 points)</x:v>
      </x:c>
      <x:c r="C2" s="4" t="str">
        <x:v>N04 — Trajectory Rubric (100 points)</x:v>
      </x:c>
      <x:c r="D2" s="4" t="str">
        <x:v>N04 — Trajectory Rubric (100 points)</x:v>
      </x:c>
      <x:c r="E2" s="4" t="str">
        <x:v>N04 — Trajectory Rubric (100 points)</x:v>
      </x:c>
      <x:c r="F2" s="4" t="str">
        <x:v>N04 — Trajectory Rubric (100 points)</x:v>
      </x:c>
      <x:c r="G2" s="4" t="str">
        <x:v>N04 — Trajectory Rubric (100 points)</x:v>
      </x:c>
    </x:row>
    <x:row r="4">
      <x:c r="A4" s="32" t="str">
        <x:v>Evaluate the complete state→plan→tool call→observation→update→pruning→decision trajectory. Credit mechanism-based call reduction and explicit boundary evidence supporting the selected route.</x:v>
      </x:c>
      <x:c r="B4" s="32" t="str">
        <x:v>Evaluate the complete state→plan→tool call→observation→update→pruning→decision trajectory. Credit mechanism-based call reduction and explicit boundary evidence supporting the selected route.</x:v>
      </x:c>
      <x:c r="C4" s="32" t="str">
        <x:v>Evaluate the complete state→plan→tool call→observation→update→pruning→decision trajectory. Credit mechanism-based call reduction and explicit boundary evidence supporting the selected route.</x:v>
      </x:c>
      <x:c r="D4" s="32" t="str">
        <x:v>Evaluate the complete state→plan→tool call→observation→update→pruning→decision trajectory. Credit mechanism-based call reduction and explicit boundary evidence supporting the selected route.</x:v>
      </x:c>
      <x:c r="E4" s="32" t="str">
        <x:v>Evaluate the complete state→plan→tool call→observation→update→pruning→decision trajectory. Credit mechanism-based call reduction and explicit boundary evidence supporting the selected route.</x:v>
      </x:c>
      <x:c r="F4" s="32" t="str">
        <x:v>Evaluate the complete state→plan→tool call→observation→update→pruning→decision trajectory. Credit mechanism-based call reduction and explicit boundary evidence supporting the selected route.</x:v>
      </x:c>
      <x:c r="G4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5">
      <x:c r="A5" s="32" t="str">
        <x:v>Evaluate the complete state→plan→tool call→observation→update→pruning→decision trajectory. Credit mechanism-based call reduction and explicit boundary evidence supporting the selected route.</x:v>
      </x:c>
      <x:c r="B5" s="32" t="str">
        <x:v>Evaluate the complete state→plan→tool call→observation→update→pruning→decision trajectory. Credit mechanism-based call reduction and explicit boundary evidence supporting the selected route.</x:v>
      </x:c>
      <x:c r="C5" s="32" t="str">
        <x:v>Evaluate the complete state→plan→tool call→observation→update→pruning→decision trajectory. Credit mechanism-based call reduction and explicit boundary evidence supporting the selected route.</x:v>
      </x:c>
      <x:c r="D5" s="32" t="str">
        <x:v>Evaluate the complete state→plan→tool call→observation→update→pruning→decision trajectory. Credit mechanism-based call reduction and explicit boundary evidence supporting the selected route.</x:v>
      </x:c>
      <x:c r="E5" s="32" t="str">
        <x:v>Evaluate the complete state→plan→tool call→observation→update→pruning→decision trajectory. Credit mechanism-based call reduction and explicit boundary evidence supporting the selected route.</x:v>
      </x:c>
      <x:c r="F5" s="32" t="str">
        <x:v>Evaluate the complete state→plan→tool call→observation→update→pruning→decision trajectory. Credit mechanism-based call reduction and explicit boundary evidence supporting the selected route.</x:v>
      </x:c>
      <x:c r="G5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6">
      <x:c r="A6" s="32" t="str">
        <x:v>Evaluate the complete state→plan→tool call→observation→update→pruning→decision trajectory. Credit mechanism-based call reduction and explicit boundary evidence supporting the selected route.</x:v>
      </x:c>
      <x:c r="B6" s="32" t="str">
        <x:v>Evaluate the complete state→plan→tool call→observation→update→pruning→decision trajectory. Credit mechanism-based call reduction and explicit boundary evidence supporting the selected route.</x:v>
      </x:c>
      <x:c r="C6" s="32" t="str">
        <x:v>Evaluate the complete state→plan→tool call→observation→update→pruning→decision trajectory. Credit mechanism-based call reduction and explicit boundary evidence supporting the selected route.</x:v>
      </x:c>
      <x:c r="D6" s="32" t="str">
        <x:v>Evaluate the complete state→plan→tool call→observation→update→pruning→decision trajectory. Credit mechanism-based call reduction and explicit boundary evidence supporting the selected route.</x:v>
      </x:c>
      <x:c r="E6" s="32" t="str">
        <x:v>Evaluate the complete state→plan→tool call→observation→update→pruning→decision trajectory. Credit mechanism-based call reduction and explicit boundary evidence supporting the selected route.</x:v>
      </x:c>
      <x:c r="F6" s="32" t="str">
        <x:v>Evaluate the complete state→plan→tool call→observation→update→pruning→decision trajectory. Credit mechanism-based call reduction and explicit boundary evidence supporting the selected route.</x:v>
      </x:c>
      <x:c r="G6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8">
      <x:c r="A8" s="17" t="str">
        <x:v>Dimension</x:v>
      </x:c>
      <x:c r="B8" s="17" t="str">
        <x:v>Focus</x:v>
      </x:c>
      <x:c r="C8" s="17" t="str">
        <x:v>Full-credit evidence</x:v>
      </x:c>
      <x:c r="D8" s="17" t="str">
        <x:v>Partial credit</x:v>
      </x:c>
      <x:c r="E8" s="17" t="str">
        <x:v>Critical failure</x:v>
      </x:c>
      <x:c r="F8" s="17" t="str">
        <x:v>Weight</x:v>
      </x:c>
      <x:c r="G8" s="17" t="str">
        <x:v>Score</x:v>
      </x:c>
    </x:row>
    <x:row r="9" ht="79" customHeight="1">
      <x:c r="A9" s="21" t="str">
        <x:v>TQ1 Problem representation</x:v>
      </x:c>
      <x:c r="B9" s="21" t="str">
        <x:v>Identify controlling mineral and hard constraints</x:v>
      </x:c>
      <x:c r="C9" s="21" t="str">
        <x:v>Correctly identify SiO2(a) and list SI, pH and site constraints</x:v>
      </x:c>
      <x:c r="D9" s="21" t="str">
        <x:v>Main risk correct but one constraint omitted</x:v>
      </x:c>
      <x:c r="E9" s="21" t="str">
        <x:v>Assume Calcite controls every case</x:v>
      </x:c>
      <x:c r="F9" s="21" t="n">
        <x:v>15</x:v>
      </x:c>
      <x:c r="G9" s="21"/>
    </x:row>
    <x:row r="10" ht="79" customHeight="1">
      <x:c r="A10" s="21" t="str">
        <x:v>TQ2 Plan quality</x:v>
      </x:c>
      <x:c r="B10" s="21" t="str">
        <x:v>Order calls by mechanism</x:v>
      </x:c>
      <x:c r="C10" s="21" t="str">
        <x:v>Baseline, high-information counterfactual, then boundary search</x:v>
      </x:c>
      <x:c r="D10" s="21" t="str">
        <x:v>Reasonable order but unclear stopping rule</x:v>
      </x:c>
      <x:c r="E10" s="21" t="str">
        <x:v>Blind full-grid scan</x:v>
      </x:c>
      <x:c r="F10" s="21" t="n">
        <x:v>15</x:v>
      </x:c>
      <x:c r="G10" s="21"/>
    </x:row>
    <x:row r="11" ht="79" customHeight="1">
      <x:c r="A11" s="21" t="str">
        <x:v>TQ3 Tool correctness</x:v>
      </x:c>
      <x:c r="B11" s="21" t="str">
        <x:v>Inputs, units and fixed variables</x:v>
      </x:c>
      <x:c r="C11" s="21" t="str">
        <x:v>5 equilibrate_feed calls keep non-target inputs consistent</x:v>
      </x:c>
      <x:c r="D11" s="21" t="str">
        <x:v>Minor non-controlling deviation</x:v>
      </x:c>
      <x:c r="E11" s="21" t="str">
        <x:v>Confuse mol/s, recovery or mineral names</x:v>
      </x:c>
      <x:c r="F11" s="21" t="n">
        <x:v>20</x:v>
      </x:c>
      <x:c r="G11" s="21"/>
    </x:row>
    <x:row r="12" ht="79" customHeight="1">
      <x:c r="A12" s="21" t="str">
        <x:v>TQ4 Observation and pruning</x:v>
      </x:c>
      <x:c r="B12" s="21" t="str">
        <x:v>Reject branches from evidence</x:v>
      </x:c>
      <x:c r="C12" s="21" t="str">
        <x:v>Silica SI unchanged; pH unacceptable</x:v>
      </x:c>
      <x:c r="D12" s="21" t="str">
        <x:v>Correct conclusion with incomplete mechanism</x:v>
      </x:c>
      <x:c r="E12" s="21" t="str">
        <x:v>Ignore pH, site constraints or non-carbonate scales</x:v>
      </x:c>
      <x:c r="F12" s="21" t="n">
        <x:v>20</x:v>
      </x:c>
      <x:c r="G12" s="21"/>
    </x:row>
    <x:row r="13" ht="79" customHeight="1">
      <x:c r="A13" s="21" t="str">
        <x:v>TQ5 Boundary proof</x:v>
      </x:c>
      <x:c r="B13" s="21" t="str">
        <x:v>Adjacent fail/pass evidence</x:v>
      </x:c>
      <x:c r="C13" s="21" t="str">
        <x:v>Silica removal 85% fails; Silica removal 90% passes</x:v>
      </x:c>
      <x:c r="D13" s="21" t="str">
        <x:v>Passing point only; no adjacent failure</x:v>
      </x:c>
      <x:c r="E13" s="21" t="str">
        <x:v>Arbitrary dose or removal</x:v>
      </x:c>
      <x:c r="F13" s="21" t="n">
        <x:v>20</x:v>
      </x:c>
      <x:c r="G13" s="21"/>
    </x:row>
    <x:row r="14" ht="79" customHeight="1">
      <x:c r="A14" s="21" t="str">
        <x:v>TQ6 Decision and scope</x:v>
      </x:c>
      <x:c r="B14" s="21" t="str">
        <x:v>Executable recommendation and model boundary</x:v>
      </x:c>
      <x:c r="C14" s="21" t="str">
        <x:v>Silica removal 90%; SiO2(a) SI=-0.15104; pH=6.670</x:v>
      </x:c>
      <x:c r="D14" s="21" t="str">
        <x:v>Right route but missing value or limitation</x:v>
      </x:c>
      <x:c r="E14" s="21" t="str">
        <x:v>Recommend a failing route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48" customHeight="1">
      <x:c r="A18" s="21" t="str">
        <x:v>Reference calls</x:v>
      </x:c>
      <x:c r="B18" s="21" t="n">
        <x:v>5</x:v>
      </x:c>
      <x:c r="C18" s="21"/>
      <x:c r="D18" s="21"/>
      <x:c r="E18" s="21"/>
      <x:c r="F18" s="21"/>
      <x:c r="G18" s="21"/>
    </x:row>
    <x:row r="19" ht="48" customHeight="1">
      <x:c r="A19" s="21" t="str">
        <x:v>Recommended route</x:v>
      </x:c>
      <x:c r="B19" s="21" t="str">
        <x:v>Silica removal 90%</x:v>
      </x:c>
      <x:c r="C19" s="21"/>
      <x:c r="D19" s="21"/>
      <x:c r="E19" s="21"/>
      <x:c r="F19" s="21"/>
      <x:c r="G19" s="21"/>
    </x:row>
    <x:row r="20" ht="48" customHeight="1">
      <x:c r="A20" s="21" t="str">
        <x:v>SiO2(a) SI</x:v>
      </x:c>
      <x:c r="B20" s="38" t="n">
        <x:f>'Gold_Answer_A'!G22</x:f>
        <x:v>-0.1510374848</x:v>
      </x:c>
      <x:c r="C20" s="21"/>
      <x:c r="D20" s="21"/>
      <x:c r="E20" s="21"/>
      <x:c r="F20" s="21"/>
      <x:c r="G20" s="21"/>
    </x:row>
    <x:row r="21" ht="48" customHeight="1">
      <x:c r="A21" s="21" t="str">
        <x:v>Equilibrium pH</x:v>
      </x:c>
      <x:c r="B21" s="38" t="n">
        <x:f>'Gold_Answer_A'!J22</x:f>
        <x:v>6.6697697122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0" hidden="0" customWidth="1"/>
    <x:col min="3" max="3" width="58" hidden="0" customWidth="1"/>
    <x:col min="4" max="4" width="48" hidden="0" customWidth="1"/>
    <x:col min="5" max="5" width="48" hidden="0" customWidth="1"/>
    <x:col min="6" max="6" width="57" hidden="0" customWidth="1"/>
    <x:col min="7" max="7" width="11" hidden="0" customWidth="1"/>
  </x:cols>
  <x:sheetData>
    <x:row r="1" ht="26" customHeight="1">
      <x:c r="A1" s="4" t="str">
        <x:v>N04 — Tool Usage Efficiency (100 points)</x:v>
      </x:c>
      <x:c r="B1" s="4" t="str">
        <x:v>N04 — Tool Usage Efficiency (100 points)</x:v>
      </x:c>
      <x:c r="C1" s="4" t="str">
        <x:v>N04 — Tool Usage Efficiency (100 points)</x:v>
      </x:c>
      <x:c r="D1" s="4" t="str">
        <x:v>N04 — Tool Usage Efficiency (100 points)</x:v>
      </x:c>
      <x:c r="E1" s="4" t="str">
        <x:v>N04 — Tool Usage Efficiency (100 points)</x:v>
      </x:c>
      <x:c r="F1" s="4" t="str">
        <x:v>N04 — Tool Usage Efficiency (100 points)</x:v>
      </x:c>
      <x:c r="G1" s="4" t="str">
        <x:v>N04 — Tool Usage Efficiency (100 points)</x:v>
      </x:c>
    </x:row>
    <x:row r="2" ht="26" customHeight="1">
      <x:c r="A2" s="4" t="str">
        <x:v>N04 — Tool Usage Efficiency (100 points)</x:v>
      </x:c>
      <x:c r="B2" s="4" t="str">
        <x:v>N04 — Tool Usage Efficiency (100 points)</x:v>
      </x:c>
      <x:c r="C2" s="4" t="str">
        <x:v>N04 — Tool Usage Efficiency (100 points)</x:v>
      </x:c>
      <x:c r="D2" s="4" t="str">
        <x:v>N04 — Tool Usage Efficiency (100 points)</x:v>
      </x:c>
      <x:c r="E2" s="4" t="str">
        <x:v>N04 — Tool Usage Efficiency (100 points)</x:v>
      </x:c>
      <x:c r="F2" s="4" t="str">
        <x:v>N04 — Tool Usage Efficiency (100 points)</x:v>
      </x:c>
      <x:c r="G2" s="4" t="str">
        <x:v>N04 — Tool Usage Efficiency (100 points)</x:v>
      </x:c>
    </x:row>
    <x:row r="4">
      <x:c r="A4" s="32" t="str">
        <x:v>The main scientific tool is equilibrate_feed; the reference trajectory uses 5 calls. Efficiency means every call changes the next action or locks a boundary, not simply minimizing count.</x:v>
      </x:c>
      <x:c r="B4" s="32" t="str">
        <x:v>The main scientific tool is equilibrate_feed; the reference trajectory uses 5 calls. Efficiency means every call changes the next action or locks a boundary, not simply minimizing count.</x:v>
      </x:c>
      <x:c r="C4" s="32" t="str">
        <x:v>The main scientific tool is equilibrate_feed; the reference trajectory uses 5 calls. Efficiency means every call changes the next action or locks a boundary, not simply minimizing count.</x:v>
      </x:c>
      <x:c r="D4" s="32" t="str">
        <x:v>The main scientific tool is equilibrate_feed; the reference trajectory uses 5 calls. Efficiency means every call changes the next action or locks a boundary, not simply minimizing count.</x:v>
      </x:c>
      <x:c r="E4" s="32" t="str">
        <x:v>The main scientific tool is equilibrate_feed; the reference trajectory uses 5 calls. Efficiency means every call changes the next action or locks a boundary, not simply minimizing count.</x:v>
      </x:c>
      <x:c r="F4" s="32" t="str">
        <x:v>The main scientific tool is equilibrate_feed; the reference trajectory uses 5 calls. Efficiency means every call changes the next action or locks a boundary, not simply minimizing count.</x:v>
      </x:c>
      <x:c r="G4" s="32" t="str">
        <x:v>The main scientific tool is equilibrate_feed; the reference trajectory uses 5 calls. Efficiency means every call changes the next action or locks a boundary, not simply minimizing count.</x:v>
      </x:c>
    </x:row>
    <x:row r="5">
      <x:c r="A5" s="32" t="str">
        <x:v>The main scientific tool is equilibrate_feed; the reference trajectory uses 5 calls. Efficiency means every call changes the next action or locks a boundary, not simply minimizing count.</x:v>
      </x:c>
      <x:c r="B5" s="32" t="str">
        <x:v>The main scientific tool is equilibrate_feed; the reference trajectory uses 5 calls. Efficiency means every call changes the next action or locks a boundary, not simply minimizing count.</x:v>
      </x:c>
      <x:c r="C5" s="32" t="str">
        <x:v>The main scientific tool is equilibrate_feed; the reference trajectory uses 5 calls. Efficiency means every call changes the next action or locks a boundary, not simply minimizing count.</x:v>
      </x:c>
      <x:c r="D5" s="32" t="str">
        <x:v>The main scientific tool is equilibrate_feed; the reference trajectory uses 5 calls. Efficiency means every call changes the next action or locks a boundary, not simply minimizing count.</x:v>
      </x:c>
      <x:c r="E5" s="32" t="str">
        <x:v>The main scientific tool is equilibrate_feed; the reference trajectory uses 5 calls. Efficiency means every call changes the next action or locks a boundary, not simply minimizing count.</x:v>
      </x:c>
      <x:c r="F5" s="32" t="str">
        <x:v>The main scientific tool is equilibrate_feed; the reference trajectory uses 5 calls. Efficiency means every call changes the next action or locks a boundary, not simply minimizing count.</x:v>
      </x:c>
      <x:c r="G5" s="32" t="str">
        <x:v>The main scientific tool is equilibrate_feed; the reference trajectory uses 5 calls. Efficiency means every call changes the next action or locks a boundary, not simply minimizing count.</x:v>
      </x:c>
    </x:row>
    <x:row r="6">
      <x:c r="A6" s="32" t="str">
        <x:v>The main scientific tool is equilibrate_feed; the reference trajectory uses 5 calls. Efficiency means every call changes the next action or locks a boundary, not simply minimizing count.</x:v>
      </x:c>
      <x:c r="B6" s="32" t="str">
        <x:v>The main scientific tool is equilibrate_feed; the reference trajectory uses 5 calls. Efficiency means every call changes the next action or locks a boundary, not simply minimizing count.</x:v>
      </x:c>
      <x:c r="C6" s="32" t="str">
        <x:v>The main scientific tool is equilibrate_feed; the reference trajectory uses 5 calls. Efficiency means every call changes the next action or locks a boundary, not simply minimizing count.</x:v>
      </x:c>
      <x:c r="D6" s="32" t="str">
        <x:v>The main scientific tool is equilibrate_feed; the reference trajectory uses 5 calls. Efficiency means every call changes the next action or locks a boundary, not simply minimizing count.</x:v>
      </x:c>
      <x:c r="E6" s="32" t="str">
        <x:v>The main scientific tool is equilibrate_feed; the reference trajectory uses 5 calls. Efficiency means every call changes the next action or locks a boundary, not simply minimizing count.</x:v>
      </x:c>
      <x:c r="F6" s="32" t="str">
        <x:v>The main scientific tool is equilibrate_feed; the reference trajectory uses 5 calls. Efficiency means every call changes the next action or locks a boundary, not simply minimizing count.</x:v>
      </x:c>
      <x:c r="G6" s="32" t="str">
        <x:v>The main scientific tool is equilibrate_feed; the reference trajectory uses 5 calls. Efficiency means every call changes the next action or locks a boundary, not simply minimizing count.</x:v>
      </x:c>
    </x:row>
    <x:row r="8">
      <x:c r="A8" s="17" t="str">
        <x:v>Efficiency dimension</x:v>
      </x:c>
      <x:c r="B8" s="17" t="str">
        <x:v>Focus</x:v>
      </x:c>
      <x:c r="C8" s="17" t="str">
        <x:v>Full credit</x:v>
      </x:c>
      <x:c r="D8" s="17" t="str">
        <x:v>Medium</x:v>
      </x:c>
      <x:c r="E8" s="17" t="str">
        <x:v>Low</x:v>
      </x:c>
      <x:c r="F8" s="17" t="str">
        <x:v>Benchmark evidence</x:v>
      </x:c>
      <x:c r="G8" s="17" t="str">
        <x:v>Points</x:v>
      </x:c>
    </x:row>
    <x:row r="9" ht="79" customHeight="1">
      <x:c r="A9" s="21" t="str">
        <x:v>E1 Tool choice</x:v>
      </x:c>
      <x:c r="B9" s="21" t="str">
        <x:v>Use the correct chemistry tool</x:v>
      </x:c>
      <x:c r="C9" s="21" t="str">
        <x:v>Use equilibrate_feed; do not re-solve fixed RO recovery</x:v>
      </x:c>
      <x:c r="D9" s="21" t="str">
        <x:v>Some necessary metadata</x:v>
      </x:c>
      <x:c r="E9" s="21" t="str">
        <x:v>Wrong tool or irrelevant flowsheet simulation</x:v>
      </x:c>
      <x:c r="F9" s="21" t="str">
        <x:v>Recovery is specified</x:v>
      </x:c>
      <x:c r="G9" s="21" t="n">
        <x:v>20</x:v>
      </x:c>
    </x:row>
    <x:row r="10" ht="79" customHeight="1">
      <x:c r="A10" s="21" t="str">
        <x:v>E2 Information gain</x:v>
      </x:c>
      <x:c r="B10" s="21" t="str">
        <x:v>Prioritize discriminating calls</x:v>
      </x:c>
      <x:c r="C10" s="21" t="str">
        <x:v>Go from baseline directly to mechanism counterfactual</x:v>
      </x:c>
      <x:c r="D10" s="21" t="str">
        <x:v>One or two low-value calls</x:v>
      </x:c>
      <x:c r="E10" s="21" t="str">
        <x:v>Start with a dense grid</x:v>
      </x:c>
      <x:c r="F10" s="21" t="str">
        <x:v>Silica SI unchanged; pH unacceptable</x:v>
      </x:c>
      <x:c r="G10" s="21" t="n">
        <x:v>20</x:v>
      </x:c>
    </x:row>
    <x:row r="11" ht="79" customHeight="1">
      <x:c r="A11" s="21" t="str">
        <x:v>E3 Adaptive pruning</x:v>
      </x:c>
      <x:c r="B11" s="21" t="str">
        <x:v>Stop failed branches</x:v>
      </x:c>
      <x:c r="C11" s="21" t="str">
        <x:v>Use SI, pH and hard constraints to prune</x:v>
      </x:c>
      <x:c r="D11" s="21" t="str">
        <x:v>Minor redundancy</x:v>
      </x:c>
      <x:c r="E11" s="21" t="str">
        <x:v>Continue testing rejected route</x:v>
      </x:c>
      <x:c r="F11" s="21" t="str">
        <x:v>Control mineral: SiO2(a)</x:v>
      </x:c>
      <x:c r="G11" s="21" t="n">
        <x:v>20</x:v>
      </x:c>
    </x:row>
    <x:row r="12" ht="79" customHeight="1">
      <x:c r="A12" s="21" t="str">
        <x:v>E4 Boundary efficiency</x:v>
      </x:c>
      <x:c r="B12" s="21" t="str">
        <x:v>Prove boundary with few adjacent points</x:v>
      </x:c>
      <x:c r="C12" s="21" t="str">
        <x:v>Silica removal 85% to Silica removal 90%</x:v>
      </x:c>
      <x:c r="D12" s="21" t="str">
        <x:v>One or two extra adaptive points</x:v>
      </x:c>
      <x:c r="E12" s="21" t="str">
        <x:v>No adjacent fail/pass evidence</x:v>
      </x:c>
      <x:c r="F12" s="21" t="str">
        <x:v>0.0251 to -0.1510</x:v>
      </x:c>
      <x:c r="G12" s="21" t="n">
        <x:v>20</x:v>
      </x:c>
    </x:row>
    <x:row r="13" ht="79" customHeight="1">
      <x:c r="A13" s="21" t="str">
        <x:v>E5 Stop and transparency</x:v>
      </x:c>
      <x:c r="B13" s="21" t="str">
        <x:v>Stop with sufficient evidence and state scope</x:v>
      </x:c>
      <x:c r="C13" s="21" t="str">
        <x:v>About 5 calls plus explicit limitations</x:v>
      </x:c>
      <x:c r="D13" s="21" t="str">
        <x:v>Slight over-call or one unclear basis</x:v>
      </x:c>
      <x:c r="E13" s="21" t="str">
        <x:v>Enumerative calls or hidden constraint</x:v>
      </x:c>
      <x:c r="F13" s="21" t="str">
        <x:v>All pass; recommend</x:v>
      </x:c>
      <x:c r="G13" s="21" t="n">
        <x:v>20</x:v>
      </x:c>
    </x:row>
    <x:row r="15">
      <x:c r="F15" s="45" t="str">
        <x:v>Tool-efficiency total</x:v>
      </x:c>
      <x:c r="G15" s="45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