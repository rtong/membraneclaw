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dc8e783bb44586" /></Relationships>
</file>

<file path=xl/workbook.xml><?xml version="1.0" encoding="utf-8"?>
<x:workbook xmlns:x="http://schemas.openxmlformats.org/spreadsheetml/2006/main">
  <x:sheets>
    <x:sheet xmlns:r="http://schemas.openxmlformats.org/officeDocument/2006/relationships" name="Question" sheetId="1" r:id="R76b5834e13aa43b2"/>
    <x:sheet xmlns:r="http://schemas.openxmlformats.org/officeDocument/2006/relationships" name="Gold_Answer" sheetId="2" r:id="R7e0e04b22a6c448a"/>
    <x:sheet xmlns:r="http://schemas.openxmlformats.org/officeDocument/2006/relationships" name="Trajectory_Rubric" sheetId="3" r:id="Rf0e09a10f4fd4a63"/>
    <x:sheet xmlns:r="http://schemas.openxmlformats.org/officeDocument/2006/relationships" name="Tool_Efficiency" sheetId="4" r:id="Rd290ef99c2e84c23"/>
  </x:sheets>
</x:workbook>
</file>

<file path=xl/sharedStrings.xml><?xml version="1.0" encoding="utf-8"?>
<x:sst xmlns:x="http://schemas.openxmlformats.org/spreadsheetml/2006/main">
  <x:si>
    <x:t xml:space="preserve">Feed mass flow</x:t>
  </x:si>
  <x:si>
    <x:t xml:space="preserve">kg/s</x:t>
  </x:si>
  <x:si>
    <x:t xml:space="preserve">Nominal</x:t>
  </x:si>
  <x:si>
    <x:t xml:space="preserve">Membrane area</x:t>
  </x:si>
  <x:si>
    <x:t xml:space="preserve">m²</x:t>
  </x:si>
  <x:si>
    <x:t xml:space="preserve">High salinity stress</x:t>
  </x:si>
  <x:si>
    <x:t xml:space="preserve">Feed pressure</x:t>
  </x:si>
  <x:si>
    <x:t xml:space="preserve">bar</x:t>
  </x:si>
  <x:si>
    <x:t xml:space="preserve">Low temperature verify</x:t>
  </x:si>
  <x:si>
    <x:t xml:space="preserve">Permeate pressure</x:t>
  </x:si>
  <x:si>
    <x:t xml:space="preserve">High temperature verify</x:t>
  </x:si>
  <x:si>
    <x:t xml:space="preserve">Pressure drop</x:t>
  </x:si>
  <x:si>
    <x:t xml:space="preserve">Channel height</x:t>
  </x:si>
  <x:si>
    <x:t xml:space="preserve">m</x:t>
  </x:si>
  <x:si>
    <x:t xml:space="preserve">Spacer porosity</x:t>
  </x:si>
  <x:si>
    <x:t xml:space="preserve">-</x:t>
  </x:si>
  <x:si>
    <x:t xml:space="preserve">Qp</x:t>
  </x:si>
  <x:si>
    <x:t xml:space="preserve">≥ 6.10 m³/h</x:t>
  </x:si>
  <x:si>
    <x:t xml:space="preserve">Module length</x:t>
  </x:si>
  <x:si>
    <x:t xml:space="preserve">Recovery</x:t>
  </x:si>
  <x:si>
    <x:t xml:space="preserve">≤ 48%</x:t>
  </x:si>
  <x:si>
    <x:t xml:space="preserve">Flux</x:t>
  </x:si>
  <x:si>
    <x:t xml:space="preserve">≤ 18 LMH</x:t>
  </x:si>
  <x:si>
    <x:t xml:space="preserve">Rejection</x:t>
  </x:si>
  <x:si>
    <x:t xml:space="preserve">≥ 98.7%</x:t>
  </x:si>
  <x:si>
    <x:t xml:space="preserve">A_comp</x:t>
  </x:si>
  <x:si>
    <x:t xml:space="preserve">B_comp</x:t>
  </x:si>
  <x:si>
    <x:t xml:space="preserve">Permeate NaCl</x:t>
  </x:si>
  <x:si>
    <x:t xml:space="preserve">≤ 400 mg/L</x:t>
  </x:si>
  <x:si>
    <x:t xml:space="preserve">M1 High-flux</x:t>
  </x:si>
  <x:si>
    <x:t xml:space="preserve">M2 High-productivity</x:t>
  </x:si>
  <x:si>
    <x:t xml:space="preserve">M3 Balanced-high rejection</x:t>
  </x:si>
  <x:si>
    <x:t xml:space="preserve">M4 High-rejection</x:t>
  </x:si>
  <x:si>
    <x:t xml:space="preserve">A</x:t>
  </x:si>
  <x:si>
    <x:t xml:space="preserve">B</x:t>
  </x:si>
  <x:si>
    <x:t xml:space="preserve">Case</x:t>
  </x:si>
  <x:si>
    <x:t xml:space="preserve">Permeate kg/s</x:t>
  </x:si>
  <x:si>
    <x:t xml:space="preserve">Qp m³/h</x:t>
  </x:si>
  <x:si>
    <x:t xml:space="preserve">Recovery %</x:t>
  </x:si>
  <x:si>
    <x:t xml:space="preserve">Rejection %</x:t>
  </x:si>
  <x:si>
    <x:t xml:space="preserve">NaCl mg/L</x:t>
  </x:si>
  <x:si>
    <x:t xml:space="preserve">M1</x:t>
  </x:si>
  <x:si>
    <x:t xml:space="preserve">M2</x:t>
  </x:si>
  <x:si>
    <x:t xml:space="preserve">M3</x:t>
  </x:si>
  <x:si>
    <x:t xml:space="preserve">M4</x:t>
  </x:si>
  <x:si>
    <x:t xml:space="preserve">High salinity</x:t>
  </x:si>
  <x:si>
    <x:t xml:space="preserve">25°C low-temp</x:t>
  </x:si>
  <x:si>
    <x:t xml:space="preserve">35°C high-temp</x:t>
  </x:si>
  <x:si>
    <x:t xml:space="preserve">Final verify</x:t>
  </x:si>
</x:sst>
</file>

<file path=xl/styles.xml><?xml version="1.0" encoding="utf-8"?>
<x:styleSheet xmlns:x="http://schemas.openxmlformats.org/spreadsheetml/2006/main">
  <x:numFmts count="1">
    <x:numFmt numFmtId="176" formatCode="0.000"/>
  </x:numFmts>
  <x:fonts count="12">
    <x:font>
      <x:sz val="11"/>
      <x:name val="Carlito"/>
    </x:font>
    <x:font>
      <x:b/>
      <x:sz val="17"/>
      <x:color rgb="FFFFFFFF"/>
      <x:name val="Carlito"/>
    </x:font>
    <x:font>
      <x:b/>
      <x:sz val="11"/>
      <x:color rgb="FF17365D"/>
      <x:name val="Carlito"/>
    </x:font>
    <x:font>
      <x:b/>
      <x:sz val="11"/>
      <x:color rgb="FFFFFFFF"/>
      <x:name val="Carlito"/>
    </x:font>
    <x:font>
      <x:b/>
      <x:sz val="12"/>
      <x:color rgb="FF17365D"/>
      <x:name val="Carlito"/>
    </x:font>
    <x:font>
      <x:sz val="11"/>
      <x:color rgb="FF7F6000"/>
      <x:name val="Carlito"/>
    </x:font>
    <x:font>
      <x:b/>
      <x:sz val="11"/>
      <x:color rgb="FF375623"/>
      <x:name val="Carlito"/>
    </x:font>
    <x:font>
      <x:b/>
      <x:sz val="16"/>
      <x:color rgb="FFFFFFFF"/>
      <x:name val="Carlito"/>
    </x:font>
    <x:font>
      <x:sz val="11"/>
      <x:name val="Carlito"/>
    </x:font>
    <x:font>
      <x:sz val="9"/>
      <x:name val="宋体"/>
    </x:font>
    <x:font>
      <x:sz val="11"/>
      <x:name val="微软雅黑"/>
    </x:font>
    <x:font>
      <x:sz val="11"/>
      <x:name val="Carlito"/>
    </x:font>
  </x:fonts>
  <x:fills count="17">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2F75B5"/>
      </x:patternFill>
    </x:fill>
    <x:fill>
      <x:patternFill patternType="solid">
        <x:fgColor rgb="FFD9EAF7"/>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2F0D9"/>
      </x:patternFill>
    </x:fill>
  </x:fills>
  <x:borders count="33">
    <x:border/>
    <x:border/>
    <x:border/>
    <x:border/>
    <x:border/>
    <x:border/>
    <x:border/>
    <x:border/>
    <x:border/>
    <x:border/>
    <x:border/>
    <x:border/>
    <x:border/>
    <x:border/>
    <x:border/>
    <x:border/>
    <x:border/>
    <x:border/>
    <x:border/>
    <x:border/>
    <x:border/>
    <x:border/>
    <x:border/>
    <x:border/>
    <x:border/>
    <x:border/>
    <x:border/>
    <x:border/>
    <x:border/>
    <x:border/>
    <x:border/>
    <x:border/>
    <x:border/>
  </x:borders>
  <x:cellStyleXfs count="2">
    <x:xf numFmtId="0" fontId="0" fillId="0" borderId="0"/>
    <x:xf numFmtId="0" fontId="8" fillId="0" borderId="0"/>
  </x:cellStyleXfs>
  <x:cellXfs count="74">
    <x:xf numFmtId="0" fontId="0" fillId="0" borderId="0" xfId="0"/>
    <x:xf numFmtId="0" fontId="0" fillId="0" borderId="0" xfId="1" applyFont="1" applyAlignment="1">
      <x:alignment vertical="top" wrapText="1"/>
    </x:xf>
    <x:xf numFmtId="0" fontId="3" fillId="4" borderId="1" xfId="1" applyFont="1" applyFill="1" applyBorder="1" applyAlignment="1">
      <x:alignment horizontal="center" vertical="center" wrapText="1"/>
    </x:xf>
    <x:xf numFmtId="0" fontId="3" fillId="4" borderId="2" xfId="1" applyFont="1" applyFill="1" applyBorder="1" applyAlignment="1">
      <x:alignment horizontal="center" vertical="center" wrapText="1"/>
    </x:xf>
    <x:xf numFmtId="0" fontId="3" fillId="4" borderId="3" xfId="1" applyFont="1" applyFill="1" applyBorder="1" applyAlignment="1">
      <x:alignment horizontal="center" vertical="center" wrapText="1"/>
    </x:xf>
    <x:xf numFmtId="0" fontId="0" fillId="0" borderId="4" xfId="1" applyFont="1" applyBorder="1" applyAlignment="1">
      <x:alignment vertical="top" wrapText="1"/>
    </x:xf>
    <x:xf numFmtId="0" fontId="0" fillId="0" borderId="5" xfId="1" applyFont="1" applyBorder="1" applyAlignment="1">
      <x:alignment vertical="top" wrapText="1"/>
    </x:xf>
    <x:xf numFmtId="0" fontId="0" fillId="0" borderId="6" xfId="1" applyFont="1" applyBorder="1" applyAlignment="1">
      <x:alignment vertical="top" wrapText="1"/>
    </x:xf>
    <x:xf numFmtId="0" fontId="0" fillId="0" borderId="7" xfId="1" applyFont="1" applyBorder="1" applyAlignment="1">
      <x:alignment vertical="top" wrapText="1"/>
    </x:xf>
    <x:xf numFmtId="0" fontId="0" fillId="0" borderId="8" xfId="1" applyFont="1" applyBorder="1" applyAlignment="1">
      <x:alignment vertical="top" wrapText="1"/>
    </x:xf>
    <x:xf numFmtId="11" fontId="0" fillId="0" borderId="0" xfId="1" applyNumberFormat="1" applyFont="1" applyAlignment="1">
      <x:alignment vertical="top" wrapText="1"/>
    </x:xf>
    <x:xf numFmtId="11" fontId="0" fillId="0" borderId="7" xfId="1" applyNumberFormat="1" applyFont="1" applyBorder="1" applyAlignment="1">
      <x:alignment vertical="top" wrapText="1"/>
    </x:xf>
    <x:xf numFmtId="11" fontId="0" fillId="0" borderId="0" xfId="1" applyNumberFormat="1" applyFont="1"/>
    <x:xf numFmtId="11" fontId="3" fillId="4" borderId="2" xfId="1" applyNumberFormat="1" applyFont="1" applyFill="1" applyBorder="1" applyAlignment="1">
      <x:alignment horizontal="center" vertical="center" wrapText="1"/>
    </x:xf>
    <x:xf numFmtId="176" fontId="0" fillId="0" borderId="0" xfId="1" applyNumberFormat="1" applyFont="1" applyAlignment="1">
      <x:alignment vertical="top" wrapText="1"/>
    </x:xf>
    <x:xf numFmtId="176" fontId="0" fillId="0" borderId="7" xfId="1" applyNumberFormat="1" applyFont="1" applyBorder="1" applyAlignment="1">
      <x:alignment vertical="top" wrapText="1"/>
    </x:xf>
    <x:xf numFmtId="176" fontId="0" fillId="0" borderId="0" xfId="1" applyNumberFormat="1" applyFont="1"/>
    <x:xf numFmtId="176" fontId="3" fillId="4" borderId="2" xfId="1" applyNumberFormat="1" applyFont="1" applyFill="1" applyBorder="1" applyAlignment="1">
      <x:alignment horizontal="center" vertical="center" wrapText="1"/>
    </x:xf>
    <x:xf numFmtId="0" fontId="3" fillId="10" borderId="10" xfId="1" applyFont="1" applyFill="1" applyBorder="1" applyAlignment="1">
      <x:alignment horizontal="center" vertical="center" wrapText="1"/>
    </x:xf>
    <x:xf numFmtId="0" fontId="3" fillId="10" borderId="11" xfId="1" applyFont="1" applyFill="1" applyBorder="1" applyAlignment="1">
      <x:alignment horizontal="center" vertical="center" wrapText="1"/>
    </x:xf>
    <x:xf numFmtId="0" fontId="3" fillId="10" borderId="12" xfId="1" applyFont="1" applyFill="1" applyBorder="1" applyAlignment="1">
      <x:alignment horizontal="center" vertical="center" wrapText="1"/>
    </x:xf>
    <x:xf numFmtId="0" fontId="0" fillId="0" borderId="13" xfId="1" applyFont="1" applyBorder="1" applyAlignment="1">
      <x:alignment vertical="top" wrapText="1"/>
    </x:xf>
    <x:xf numFmtId="0" fontId="0" fillId="0" borderId="14" xfId="1" applyFont="1" applyBorder="1" applyAlignment="1">
      <x:alignment vertical="top" wrapText="1"/>
    </x:xf>
    <x:xf numFmtId="0" fontId="3" fillId="12" borderId="17" xfId="1" applyFont="1" applyFill="1" applyBorder="1" applyAlignment="1">
      <x:alignment horizontal="center" vertical="center" wrapText="1"/>
    </x:xf>
    <x:xf numFmtId="0" fontId="3" fillId="12" borderId="18" xfId="1" applyFont="1" applyFill="1" applyBorder="1" applyAlignment="1">
      <x:alignment horizontal="center" vertical="center" wrapText="1"/>
    </x:xf>
    <x:xf numFmtId="0" fontId="3" fillId="12" borderId="19" xfId="1" applyFont="1" applyFill="1" applyBorder="1" applyAlignment="1">
      <x:alignment horizontal="center" vertical="center" wrapText="1"/>
    </x:xf>
    <x:xf numFmtId="0" fontId="0" fillId="0" borderId="20" xfId="1" applyFont="1" applyBorder="1" applyAlignment="1">
      <x:alignment vertical="top" wrapText="1"/>
    </x:xf>
    <x:xf numFmtId="0" fontId="0" fillId="0" borderId="21" xfId="1" applyFont="1" applyBorder="1" applyAlignment="1">
      <x:alignment vertical="top" wrapText="1"/>
    </x:xf>
    <x:xf numFmtId="0" fontId="0" fillId="0" borderId="22" xfId="1" applyFont="1" applyBorder="1" applyAlignment="1">
      <x:alignment vertical="top" wrapText="1"/>
    </x:xf>
    <x:xf numFmtId="0" fontId="0" fillId="0" borderId="23" xfId="1" applyFont="1" applyBorder="1" applyAlignment="1">
      <x:alignment vertical="top" wrapText="1"/>
    </x:xf>
    <x:xf numFmtId="0" fontId="0" fillId="0" borderId="24" xfId="1" applyFont="1" applyBorder="1" applyAlignment="1">
      <x:alignment vertical="top" wrapText="1"/>
    </x:xf>
    <x:xf numFmtId="176" fontId="0" fillId="0" borderId="23" xfId="1" applyNumberFormat="1" applyFont="1" applyBorder="1" applyAlignment="1">
      <x:alignment vertical="top" wrapText="1"/>
    </x:xf>
    <x:xf numFmtId="0" fontId="0" fillId="0" borderId="17" xfId="1" applyFont="1" applyBorder="1" applyAlignment="1">
      <x:alignment vertical="top" wrapText="1"/>
    </x:xf>
    <x:xf numFmtId="0" fontId="0" fillId="0" borderId="18" xfId="1" applyFont="1" applyBorder="1" applyAlignment="1">
      <x:alignment vertical="top" wrapText="1"/>
    </x:xf>
    <x:xf numFmtId="0" fontId="0" fillId="0" borderId="19" xfId="1" applyFont="1" applyBorder="1" applyAlignment="1">
      <x:alignment vertical="top" wrapText="1"/>
    </x:xf>
    <x:xf numFmtId="0" fontId="5" fillId="14" borderId="0" xfId="1" applyFont="1" applyFill="1" applyAlignment="1">
      <x:alignment vertical="top" wrapText="1"/>
    </x:xf>
    <x:xf numFmtId="11" fontId="3" fillId="12" borderId="18" xfId="1" applyNumberFormat="1" applyFont="1" applyFill="1" applyBorder="1" applyAlignment="1">
      <x:alignment horizontal="center" vertical="center" wrapText="1"/>
    </x:xf>
    <x:xf numFmtId="176" fontId="3" fillId="12" borderId="18" xfId="1" applyNumberFormat="1" applyFont="1" applyFill="1" applyBorder="1" applyAlignment="1">
      <x:alignment horizontal="center" vertical="center" wrapText="1"/>
    </x:xf>
    <x:xf numFmtId="11" fontId="0" fillId="0" borderId="23" xfId="1" applyNumberFormat="1" applyFont="1" applyBorder="1" applyAlignment="1">
      <x:alignment vertical="top" wrapText="1"/>
    </x:xf>
    <x:xf numFmtId="0" fontId="0" fillId="0" borderId="28" xfId="1" applyFont="1" applyBorder="1" applyAlignment="1">
      <x:alignment vertical="top" wrapText="1"/>
    </x:xf>
    <x:xf numFmtId="0" fontId="0" fillId="0" borderId="29" xfId="1" applyFont="1" applyBorder="1" applyAlignment="1">
      <x:alignment vertical="top" wrapText="1"/>
    </x:xf>
    <x:xf numFmtId="0" fontId="6" fillId="16" borderId="25" xfId="1" applyFont="1" applyFill="1" applyBorder="1" applyAlignment="1">
      <x:alignment vertical="top" wrapText="1"/>
    </x:xf>
    <x:xf numFmtId="0" fontId="6" fillId="16" borderId="27" xfId="1" applyFont="1" applyFill="1" applyBorder="1" applyAlignment="1">
      <x:alignment vertical="top" wrapText="1"/>
    </x:xf>
    <x:xf numFmtId="0" fontId="6" fillId="16" borderId="25" xfId="1" applyFont="1" applyFill="1" applyBorder="1" applyAlignment="1">
      <x:alignment wrapText="1"/>
    </x:xf>
    <x:xf numFmtId="0" fontId="6" fillId="16" borderId="27" xfId="1" applyFont="1" applyFill="1" applyBorder="1" applyAlignment="1">
      <x:alignment wrapText="1"/>
    </x:xf>
    <x:xf numFmtId="0" fontId="8" fillId="0" borderId="32" xfId="1" applyBorder="1"/>
    <x:xf numFmtId="0" fontId="8" fillId="0" borderId="32" xfId="1" applyBorder="1" applyAlignment="1">
      <x:alignment horizontal="center" vertical="center" wrapText="1"/>
    </x:xf>
    <x:xf numFmtId="0" fontId="5" fillId="7" borderId="0" xfId="1" applyFont="1" applyFill="1" applyAlignment="1">
      <x:alignment vertical="top" wrapText="1"/>
    </x:xf>
    <x:xf numFmtId="0" fontId="2" fillId="11" borderId="10" xfId="1" applyFont="1" applyFill="1" applyBorder="1" applyAlignment="1">
      <x:alignment vertical="center" wrapText="1"/>
    </x:xf>
    <x:xf numFmtId="0" fontId="2" fillId="11" borderId="11" xfId="1" applyFont="1" applyFill="1" applyBorder="1" applyAlignment="1">
      <x:alignment vertical="center" wrapText="1"/>
    </x:xf>
    <x:xf numFmtId="0" fontId="2" fillId="11" borderId="12" xfId="1" applyFont="1" applyFill="1" applyBorder="1" applyAlignment="1">
      <x:alignment vertical="center" wrapText="1"/>
    </x:xf>
    <x:xf numFmtId="0" fontId="2" fillId="13" borderId="30" xfId="1" applyFont="1" applyFill="1" applyBorder="1" applyAlignment="1">
      <x:alignment vertical="center" wrapText="1"/>
    </x:xf>
    <x:xf numFmtId="0" fontId="2" fillId="13" borderId="31" xfId="1" applyFont="1" applyFill="1" applyBorder="1" applyAlignment="1">
      <x:alignment vertical="center" wrapText="1"/>
    </x:xf>
    <x:xf numFmtId="0" fontId="2" fillId="13" borderId="32" xfId="1" applyFont="1" applyFill="1" applyBorder="1" applyAlignment="1">
      <x:alignment vertical="center" wrapText="1"/>
    </x:xf>
    <x:xf numFmtId="0" fontId="7" fillId="15" borderId="0" xfId="1" applyFont="1" applyFill="1" applyAlignment="1">
      <x:alignment horizontal="center" vertical="center" wrapText="1"/>
    </x:xf>
    <x:xf numFmtId="0" fontId="5" fillId="14" borderId="0" xfId="1" applyFont="1" applyFill="1" applyAlignment="1">
      <x:alignment vertical="top" wrapText="1"/>
    </x:xf>
    <x:xf numFmtId="0" fontId="2" fillId="5" borderId="15" xfId="1" applyFont="1" applyFill="1" applyBorder="1" applyAlignment="1">
      <x:alignment vertical="top" wrapText="1"/>
    </x:xf>
    <x:xf numFmtId="0" fontId="2" fillId="5" borderId="9" xfId="1" applyFont="1" applyFill="1" applyBorder="1" applyAlignment="1">
      <x:alignment vertical="top" wrapText="1"/>
    </x:xf>
    <x:xf numFmtId="0" fontId="2" fillId="5" borderId="16" xfId="1" applyFont="1" applyFill="1" applyBorder="1" applyAlignment="1">
      <x:alignment vertical="top" wrapText="1"/>
    </x:xf>
    <x:xf numFmtId="0" fontId="6" fillId="8" borderId="0" xfId="1" applyFont="1" applyFill="1" applyAlignment="1">
      <x:alignment wrapText="1"/>
    </x:xf>
    <x:xf numFmtId="0" fontId="2" fillId="13" borderId="0" xfId="1" applyFont="1" applyFill="1" applyAlignment="1">
      <x:alignment vertical="center" wrapText="1"/>
    </x:xf>
    <x:xf numFmtId="0" fontId="0" fillId="0" borderId="25" xfId="1" applyFont="1" applyBorder="1" applyAlignment="1">
      <x:alignment vertical="top" wrapText="1"/>
    </x:xf>
    <x:xf numFmtId="0" fontId="0" fillId="0" borderId="26" xfId="1" applyFont="1" applyBorder="1" applyAlignment="1">
      <x:alignment vertical="top" wrapText="1"/>
    </x:xf>
    <x:xf numFmtId="0" fontId="0" fillId="0" borderId="27" xfId="1" applyFont="1" applyBorder="1" applyAlignment="1">
      <x:alignment vertical="top" wrapText="1"/>
    </x:xf>
    <x:xf numFmtId="0" fontId="1" fillId="2" borderId="0" xfId="1" applyFont="1" applyFill="1" applyAlignment="1">
      <x:alignment horizontal="center" vertical="center" wrapText="1"/>
    </x:xf>
    <x:xf numFmtId="0" fontId="2" fillId="3" borderId="0" xfId="1" applyFont="1" applyFill="1" applyAlignment="1">
      <x:alignment vertical="center" wrapText="1"/>
    </x:xf>
    <x:xf numFmtId="0" fontId="4" fillId="5" borderId="0" xfId="1" applyFont="1" applyFill="1" applyAlignment="1">
      <x:alignment horizontal="left" vertical="center"/>
    </x:xf>
    <x:xf numFmtId="0" fontId="4" fillId="13" borderId="0" xfId="1" applyFont="1" applyFill="1" applyAlignment="1">
      <x:alignment horizontal="left" vertical="center" wrapText="1"/>
    </x:xf>
    <x:xf numFmtId="0" fontId="6" fillId="6" borderId="0" xfId="1" applyFont="1" applyFill="1" applyAlignment="1">
      <x:alignment wrapText="1"/>
    </x:xf>
    <x:xf numFmtId="11" fontId="4" fillId="5" borderId="0" xfId="1" applyNumberFormat="1" applyFont="1" applyFill="1" applyAlignment="1">
      <x:alignment horizontal="left" vertical="center"/>
    </x:xf>
    <x:xf numFmtId="176" fontId="4" fillId="5" borderId="0" xfId="1" applyNumberFormat="1" applyFont="1" applyFill="1" applyAlignment="1">
      <x:alignment horizontal="left" vertical="center"/>
    </x:xf>
    <x:xf numFmtId="11" fontId="4" fillId="13" borderId="0" xfId="1" applyNumberFormat="1" applyFont="1" applyFill="1" applyAlignment="1">
      <x:alignment horizontal="left" vertical="center" wrapText="1"/>
    </x:xf>
    <x:xf numFmtId="176" fontId="4" fillId="13" borderId="0" xfId="1" applyNumberFormat="1" applyFont="1" applyFill="1" applyAlignment="1">
      <x:alignment horizontal="left" vertical="center" wrapText="1"/>
    </x:xf>
    <x:xf numFmtId="0" fontId="5" fillId="9" borderId="0" xfId="1" applyFont="1" applyFill="1" applyAlignment="1">
      <x:alignment vertical="top" wrapText="1"/>
    </x:xf>
  </x:cellXfs>
  <x:cellStyles count="2">
    <x:cellStyle name="Normal" xfId="1"/>
    <x:cellStyle name="常规" xfId="0"/>
  </x:cellStyles>
  <x:dxfs count="6">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6e00d759bf40d2" /><Relationship Type="http://schemas.openxmlformats.org/officeDocument/2006/relationships/theme" Target="/xl/theme/theme1.xml" Id="R8b0de30ecbaa4110" /><Relationship Type="http://schemas.openxmlformats.org/officeDocument/2006/relationships/sharedStrings" Target="/xl/sharedStrings.xml" Id="Rd4d9a4bb80574ef9" /><Relationship Type="http://schemas.openxmlformats.org/officeDocument/2006/relationships/worksheet" Target="/xl/worksheets/sheet1.xml" Id="R76b5834e13aa43b2" /><Relationship Type="http://schemas.openxmlformats.org/officeDocument/2006/relationships/worksheet" Target="/xl/worksheets/sheet2.xml" Id="R7e0e04b22a6c448a" /><Relationship Type="http://schemas.openxmlformats.org/officeDocument/2006/relationships/worksheet" Target="/xl/worksheets/sheet3.xml" Id="Rf0e09a10f4fd4a63" /><Relationship Type="http://schemas.openxmlformats.org/officeDocument/2006/relationships/worksheet" Target="/xl/worksheets/sheet4.xml" Id="Rd290ef99c2e84c23" /></Relationships>
</file>

<file path=xl/drawings/_rels/drawing1.xml.rels>&#65279;<?xml version="1.0" encoding="utf-8"?><Relationships xmlns="http://schemas.openxmlformats.org/package/2006/relationships"><Relationship Type="http://schemas.openxmlformats.org/officeDocument/2006/relationships/chart" Target="/xl/drawings/charts/chart1.xml" Id="R3c72d80fcedd4d54"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Nominal：4种膜产水量初筛</a:t>
            </a:r>
          </a:p>
        </c:rich>
      </c:tx>
    </c:title>
    <c:autoTitleDeleted val="0"/>
    <c:plotArea>
      <c:barChart>
        <c:barDir val="col"/>
        <c:grouping val="clustered"/>
        <c:varyColors val="0"/>
        <c:ser>
          <c:idx val="0"/>
          <c:order val="0"/>
          <c:tx>
            <c:v>A</c:v>
          </c:tx>
          <c:cat>
            <c:strRef>
              <c:f>分步答案_A!$A$9:$A$12</c:f>
              <c:strCache>
                <c:ptCount val="4"/>
                <c:pt idx="0">
                  <c:v>M1</c:v>
                </c:pt>
                <c:pt idx="1">
                  <c:v>M2</c:v>
                </c:pt>
                <c:pt idx="2">
                  <c:v>M3</c:v>
                </c:pt>
                <c:pt idx="3">
                  <c:v>M4</c:v>
                </c:pt>
              </c:strCache>
            </c:strRef>
          </c:cat>
          <c:val>
            <c:numRef>
              <c:f>分步答案_A!$B$9:$B$12</c:f>
              <c:numCache>
                <c:formatCode>0.00E+00</c:formatCode>
                <c:ptCount val="4"/>
                <c:pt idx="0">
                  <c:v>5E-12</c:v>
                </c:pt>
                <c:pt idx="1">
                  <c:v>4.5E-12</c:v>
                </c:pt>
                <c:pt idx="2">
                  <c:v>4.35E-12</c:v>
                </c:pt>
                <c:pt idx="3">
                  <c:v>3.3E-12</c:v>
                </c:pt>
              </c:numCache>
            </c:numRef>
          </c:val>
        </c:ser>
        <c:ser>
          <c:idx val="1"/>
          <c:order val="1"/>
          <c:tx>
            <c:v>B</c:v>
          </c:tx>
          <c:cat>
            <c:strRef>
              <c:f>分步答案_A!$A$9:$A$12</c:f>
              <c:strCache>
                <c:ptCount val="4"/>
                <c:pt idx="0">
                  <c:v>M1</c:v>
                </c:pt>
                <c:pt idx="1">
                  <c:v>M2</c:v>
                </c:pt>
                <c:pt idx="2">
                  <c:v>M3</c:v>
                </c:pt>
                <c:pt idx="3">
                  <c:v>M4</c:v>
                </c:pt>
              </c:strCache>
            </c:strRef>
          </c:cat>
          <c:val>
            <c:numRef>
              <c:f>分步答案_A!$C$9:$C$12</c:f>
              <c:numCache>
                <c:formatCode>0.00E+00</c:formatCode>
                <c:ptCount val="4"/>
                <c:pt idx="0">
                  <c:v>5E-08</c:v>
                </c:pt>
                <c:pt idx="1">
                  <c:v>3.6E-08</c:v>
                </c:pt>
                <c:pt idx="2">
                  <c:v>2.8E-08</c:v>
                </c:pt>
                <c:pt idx="3">
                  <c:v>2.4E-08</c:v>
                </c:pt>
              </c:numCache>
            </c:numRef>
          </c:val>
        </c:ser>
        <c:ser>
          <c:idx val="2"/>
          <c:order val="2"/>
          <c:tx>
            <c:v>Case</c:v>
          </c:tx>
          <c:cat>
            <c:strRef>
              <c:f>分步答案_A!$A$9:$A$12</c:f>
              <c:strCache>
                <c:ptCount val="4"/>
                <c:pt idx="0">
                  <c:v>M1</c:v>
                </c:pt>
                <c:pt idx="1">
                  <c:v>M2</c:v>
                </c:pt>
                <c:pt idx="2">
                  <c:v>M3</c:v>
                </c:pt>
                <c:pt idx="3">
                  <c:v>M4</c:v>
                </c:pt>
              </c:strCache>
            </c:strRef>
          </c:cat>
          <c:val>
            <c:numRef>
              <c:f>分步答案_A!$D$9:$D$12</c:f>
              <c:numCache>
                <c:formatCode>General</c:formatCode>
                <c:ptCount val="4"/>
                <c:pt idx="0">
                  <c:v>0</c:v>
                </c:pt>
                <c:pt idx="1">
                  <c:v>0</c:v>
                </c:pt>
                <c:pt idx="2">
                  <c:v>0</c:v>
                </c:pt>
                <c:pt idx="3">
                  <c:v>0</c:v>
                </c:pt>
              </c:numCache>
            </c:numRef>
          </c:val>
        </c:ser>
        <c:ser>
          <c:idx val="3"/>
          <c:order val="3"/>
          <c:tx>
            <c:v>Permeate kg/s</c:v>
          </c:tx>
          <c:cat>
            <c:strRef>
              <c:f>分步答案_A!$A$9:$A$12</c:f>
              <c:strCache>
                <c:ptCount val="4"/>
                <c:pt idx="0">
                  <c:v>M1</c:v>
                </c:pt>
                <c:pt idx="1">
                  <c:v>M2</c:v>
                </c:pt>
                <c:pt idx="2">
                  <c:v>M3</c:v>
                </c:pt>
                <c:pt idx="3">
                  <c:v>M4</c:v>
                </c:pt>
              </c:strCache>
            </c:strRef>
          </c:cat>
          <c:val>
            <c:numRef>
              <c:f>分步答案_A!$E$9:$E$12</c:f>
              <c:numCache>
                <c:formatCode>0.000</c:formatCode>
                <c:ptCount val="4"/>
                <c:pt idx="0">
                  <c:v>1.9676687252854945</c:v>
                </c:pt>
                <c:pt idx="1">
                  <c:v>1.8790336263419631</c:v>
                </c:pt>
                <c:pt idx="2">
                  <c:v>1.8474551756896311</c:v>
                </c:pt>
                <c:pt idx="3">
                  <c:v>1.6642722844347768</c:v>
                </c:pt>
              </c:numCache>
            </c:numRef>
          </c:val>
        </c:ser>
        <c:ser>
          <c:idx val="4"/>
          <c:order val="4"/>
          <c:tx>
            <c:v>Qp m³/h</c:v>
          </c:tx>
          <c:cat>
            <c:strRef>
              <c:f>分步答案_A!$A$9:$A$12</c:f>
              <c:strCache>
                <c:ptCount val="4"/>
                <c:pt idx="0">
                  <c:v>M1</c:v>
                </c:pt>
                <c:pt idx="1">
                  <c:v>M2</c:v>
                </c:pt>
                <c:pt idx="2">
                  <c:v>M3</c:v>
                </c:pt>
                <c:pt idx="3">
                  <c:v>M4</c:v>
                </c:pt>
              </c:strCache>
            </c:strRef>
          </c:cat>
          <c:val>
            <c:numRef>
              <c:f>分步答案_A!$F$9:$F$12</c:f>
              <c:numCache>
                <c:formatCode>0.000</c:formatCode>
                <c:ptCount val="4"/>
                <c:pt idx="0">
                  <c:v>7.0836074110277805</c:v>
                </c:pt>
                <c:pt idx="1">
                  <c:v>6.764521054831067</c:v>
                </c:pt>
                <c:pt idx="2">
                  <c:v>6.650838632482672</c:v>
                </c:pt>
                <c:pt idx="3">
                  <c:v>5.991380223965197</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0E+00" sourceLinked="1"/>
        <c:majorTickMark val="none"/>
        <c:minorTickMark val="none"/>
        <c:tickLblPos val="nextTo"/>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23</xdr:row>
      <xdr:rowOff>0</xdr:rowOff>
    </xdr:from>
    <xdr:to>
      <xdr:col>14</xdr:col>
      <xdr:colOff>0</xdr:colOff>
      <xdr:row>36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3c72d80fcedd4d54"/>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3d4eac47d6ee4e85" /></Relationships>
</file>

<file path=xl/worksheets/sheet1.xml><?xml version="1.0" encoding="utf-8"?>
<x:worksheet xmlns:x="http://schemas.openxmlformats.org/spreadsheetml/2006/main">
  <x:sheetFormatPr defaultRowHeight="14.25"/>
  <x:cols>
    <x:col min="1" max="1" width="22" customWidth="1"/>
    <x:col min="2" max="3" width="18" customWidth="1"/>
    <x:col min="4" max="4" width="27" customWidth="1"/>
    <x:col min="5" max="5" width="3" customWidth="1"/>
    <x:col min="6" max="6" width="24" customWidth="1"/>
    <x:col min="7" max="7" width="19" customWidth="1"/>
    <x:col min="8" max="8" width="27" customWidth="1"/>
  </x:cols>
  <x:sheetData>
    <x:row r="1">
      <x:c r="A1" s="64" t="str">
        <x:v>D1-1b: Candidate Membrane Screening + Stress Testing + Final Selection</x:v>
      </x:c>
      <x:c r="B1" s="64"/>
      <x:c r="C1" s="64"/>
      <x:c r="D1" s="64"/>
      <x:c r="E1" s="64"/>
      <x:c r="F1" s="64"/>
      <x:c r="G1" s="64"/>
      <x:c r="H1" s="64"/>
    </x:row>
    <x:row r="2">
      <x:c r="A2" s="64"/>
      <x:c r="B2" s="64"/>
      <x:c r="C2" s="64"/>
      <x:c r="D2" s="64"/>
      <x:c r="E2" s="64"/>
      <x:c r="F2" s="64"/>
      <x:c r="G2" s="64"/>
      <x:c r="H2" s="64"/>
    </x:row>
    <x:row r="4">
      <x:c r="A4" s="65" t="str">
        <x:v>An SWRO project has a fixed membrane area and design pressure. Procurement has provided four candidate membranes. The agent must first screen all candidates under the nominal condition, then send only the passing shortlist to a high-salinity stress test. Eliminated membranes should not receive further tool calls. If any candidates remain after the salinity stress test, verify them under the low- and high-temperature design conditions before making the final selection.</x:v>
      </x:c>
      <x:c r="B4" s="65"/>
      <x:c r="C4" s="65"/>
      <x:c r="D4" s="65"/>
      <x:c r="E4" s="65"/>
      <x:c r="F4" s="65"/>
      <x:c r="G4" s="65"/>
      <x:c r="H4" s="65"/>
    </x:row>
    <x:row r="5">
      <x:c r="A5" s="65"/>
      <x:c r="B5" s="65"/>
      <x:c r="C5" s="65"/>
      <x:c r="D5" s="65"/>
      <x:c r="E5" s="65"/>
      <x:c r="F5" s="65"/>
      <x:c r="G5" s="65"/>
      <x:c r="H5" s="65"/>
    </x:row>
    <x:row r="6">
      <x:c r="A6" s="65"/>
      <x:c r="B6" s="65"/>
      <x:c r="C6" s="65"/>
      <x:c r="D6" s="65"/>
      <x:c r="E6" s="65"/>
      <x:c r="F6" s="65"/>
      <x:c r="G6" s="65"/>
      <x:c r="H6" s="65"/>
    </x:row>
    <x:row r="8" ht="15">
      <x:c r="A8" s="2" t="str">
        <x:v>Fixed parameters</x:v>
      </x:c>
      <x:c r="B8" s="3" t="str">
        <x:v>Value</x:v>
      </x:c>
      <x:c r="C8" s="3" t="str">
        <x:v>Unit</x:v>
      </x:c>
      <x:c r="D8" s="4" t="str">
        <x:v>Notes</x:v>
      </x:c>
      <x:c r="F8" s="23" t="str">
        <x:v>Design / stress case</x:v>
      </x:c>
      <x:c r="G8" s="24" t="str">
        <x:v>NaCl mass fraction</x:v>
      </x:c>
      <x:c r="H8" s="25" t="str">
        <x:v>Temperature °C</x:v>
      </x:c>
    </x:row>
    <x:row r="9">
      <x:c r="A9" s="5" t="s">
        <x:v>0</x:v>
      </x:c>
      <x:c r="B9" s="1">
        <x:v>4.0730000000000004</x:v>
      </x:c>
      <x:c r="C9" s="1" t="s">
        <x:v>1</x:v>
      </x:c>
      <x:c r="D9" s="6" t="str">
        <x:v>Fixed</x:v>
      </x:c>
      <x:c r="F9" s="26" t="s">
        <x:v>2</x:v>
      </x:c>
      <x:c r="G9" s="14">
        <x:v>0.03</x:v>
      </x:c>
      <x:c r="H9" s="27">
        <x:v>32</x:v>
      </x:c>
    </x:row>
    <x:row r="10">
      <x:c r="A10" s="5" t="s">
        <x:v>3</x:v>
      </x:c>
      <x:c r="B10" s="1">
        <x:v>400</x:v>
      </x:c>
      <x:c r="C10" s="1" t="s">
        <x:v>4</x:v>
      </x:c>
      <x:c r="D10" s="6" t="str">
        <x:v>Fixed</x:v>
      </x:c>
      <x:c r="F10" s="26" t="s">
        <x:v>5</x:v>
      </x:c>
      <x:c r="G10" s="14">
        <x:v>3.2000000000000001E-2</x:v>
      </x:c>
      <x:c r="H10" s="27">
        <x:v>32</x:v>
      </x:c>
    </x:row>
    <x:row r="11">
      <x:c r="A11" s="5" t="s">
        <x:v>6</x:v>
      </x:c>
      <x:c r="B11" s="1">
        <x:v>52</x:v>
      </x:c>
      <x:c r="C11" s="1" t="s">
        <x:v>7</x:v>
      </x:c>
      <x:c r="D11" s="6" t="str">
        <x:v>Fixed</x:v>
      </x:c>
      <x:c r="F11" s="26" t="s">
        <x:v>8</x:v>
      </x:c>
      <x:c r="G11" s="14">
        <x:v>0.03</x:v>
      </x:c>
      <x:c r="H11" s="27">
        <x:v>25</x:v>
      </x:c>
    </x:row>
    <x:row r="12">
      <x:c r="A12" s="5" t="s">
        <x:v>9</x:v>
      </x:c>
      <x:c r="B12" s="1">
        <x:v>1.0129999999999999</x:v>
      </x:c>
      <x:c r="C12" s="1" t="s">
        <x:v>7</x:v>
      </x:c>
      <x:c r="D12" s="6" t="str">
        <x:v>Fixed</x:v>
      </x:c>
      <x:c r="F12" s="28" t="s">
        <x:v>10</x:v>
      </x:c>
      <x:c r="G12" s="31">
        <x:v>0.03</x:v>
      </x:c>
      <x:c r="H12" s="30">
        <x:v>35</x:v>
      </x:c>
    </x:row>
    <x:row r="13" ht="15.75">
      <x:c r="A13" s="5" t="s">
        <x:v>11</x:v>
      </x:c>
      <x:c r="B13" s="1">
        <x:v>0.65300000000000002</x:v>
      </x:c>
      <x:c r="C13" s="1" t="s">
        <x:v>7</x:v>
      </x:c>
      <x:c r="D13" s="6" t="str">
        <x:v>Fixed</x:v>
      </x:c>
      <x:c r="F13" s="66"/>
      <x:c r="G13" s="66"/>
      <x:c r="H13" s="66"/>
    </x:row>
    <x:row r="14" ht="15">
      <x:c r="A14" s="5" t="s">
        <x:v>12</x:v>
      </x:c>
      <x:c r="B14" s="1">
        <x:v>2E-3</x:v>
      </x:c>
      <x:c r="C14" s="1" t="s">
        <x:v>13</x:v>
      </x:c>
      <x:c r="D14" s="6" t="str">
        <x:v>Fixed</x:v>
      </x:c>
      <x:c r="F14" s="60" t="str">
        <x:v>Common hard constraints</x:v>
      </x:c>
      <x:c r="G14" s="60"/>
      <x:c r="H14" s="60"/>
    </x:row>
    <x:row r="15">
      <x:c r="A15" s="5" t="s">
        <x:v>14</x:v>
      </x:c>
      <x:c r="B15" s="1">
        <x:v>0.75</x:v>
      </x:c>
      <x:c r="C15" s="1" t="s">
        <x:v>15</x:v>
      </x:c>
      <x:c r="D15" s="6" t="str">
        <x:v>Fixed</x:v>
      </x:c>
      <x:c r="F15" s="32" t="s">
        <x:v>16</x:v>
      </x:c>
      <x:c r="G15" s="33" t="s">
        <x:v>17</x:v>
      </x:c>
      <x:c r="H15" s="34" t="str">
        <x:v>All mandatory cases</x:v>
      </x:c>
    </x:row>
    <x:row r="16">
      <x:c r="A16" s="7" t="s">
        <x:v>18</x:v>
      </x:c>
      <x:c r="B16" s="8">
        <x:v>20</x:v>
      </x:c>
      <x:c r="C16" s="8" t="s">
        <x:v>13</x:v>
      </x:c>
      <x:c r="D16" s="9" t="str">
        <x:v>Fixed</x:v>
      </x:c>
      <x:c r="F16" s="26" t="s">
        <x:v>19</x:v>
      </x:c>
      <x:c r="G16" s="1" t="s">
        <x:v>20</x:v>
      </x:c>
      <x:c r="H16" s="27" t="str">
        <x:v>All mandatory cases</x:v>
      </x:c>
    </x:row>
    <x:row r="17">
      <x:c r="F17" s="26" t="s">
        <x:v>21</x:v>
      </x:c>
      <x:c r="G17" s="1" t="s">
        <x:v>22</x:v>
      </x:c>
      <x:c r="H17" s="27" t="str">
        <x:v>All mandatory cases</x:v>
      </x:c>
    </x:row>
    <x:row r="18" ht="15.75">
      <x:c r="A18" s="66" t="str">
        <x:v>Four candidate membranes</x:v>
      </x:c>
      <x:c r="B18" s="66"/>
      <x:c r="C18" s="66"/>
      <x:c r="D18" s="66"/>
      <x:c r="F18" s="26" t="s">
        <x:v>23</x:v>
      </x:c>
      <x:c r="G18" s="1" t="s">
        <x:v>24</x:v>
      </x:c>
      <x:c r="H18" s="27" t="str">
        <x:v>All mandatory cases</x:v>
      </x:c>
    </x:row>
    <x:row r="19" ht="15">
      <x:c r="A19" s="2" t="str">
        <x:v>Membrane</x:v>
      </x:c>
      <x:c r="B19" s="3" t="s">
        <x:v>25</x:v>
      </x:c>
      <x:c r="C19" s="3" t="s">
        <x:v>26</x:v>
      </x:c>
      <x:c r="D19" s="4" t="str">
        <x:v>Design intent</x:v>
      </x:c>
      <x:c r="F19" s="28" t="s">
        <x:v>27</x:v>
      </x:c>
      <x:c r="G19" s="29" t="s">
        <x:v>28</x:v>
      </x:c>
      <x:c r="H19" s="30" t="str">
        <x:v>All mandatory cases</x:v>
      </x:c>
    </x:row>
    <x:row r="20">
      <x:c r="A20" s="5" t="s">
        <x:v>29</x:v>
      </x:c>
      <x:c r="B20" s="10">
        <x:v>4.9999999999999997E-12</x:v>
      </x:c>
      <x:c r="C20" s="10">
        <x:v>4.9999999999999998E-8</x:v>
      </x:c>
      <x:c r="D20" s="6" t="str">
        <x:v>High A / high B</x:v>
      </x:c>
    </x:row>
    <x:row r="21">
      <x:c r="A21" s="5" t="s">
        <x:v>30</x:v>
      </x:c>
      <x:c r="B21" s="10">
        <x:v>4.4999999999999998E-12</x:v>
      </x:c>
      <x:c r="C21" s="10">
        <x:v>3.5999999999999998E-8</x:v>
      </x:c>
      <x:c r="D21" s="6" t="str">
        <x:v>Higher A / medium-high B</x:v>
      </x:c>
    </x:row>
    <x:row r="22" ht="28.5">
      <x:c r="A22" s="5" t="s">
        <x:v>31</x:v>
      </x:c>
      <x:c r="B22" s="10">
        <x:v>4.3499999999999998E-12</x:v>
      </x:c>
      <x:c r="C22" s="10">
        <x:v>2.7999999999999999E-8</x:v>
      </x:c>
      <x:c r="D22" s="6" t="str">
        <x:v>Medium-high A / low B</x:v>
      </x:c>
    </x:row>
    <x:row r="23">
      <x:c r="A23" s="7" t="s">
        <x:v>32</x:v>
      </x:c>
      <x:c r="B23" s="11">
        <x:v>3.3000000000000001E-12</x:v>
      </x:c>
      <x:c r="C23" s="11">
        <x:v>2.4E-8</x:v>
      </x:c>
      <x:c r="D23" s="9" t="str">
        <x:v>Low A / very low B</x:v>
      </x:c>
    </x:row>
    <x:row r="25" ht="15.75">
      <x:c r="A25" s="67" t="str">
        <x:v>Required tasks</x:v>
      </x:c>
      <x:c r="B25" s="67"/>
      <x:c r="C25" s="67"/>
      <x:c r="D25" s="67"/>
      <x:c r="E25" s="67"/>
      <x:c r="F25" s="67"/>
      <x:c r="G25" s="67"/>
      <x:c r="H25" s="67"/>
    </x:row>
    <x:row r="26" ht="44.099998474121094" customHeight="1">
      <x:c r="A26" s="61" t="str">
        <x:v>1. E1 — Identify this as a membrane-performance parameter selection problem. Explain the A/B trade-off and anticipate typical risks for high-A/high-B and low-A/low-B candidates.</x:v>
      </x:c>
      <x:c r="B26" s="62"/>
      <x:c r="C26" s="62"/>
      <x:c r="D26" s="62"/>
      <x:c r="E26" s="62"/>
      <x:c r="F26" s="62"/>
      <x:c r="G26" s="62"/>
      <x:c r="H26" s="63"/>
    </x:row>
    <x:row r="27" ht="44.099998474121094" customHeight="1">
      <x:c r="A27" s="61" t="str">
        <x:v>2. E2 — Screen all four membranes under the nominal condition. Only membranes that satisfy every hard constraint may enter the shortlist.</x:v>
      </x:c>
      <x:c r="B27" s="62"/>
      <x:c r="C27" s="62"/>
      <x:c r="D27" s="62"/>
      <x:c r="E27" s="62"/>
      <x:c r="F27" s="62"/>
      <x:c r="G27" s="62"/>
      <x:c r="H27" s="63"/>
    </x:row>
    <x:row r="28" ht="44.099998474121094" customHeight="1">
      <x:c r="A28" s="61" t="str">
        <x:v>3. E3 — Run the high-salinity stress test on the shortlist. Eliminate any membrane that fails and stop that branch.</x:v>
      </x:c>
      <x:c r="B28" s="62"/>
      <x:c r="C28" s="62"/>
      <x:c r="D28" s="62"/>
      <x:c r="E28" s="62"/>
      <x:c r="F28" s="62"/>
      <x:c r="G28" s="62"/>
      <x:c r="H28" s="63"/>
    </x:row>
    <x:row r="29" ht="44.099998474121094" customHeight="1">
      <x:c r="A29" s="61" t="str">
        <x:v>4. E4 — For the final surviving candidate(s), run both the 25°C low-temperature and 35°C high-temperature verification cases. Do not make a procurement decision from a single temperature.</x:v>
      </x:c>
      <x:c r="B29" s="62"/>
      <x:c r="C29" s="62"/>
      <x:c r="D29" s="62"/>
      <x:c r="E29" s="62"/>
      <x:c r="F29" s="62"/>
      <x:c r="G29" s="62"/>
      <x:c r="H29" s="63"/>
    </x:row>
    <x:row r="30" ht="44.099998474121094" customHeight="1">
      <x:c r="A30" s="61" t="str">
        <x:v>5. Final recommendation — Base the decision on all mandatory cases and explain why the best choice is not simply the membrane with the highest A or the lowest B.</x:v>
      </x:c>
      <x:c r="B30" s="62"/>
      <x:c r="C30" s="62"/>
      <x:c r="D30" s="62"/>
      <x:c r="E30" s="62"/>
      <x:c r="F30" s="62"/>
      <x:c r="G30" s="62"/>
      <x:c r="H30" s="63"/>
    </x:row>
    <x:row r="32">
      <x:c r="A32" s="55" t="str">
        <x:v>Multi-call principle: nominal screening → shortlist → high-salinity stress → low/high-temperature verification of the final candidate(s). Other reasonable orders are acceptable, but eliminated membranes should not receive low-information stress tests.</x:v>
      </x:c>
      <x:c r="B32" s="55"/>
      <x:c r="C32" s="55"/>
      <x:c r="D32" s="55"/>
      <x:c r="E32" s="55"/>
      <x:c r="F32" s="55"/>
      <x:c r="G32" s="55"/>
      <x:c r="H32" s="55"/>
    </x:row>
    <x:row r="33">
      <x:c r="A33" s="55"/>
      <x:c r="B33" s="55"/>
      <x:c r="C33" s="55"/>
      <x:c r="D33" s="55"/>
      <x:c r="E33" s="55"/>
      <x:c r="F33" s="55"/>
      <x:c r="G33" s="55"/>
      <x:c r="H33" s="55"/>
    </x:row>
    <x:row r="34">
      <x:c r="A34" s="55"/>
      <x:c r="B34" s="55"/>
      <x:c r="C34" s="55"/>
      <x:c r="D34" s="55"/>
      <x:c r="E34" s="55"/>
      <x:c r="F34" s="55"/>
      <x:c r="G34" s="55"/>
      <x:c r="H34" s="55"/>
    </x:row>
  </x:sheetData>
  <x:mergeCells>
    <x:mergeCell ref="A1:H2"/>
    <x:mergeCell ref="A4:H6"/>
    <x:mergeCell ref="A18:D18"/>
    <x:mergeCell ref="F13:H13"/>
    <x:mergeCell ref="A25:H25"/>
    <x:mergeCell ref="A32:H34"/>
    <x:mergeCell ref="F14:H14"/>
    <x:mergeCell ref="A26:H26"/>
    <x:mergeCell ref="A27:H27"/>
    <x:mergeCell ref="A28:H28"/>
    <x:mergeCell ref="A29:H29"/>
    <x:mergeCell ref="A30:H30"/>
  </x:mergeCells>
  <x:pageMargins left="0.7" right="0.7" top="0.75" bottom="0.75" header="0.3" footer="0.3"/>
</x:worksheet>
</file>

<file path=xl/worksheets/sheet2.xml><?xml version="1.0" encoding="utf-8"?>
<x:worksheet xmlns:x="http://schemas.openxmlformats.org/spreadsheetml/2006/main">
  <x:sheetFormatPr defaultRowHeight="14.25"/>
  <x:cols>
    <x:col min="1" max="1" width="15" customWidth="1"/>
    <x:col min="2" max="3" width="14" customWidth="1"/>
    <x:col min="4" max="4" width="18" customWidth="1"/>
    <x:col min="5" max="5" width="19" customWidth="1"/>
    <x:col min="6" max="6" width="15" customWidth="1"/>
    <x:col min="7" max="10" width="14" customWidth="1"/>
    <x:col min="11" max="14" width="12" customWidth="1"/>
  </x:cols>
  <x:sheetData>
    <x:row r="1">
      <x:c r="A1" s="64" t="str">
        <x:v>D1-1b: Gold Answer — Screening → Shortlist → Stress Test</x:v>
      </x:c>
      <x:c r="B1" s="64"/>
      <x:c r="C1" s="64"/>
      <x:c r="D1" s="64"/>
      <x:c r="E1" s="64"/>
      <x:c r="F1" s="64"/>
      <x:c r="G1" s="64"/>
      <x:c r="H1" s="64"/>
      <x:c r="I1" s="64"/>
      <x:c r="J1" s="64"/>
      <x:c r="K1" s="64"/>
      <x:c r="L1" s="64"/>
      <x:c r="M1" s="64"/>
      <x:c r="N1" s="64"/>
    </x:row>
    <x:row r="2">
      <x:c r="A2" s="64"/>
      <x:c r="B2" s="64"/>
      <x:c r="C2" s="64"/>
      <x:c r="D2" s="64"/>
      <x:c r="E2" s="64"/>
      <x:c r="F2" s="64"/>
      <x:c r="G2" s="64"/>
      <x:c r="H2" s="64"/>
      <x:c r="I2" s="64"/>
      <x:c r="J2" s="64"/>
      <x:c r="K2" s="64"/>
      <x:c r="L2" s="64"/>
      <x:c r="M2" s="64"/>
      <x:c r="N2" s="64"/>
    </x:row>
    <x:row r="4">
      <x:c r="A4" s="68" t="str">
        <x:v>Reference efficient trajectory: about 8 simulate_ro calls. Nominal screening uses 4 calls and retains M2/M3. High-salinity stress uses 2 calls; M2 is eliminated because permeate NaCl &gt; 400 mg/L. Only M3 then receives the 25°C low-temperature and 35°C high-temperature verification calls.</x:v>
      </x:c>
      <x:c r="B4" s="68"/>
      <x:c r="C4" s="68"/>
      <x:c r="D4" s="68"/>
      <x:c r="E4" s="68"/>
      <x:c r="F4" s="68"/>
      <x:c r="G4" s="68"/>
      <x:c r="H4" s="68"/>
      <x:c r="I4" s="68"/>
      <x:c r="J4" s="68"/>
      <x:c r="K4" s="68"/>
      <x:c r="L4" s="68"/>
      <x:c r="M4" s="68"/>
      <x:c r="N4" s="68"/>
    </x:row>
    <x:row r="5">
      <x:c r="A5" s="68"/>
      <x:c r="B5" s="68"/>
      <x:c r="C5" s="68"/>
      <x:c r="D5" s="68"/>
      <x:c r="E5" s="68"/>
      <x:c r="F5" s="68"/>
      <x:c r="G5" s="68"/>
      <x:c r="H5" s="68"/>
      <x:c r="I5" s="68"/>
      <x:c r="J5" s="68"/>
      <x:c r="K5" s="68"/>
      <x:c r="L5" s="68"/>
      <x:c r="M5" s="68"/>
      <x:c r="N5" s="68"/>
    </x:row>
    <x:row r="7" ht="15.75">
      <x:c r="A7" s="66" t="str">
        <x:v>Stage 1: Nominal screening (4 calls)</x:v>
      </x:c>
      <x:c r="B7" s="66"/>
      <x:c r="C7" s="66"/>
      <x:c r="D7" s="66"/>
      <x:c r="E7" s="66"/>
      <x:c r="F7" s="66"/>
      <x:c r="G7" s="66"/>
      <x:c r="H7" s="66"/>
      <x:c r="I7" s="66"/>
      <x:c r="J7" s="66"/>
      <x:c r="K7" s="66"/>
      <x:c r="L7" s="66"/>
      <x:c r="M7" s="66"/>
      <x:c r="N7" s="66"/>
    </x:row>
    <x:row r="8" ht="15">
      <x:c r="A8" s="2" t="str">
        <x:v>Membrane</x:v>
      </x:c>
      <x:c r="B8" s="3" t="s">
        <x:v>33</x:v>
      </x:c>
      <x:c r="C8" s="3" t="s">
        <x:v>34</x:v>
      </x:c>
      <x:c r="D8" s="3" t="s">
        <x:v>35</x:v>
      </x:c>
      <x:c r="E8" s="3" t="s">
        <x:v>36</x:v>
      </x:c>
      <x:c r="F8" s="3" t="s">
        <x:v>37</x:v>
      </x:c>
      <x:c r="G8" s="3" t="s">
        <x:v>21</x:v>
      </x:c>
      <x:c r="H8" s="3" t="s">
        <x:v>38</x:v>
      </x:c>
      <x:c r="I8" s="3" t="s">
        <x:v>39</x:v>
      </x:c>
      <x:c r="J8" s="3" t="s">
        <x:v>40</x:v>
      </x:c>
      <x:c r="K8" s="3" t="str">
        <x:v>Production</x:v>
      </x:c>
      <x:c r="L8" s="3" t="s">
        <x:v>19</x:v>
      </x:c>
      <x:c r="M8" s="3" t="str">
        <x:v>Water quality</x:v>
      </x:c>
      <x:c r="N8" s="4" t="str">
        <x:v>Overall</x:v>
      </x:c>
    </x:row>
    <x:row r="9" ht="15">
      <x:c r="A9" s="5" t="s">
        <x:v>41</x:v>
      </x:c>
      <x:c r="B9" s="10">
        <x:v>4.9999999999999997E-12</x:v>
      </x:c>
      <x:c r="C9" s="10">
        <x:v>4.9999999999999998E-8</x:v>
      </x:c>
      <x:c r="D9" s="1" t="s">
        <x:v>2</x:v>
      </x:c>
      <x:c r="E9" s="14">
        <x:v>1.9676687252854945</x:v>
      </x:c>
      <x:c r="F9" s="14" t="n">
        <x:f>E9*3.6</x:f>
        <x:v>7.0836074110277805</x:v>
      </x:c>
      <x:c r="G9" s="14">
        <x:v>17.700163126495372</x:v>
      </x:c>
      <x:c r="H9" s="14">
        <x:v>49.392471521122502</x:v>
      </x:c>
      <x:c r="I9" s="14">
        <x:v>98.369693337194448</x:v>
      </x:c>
      <x:c r="J9" s="14">
        <x:v>500.05035910330702</x:v>
      </x:c>
      <x:c r="K9" s="1" t="str">
        <x:v>Pass</x:v>
      </x:c>
      <x:c r="L9" s="1" t="str">
        <x:v>Fail</x:v>
      </x:c>
      <x:c r="M9" s="1" t="str">
        <x:v>Fail</x:v>
      </x:c>
      <x:c r="N9" s="6" t="str">
        <x:v>Fail</x:v>
      </x:c>
    </x:row>
    <x:row r="10" ht="15">
      <x:c r="A10" s="5" t="s">
        <x:v>42</x:v>
      </x:c>
      <x:c r="B10" s="10">
        <x:v>4.4999999999999998E-12</x:v>
      </x:c>
      <x:c r="C10" s="10">
        <x:v>3.5999999999999998E-8</x:v>
      </x:c>
      <x:c r="D10" s="1" t="s">
        <x:v>2</x:v>
      </x:c>
      <x:c r="E10" s="14">
        <x:v>1.8790336263419631</x:v>
      </x:c>
      <x:c r="F10" s="14" t="n">
        <x:f>E10*3.6</x:f>
        <x:v>6.764521054831067</x:v>
      </x:c>
      <x:c r="G10" s="14">
        <x:v>16.905008317413035</x:v>
      </x:c>
      <x:c r="H10" s="14">
        <x:v>47.172131691992227</x:v>
      </x:c>
      <x:c r="I10" s="14">
        <x:v>98.786652725984453</x:v>
      </x:c>
      <x:c r="J10" s="14">
        <x:v>372.19602769293931</x:v>
      </x:c>
      <x:c r="K10" s="1" t="str">
        <x:v>Pass</x:v>
      </x:c>
      <x:c r="L10" s="1" t="str">
        <x:v>Pass</x:v>
      </x:c>
      <x:c r="M10" s="1" t="str">
        <x:v>Pass</x:v>
      </x:c>
      <x:c r="N10" s="6" t="str">
        <x:v>Pass</x:v>
      </x:c>
    </x:row>
    <x:row r="11" ht="15">
      <x:c r="A11" s="5" t="s">
        <x:v>43</x:v>
      </x:c>
      <x:c r="B11" s="10">
        <x:v>4.3499999999999998E-12</x:v>
      </x:c>
      <x:c r="C11" s="10">
        <x:v>2.7999999999999999E-8</x:v>
      </x:c>
      <x:c r="D11" s="1" t="s">
        <x:v>2</x:v>
      </x:c>
      <x:c r="E11" s="14">
        <x:v>1.8474551756896311</x:v>
      </x:c>
      <x:c r="F11" s="14" t="n">
        <x:f>E11*3.6</x:f>
        <x:v>6.650838632482672</x:v>
      </x:c>
      <x:c r="G11" s="14">
        <x:v>16.622219523946235</x:v>
      </x:c>
      <x:c r="H11" s="14">
        <x:v>46.382150518809432</x:v>
      </x:c>
      <x:c r="I11" s="14">
        <x:v>99.043843901433021</x:v>
      </x:c>
      <x:c r="J11" s="14">
        <x:v>293.31983708804893</x:v>
      </x:c>
      <x:c r="K11" s="1" t="str">
        <x:v>Pass</x:v>
      </x:c>
      <x:c r="L11" s="1" t="str">
        <x:v>Pass</x:v>
      </x:c>
      <x:c r="M11" s="1" t="str">
        <x:v>Pass</x:v>
      </x:c>
      <x:c r="N11" s="6" t="str">
        <x:v>Pass</x:v>
      </x:c>
    </x:row>
    <x:row r="12" ht="15">
      <x:c r="A12" s="7" t="s">
        <x:v>44</x:v>
      </x:c>
      <x:c r="B12" s="11">
        <x:v>3.3000000000000001E-12</x:v>
      </x:c>
      <x:c r="C12" s="11">
        <x:v>2.4E-8</x:v>
      </x:c>
      <x:c r="D12" s="8" t="s">
        <x:v>2</x:v>
      </x:c>
      <x:c r="E12" s="15">
        <x:v>1.6642722844347768</x:v>
      </x:c>
      <x:c r="F12" s="15" t="n">
        <x:f>E12*3.6</x:f>
        <x:v>5.991380223965197</x:v>
      </x:c>
      <x:c r="G12" s="15">
        <x:v>14.974466952436693</x:v>
      </x:c>
      <x:c r="H12" s="15">
        <x:v>41.78403525493836</x:v>
      </x:c>
      <x:c r="I12" s="15">
        <x:v>99.133062108372286</x:v>
      </x:c>
      <x:c r="J12" s="15">
        <x:v>265.955911819047</x:v>
      </x:c>
      <x:c r="K12" s="8" t="str">
        <x:v>Fail</x:v>
      </x:c>
      <x:c r="L12" s="8" t="str">
        <x:v>Pass</x:v>
      </x:c>
      <x:c r="M12" s="8" t="str">
        <x:v>Pass</x:v>
      </x:c>
      <x:c r="N12" s="9" t="str">
        <x:v>Fail</x:v>
      </x:c>
    </x:row>
    <x:row r="13">
      <x:c r="B13" s="12"/>
      <x:c r="C13" s="12"/>
      <x:c r="E13" s="16"/>
      <x:c r="F13" s="16"/>
      <x:c r="G13" s="16"/>
      <x:c r="H13" s="16"/>
      <x:c r="I13" s="16"/>
      <x:c r="J13" s="16"/>
    </x:row>
    <x:row r="14" ht="15.75">
      <x:c r="A14" s="66" t="str">
        <x:v>Stage 2: High-salinity stress test on the shortlist (M2/M3 only)</x:v>
      </x:c>
      <x:c r="B14" s="69"/>
      <x:c r="C14" s="69"/>
      <x:c r="D14" s="66"/>
      <x:c r="E14" s="70"/>
      <x:c r="F14" s="70"/>
      <x:c r="G14" s="70"/>
      <x:c r="H14" s="70"/>
      <x:c r="I14" s="70"/>
      <x:c r="J14" s="70"/>
      <x:c r="K14" s="66"/>
      <x:c r="L14" s="66"/>
      <x:c r="M14" s="66"/>
      <x:c r="N14" s="66"/>
    </x:row>
    <x:row r="15" ht="15">
      <x:c r="A15" s="2" t="str">
        <x:v>Membrane</x:v>
      </x:c>
      <x:c r="B15" s="13" t="s">
        <x:v>33</x:v>
      </x:c>
      <x:c r="C15" s="13" t="s">
        <x:v>34</x:v>
      </x:c>
      <x:c r="D15" s="3" t="s">
        <x:v>35</x:v>
      </x:c>
      <x:c r="E15" s="17" t="s">
        <x:v>36</x:v>
      </x:c>
      <x:c r="F15" s="17" t="s">
        <x:v>37</x:v>
      </x:c>
      <x:c r="G15" s="17" t="s">
        <x:v>21</x:v>
      </x:c>
      <x:c r="H15" s="17" t="s">
        <x:v>38</x:v>
      </x:c>
      <x:c r="I15" s="17" t="s">
        <x:v>39</x:v>
      </x:c>
      <x:c r="J15" s="17" t="s">
        <x:v>40</x:v>
      </x:c>
      <x:c r="K15" s="3" t="str">
        <x:v>Production</x:v>
      </x:c>
      <x:c r="L15" s="3" t="s">
        <x:v>19</x:v>
      </x:c>
      <x:c r="M15" s="3" t="str">
        <x:v>Water quality</x:v>
      </x:c>
      <x:c r="N15" s="4" t="str">
        <x:v>Overall</x:v>
      </x:c>
    </x:row>
    <x:row r="16" ht="15">
      <x:c r="A16" s="5" t="s">
        <x:v>42</x:v>
      </x:c>
      <x:c r="B16" s="10">
        <x:v>4.4999999999999998E-12</x:v>
      </x:c>
      <x:c r="C16" s="10">
        <x:v>3.5999999999999998E-8</x:v>
      </x:c>
      <x:c r="D16" s="1" t="s">
        <x:v>45</x:v>
      </x:c>
      <x:c r="E16" s="14">
        <x:v>1.7387373591974824</x:v>
      </x:c>
      <x:c r="F16" s="14" t="n">
        <x:f>E16*3.6</x:f>
        <x:v>6.259454493110937</x:v>
      </x:c>
      <x:c r="G16" s="14">
        <x:v>15.64222285898539</x:v>
      </x:c>
      <x:c r="H16" s="14">
        <x:v>43.713671640517099</x:v>
      </x:c>
      <x:c r="I16" s="14">
        <x:v>98.749273449473563</x:v>
      </x:c>
      <x:c r="J16" s="14">
        <x:v>409.83595608912725</x:v>
      </x:c>
      <x:c r="K16" s="1" t="str">
        <x:v>Pass</x:v>
      </x:c>
      <x:c r="L16" s="1" t="str">
        <x:v>Pass</x:v>
      </x:c>
      <x:c r="M16" s="1" t="str">
        <x:v>Fail</x:v>
      </x:c>
      <x:c r="N16" s="6" t="str">
        <x:v>Fail</x:v>
      </x:c>
    </x:row>
    <x:row r="17" ht="15">
      <x:c r="A17" s="7" t="s">
        <x:v>43</x:v>
      </x:c>
      <x:c r="B17" s="11">
        <x:v>4.3499999999999998E-12</x:v>
      </x:c>
      <x:c r="C17" s="11">
        <x:v>2.7999999999999999E-8</x:v>
      </x:c>
      <x:c r="D17" s="8" t="s">
        <x:v>45</x:v>
      </x:c>
      <x:c r="E17" s="15">
        <x:v>1.7081062254201143</x:v>
      </x:c>
      <x:c r="F17" s="15" t="n">
        <x:f>E17*3.6</x:f>
        <x:v>6.149182411512411</x:v>
      </x:c>
      <x:c r="G17" s="15">
        <x:v>15.367983868141458</x:v>
      </x:c>
      <x:c r="H17" s="15">
        <x:v>42.946391394041655</x:v>
      </x:c>
      <x:c r="I17" s="15">
        <x:v>99.013012674422441</x:v>
      </x:c>
      <x:c r="J17" s="15">
        <x:v>323.4355598404228</x:v>
      </x:c>
      <x:c r="K17" s="8" t="str">
        <x:v>Pass</x:v>
      </x:c>
      <x:c r="L17" s="8" t="str">
        <x:v>Pass</x:v>
      </x:c>
      <x:c r="M17" s="8" t="str">
        <x:v>Pass</x:v>
      </x:c>
      <x:c r="N17" s="9" t="str">
        <x:v>Pass</x:v>
      </x:c>
    </x:row>
    <x:row r="18">
      <x:c r="B18" s="12"/>
      <x:c r="C18" s="12"/>
      <x:c r="E18" s="16"/>
      <x:c r="F18" s="16"/>
      <x:c r="G18" s="16"/>
      <x:c r="H18" s="16"/>
      <x:c r="I18" s="16"/>
      <x:c r="J18" s="16"/>
    </x:row>
    <x:row r="19" ht="15.75">
      <x:c r="A19" s="67" t="str">
        <x:v>Stage 3: Low-/high-temperature verification of final candidate M3 (2 calls)</x:v>
      </x:c>
      <x:c r="B19" s="71"/>
      <x:c r="C19" s="71"/>
      <x:c r="D19" s="67"/>
      <x:c r="E19" s="72"/>
      <x:c r="F19" s="72"/>
      <x:c r="G19" s="72"/>
      <x:c r="H19" s="72"/>
      <x:c r="I19" s="72"/>
      <x:c r="J19" s="72"/>
      <x:c r="K19" s="67"/>
      <x:c r="L19" s="67"/>
      <x:c r="M19" s="67"/>
      <x:c r="N19" s="67"/>
    </x:row>
    <x:row r="20" ht="15">
      <x:c r="A20" s="23" t="str">
        <x:v>Membrane</x:v>
      </x:c>
      <x:c r="B20" s="36" t="s">
        <x:v>33</x:v>
      </x:c>
      <x:c r="C20" s="36" t="s">
        <x:v>34</x:v>
      </x:c>
      <x:c r="D20" s="24" t="s">
        <x:v>35</x:v>
      </x:c>
      <x:c r="E20" s="37" t="s">
        <x:v>36</x:v>
      </x:c>
      <x:c r="F20" s="37" t="s">
        <x:v>37</x:v>
      </x:c>
      <x:c r="G20" s="37" t="s">
        <x:v>21</x:v>
      </x:c>
      <x:c r="H20" s="37" t="s">
        <x:v>38</x:v>
      </x:c>
      <x:c r="I20" s="37" t="s">
        <x:v>39</x:v>
      </x:c>
      <x:c r="J20" s="37" t="s">
        <x:v>40</x:v>
      </x:c>
      <x:c r="K20" s="24" t="str">
        <x:v>Production</x:v>
      </x:c>
      <x:c r="L20" s="24" t="s">
        <x:v>19</x:v>
      </x:c>
      <x:c r="M20" s="24" t="str">
        <x:v>Water quality</x:v>
      </x:c>
      <x:c r="N20" s="25" t="str">
        <x:v>Overall</x:v>
      </x:c>
    </x:row>
    <x:row r="21" ht="15">
      <x:c r="A21" s="26" t="s">
        <x:v>43</x:v>
      </x:c>
      <x:c r="B21" s="10">
        <x:v>4.3499999999999998E-12</x:v>
      </x:c>
      <x:c r="C21" s="10">
        <x:v>2.7999999999999999E-8</x:v>
      </x:c>
      <x:c r="D21" s="1" t="s">
        <x:v>46</x:v>
      </x:c>
      <x:c r="E21" s="14">
        <x:v>1.892543112768839</x:v>
      </x:c>
      <x:c r="F21" s="14" t="n">
        <x:f>E21*3.6</x:f>
        <x:v>6.813155205967821</x:v>
      </x:c>
      <x:c r="G21" s="14">
        <x:v>17.027933218399074</x:v>
      </x:c>
      <x:c r="H21" s="14">
        <x:v>47.514214313515268</x:v>
      </x:c>
      <x:c r="I21" s="14">
        <x:v>99.051747279287852</x:v>
      </x:c>
      <x:c r="J21" s="14">
        <x:v>290.89585489760395</x:v>
      </x:c>
      <x:c r="K21" s="1" t="str">
        <x:v>Pass</x:v>
      </x:c>
      <x:c r="L21" s="1" t="str">
        <x:v>Pass</x:v>
      </x:c>
      <x:c r="M21" s="1" t="str">
        <x:v>Pass</x:v>
      </x:c>
      <x:c r="N21" s="27" t="str">
        <x:v>Pass</x:v>
      </x:c>
    </x:row>
    <x:row r="22">
      <x:c r="A22" s="28" t="s">
        <x:v>43</x:v>
      </x:c>
      <x:c r="B22" s="38">
        <x:v>4.3499999999999998E-12</x:v>
      </x:c>
      <x:c r="C22" s="38">
        <x:v>2.7999999999999999E-8</x:v>
      </x:c>
      <x:c r="D22" s="29" t="s">
        <x:v>47</x:v>
      </x:c>
      <x:c r="E22" s="31">
        <x:v>1.8282235148036581</x:v>
      </x:c>
      <x:c r="F22" s="31" t="n">
        <x:f>E22*3.6</x:f>
        <x:v>6.581604653293169</x:v>
      </x:c>
      <x:c r="G22" s="31">
        <x:v>16.449166938359838</x:v>
      </x:c>
      <x:c r="H22" s="31">
        <x:v>45.89928205146083</x:v>
      </x:c>
      <x:c r="I22" s="31">
        <x:v>99.040196425531732</x:v>
      </x:c>
      <x:c r="J22" s="31">
        <x:v>294.43852241466192</x:v>
      </x:c>
      <x:c r="K22" s="29" t="str">
        <x:v>Pass</x:v>
      </x:c>
      <x:c r="L22" s="29" t="str">
        <x:v>Pass</x:v>
      </x:c>
      <x:c r="M22" s="29" t="str">
        <x:v>Pass</x:v>
      </x:c>
      <x:c r="N22" s="30" t="str">
        <x:v>Pass</x:v>
      </x:c>
    </x:row>
    <x:row r="24" ht="15">
      <x:c r="A24" s="23" t="str">
        <x:v>Stage</x:v>
      </x:c>
      <x:c r="B24" s="24" t="str">
        <x:v>Candidate / result</x:v>
      </x:c>
      <x:c r="C24" s="24" t="str">
        <x:v>Key evidence</x:v>
      </x:c>
      <x:c r="D24" s="24" t="str">
        <x:v>Keep?</x:v>
      </x:c>
      <x:c r="E24" s="24" t="str">
        <x:v>Reason</x:v>
      </x:c>
      <x:c r="F24" s="25" t="str">
        <x:v>Next step</x:v>
      </x:c>
    </x:row>
    <x:row r="25" ht="42.75">
      <x:c r="A25" s="26" t="s">
        <x:v>2</x:v>
      </x:c>
      <x:c r="B25" s="1" t="s">
        <x:v>41</x:v>
      </x:c>
      <x:c r="C25" s="1" t="str">
        <x:v>Recovery 49.39%; NaCl 500 mg/L</x:v>
      </x:c>
      <x:c r="D25" s="1" t="str">
        <x:v>Eliminate</x:v>
      </x:c>
      <x:c r="E25" s="1" t="str">
        <x:v>High A is accompanied by high B; both recovery and water quality violate limits</x:v>
      </x:c>
      <x:c r="F25" s="27" t="str">
        <x:v>Stop M1</x:v>
      </x:c>
    </x:row>
    <x:row r="26" ht="57">
      <x:c r="A26" s="26" t="s">
        <x:v>2</x:v>
      </x:c>
      <x:c r="B26" s="1" t="s">
        <x:v>42</x:v>
      </x:c>
      <x:c r="C26" s="1" t="str">
        <x:v>Qp≈6.765; Recovery 47.17%; NaCl 372 mg/L</x:v>
      </x:c>
      <x:c r="D26" s="1" t="str">
        <x:v>Keep</x:v>
      </x:c>
      <x:c r="E26" s="1" t="str">
        <x:v>Passes all nominal constraints</x:v>
      </x:c>
      <x:c r="F26" s="27" t="str">
        <x:v>Proceed to high-salinity stress</x:v>
      </x:c>
    </x:row>
    <x:row r="27" ht="57">
      <x:c r="A27" s="26" t="s">
        <x:v>2</x:v>
      </x:c>
      <x:c r="B27" s="1" t="s">
        <x:v>43</x:v>
      </x:c>
      <x:c r="C27" s="1" t="str">
        <x:v>Qp≈6.651; Recovery 46.38%; NaCl 293 mg/L</x:v>
      </x:c>
      <x:c r="D27" s="1" t="str">
        <x:v>Keep</x:v>
      </x:c>
      <x:c r="E27" s="1" t="str">
        <x:v>Passes all nominal constraints</x:v>
      </x:c>
      <x:c r="F27" s="27" t="str">
        <x:v>Proceed to high-salinity stress</x:v>
      </x:c>
    </x:row>
    <x:row r="28">
      <x:c r="A28" s="26" t="s">
        <x:v>2</x:v>
      </x:c>
      <x:c r="B28" s="1" t="s">
        <x:v>44</x:v>
      </x:c>
      <x:c r="C28" s="1" t="str">
        <x:v>Qp≈5.991 m³/h</x:v>
      </x:c>
      <x:c r="D28" s="1" t="str">
        <x:v>Eliminate</x:v>
      </x:c>
      <x:c r="E28" s="1" t="str">
        <x:v>High rejection but insufficient production</x:v>
      </x:c>
      <x:c r="F28" s="27" t="str">
        <x:v>Stop M4</x:v>
      </x:c>
    </x:row>
    <x:row r="29" ht="42.75">
      <x:c r="A29" s="26" t="s">
        <x:v>45</x:v>
      </x:c>
      <x:c r="B29" s="1" t="str">
        <x:v>M2 eliminated; M3 passes</x:v>
      </x:c>
      <x:c r="C29" s="1" t="str">
        <x:v>M2 NaCl≈409.84&gt;400; M3 NaCl≈323.44</x:v>
      </x:c>
      <x:c r="D29" s="1" t="str">
        <x:v>M3</x:v>
      </x:c>
      <x:c r="E29" s="1" t="str">
        <x:v>Retain M3 only</x:v>
      </x:c>
      <x:c r="F29" s="27" t="str">
        <x:v>Proceed to temperature verification</x:v>
      </x:c>
    </x:row>
    <x:row r="30" ht="71.25">
      <x:c r="A30" s="28" t="s">
        <x:v>48</x:v>
      </x:c>
      <x:c r="B30" s="29" t="str">
        <x:v>M3 passes at both 25°C and 35°C</x:v>
      </x:c>
      <x:c r="C30" s="29" t="str">
        <x:v>25°C Recovery≈47.51%; 35°C Recovery≈45.90%; water quality passes in both cases</x:v>
      </x:c>
      <x:c r="D30" s="29" t="str">
        <x:v>M3</x:v>
      </x:c>
      <x:c r="E30" s="29" t="str">
        <x:v>Only candidate that passes all mandatory cases</x:v>
      </x:c>
      <x:c r="F30" s="30" t="str">
        <x:v>Recommend M3</x:v>
      </x:c>
    </x:row>
  </x:sheetData>
  <x:mergeCells>
    <x:mergeCell ref="A1:N2"/>
    <x:mergeCell ref="A4:N5"/>
    <x:mergeCell ref="A7:N7"/>
    <x:mergeCell ref="A14:N14"/>
    <x:mergeCell ref="A19:N19"/>
  </x:mergeCells>
  <x:conditionalFormatting sqref="K9:N12">
    <x:cfRule type="expression" dxfId="5" priority="1">
      <x:formula>K9="通过"</x:formula>
    </x:cfRule>
    <x:cfRule type="expression" dxfId="4" priority="2">
      <x:formula>K9="不通过"</x:formula>
    </x:cfRule>
  </x:conditionalFormatting>
  <x:conditionalFormatting sqref="K16:N17">
    <x:cfRule type="expression" dxfId="3" priority="3">
      <x:formula>K16="通过"</x:formula>
    </x:cfRule>
    <x:cfRule type="expression" dxfId="2" priority="4">
      <x:formula>K16="不通过"</x:formula>
    </x:cfRule>
  </x:conditionalFormatting>
  <x:conditionalFormatting sqref="K21:N21">
    <x:cfRule type="expression" dxfId="1" priority="5">
      <x:formula>K21="通过"</x:formula>
    </x:cfRule>
    <x:cfRule type="expression" dxfId="0" priority="6">
      <x:formula>K21="不通过"</x:formula>
    </x:cfRule>
  </x:conditionalFormatting>
  <x:pageMargins left="0.7" right="0.7" top="0.75" bottom="0.75" header="0.3" footer="0.3"/>
  <x:drawing xmlns:r="http://schemas.openxmlformats.org/officeDocument/2006/relationships" r:id="R3d4eac47d6ee4e85"/>
</x:worksheet>
</file>

<file path=xl/worksheets/sheet3.xml><?xml version="1.0" encoding="utf-8"?>
<x:worksheet xmlns:x="http://schemas.openxmlformats.org/spreadsheetml/2006/main">
  <x:sheetFormatPr defaultRowHeight="14.25"/>
  <x:cols>
    <x:col min="1" max="1" width="23" customWidth="1"/>
    <x:col min="2" max="2" width="30" customWidth="1"/>
    <x:col min="3" max="3" width="45" customWidth="1"/>
    <x:col min="4" max="5" width="39" customWidth="1"/>
    <x:col min="6" max="6" width="9" customWidth="1"/>
    <x:col min="7" max="7" width="16.875" customWidth="1"/>
  </x:cols>
  <x:sheetData>
    <x:row r="1">
      <x:c r="A1" s="54" t="str">
        <x:v>D1-1b: Trajectory Quality Rubric (100 points)</x:v>
      </x:c>
      <x:c r="B1" s="54"/>
      <x:c r="C1" s="54"/>
      <x:c r="D1" s="54"/>
      <x:c r="E1" s="54"/>
      <x:c r="F1" s="54"/>
      <x:c r="G1" s="54"/>
    </x:row>
    <x:row r="2">
      <x:c r="A2" s="54"/>
      <x:c r="B2" s="54"/>
      <x:c r="C2" s="54"/>
      <x:c r="D2" s="54"/>
      <x:c r="E2" s="54"/>
      <x:c r="F2" s="54"/>
      <x:c r="G2" s="54"/>
    </x:row>
    <x:row r="4">
      <x:c r="A4" s="55" t="str">
        <x:v>Trajectory Quality is scored out of 100. The evaluation target is the complete state → plan → action/tool call → observation → update → next action → stop/decision trajectory, not verbatim reproduction of the reference path. Different but reasonable tool-call orders are acceptable if each next action is supported by prior observations and the final engineering decision is complete, coherent, and verifiable. Tool usage efficiency is scored separately on another sheet and is not included here.</x:v>
      </x:c>
      <x:c r="B4" s="55"/>
      <x:c r="C4" s="55"/>
      <x:c r="D4" s="55"/>
      <x:c r="E4" s="55"/>
      <x:c r="F4" s="55"/>
      <x:c r="G4" s="55"/>
    </x:row>
    <x:row r="5">
      <x:c r="A5" s="55"/>
      <x:c r="B5" s="55"/>
      <x:c r="C5" s="55"/>
      <x:c r="D5" s="55"/>
      <x:c r="E5" s="55"/>
      <x:c r="F5" s="55"/>
      <x:c r="G5" s="55"/>
    </x:row>
    <x:row r="6">
      <x:c r="A6" s="35"/>
      <x:c r="B6" s="35"/>
      <x:c r="C6" s="35"/>
      <x:c r="D6" s="35"/>
      <x:c r="E6" s="35"/>
      <x:c r="F6" s="35"/>
      <x:c r="G6" s="35"/>
    </x:row>
    <x:row r="7" ht="15">
      <x:c r="A7" s="18"/>
      <x:c r="B7" s="19"/>
      <x:c r="C7" s="19"/>
      <x:c r="D7" s="19"/>
      <x:c r="E7" s="19"/>
      <x:c r="F7" s="19"/>
      <x:c r="G7" s="20"/>
    </x:row>
    <x:row r="8" ht="86.0999984741211" customHeight="1">
      <x:c r="A8" s="23" t="str">
        <x:v>Trajectory dimension</x:v>
      </x:c>
      <x:c r="B8" s="24" t="str">
        <x:v>Evaluation focus</x:v>
      </x:c>
      <x:c r="C8" s="24" t="str">
        <x:v>Full-credit evidence</x:v>
      </x:c>
      <x:c r="D8" s="24" t="str">
        <x:v>Partial credit</x:v>
      </x:c>
      <x:c r="E8" s="24" t="str">
        <x:v>Critical failure modes</x:v>
      </x:c>
      <x:c r="F8" s="24" t="str">
        <x:v>Weight</x:v>
      </x:c>
      <x:c r="G8" s="25" t="str">
        <x:v>Score</x:v>
      </x:c>
    </x:row>
    <x:row r="9" ht="84" customHeight="1">
      <x:c r="A9" s="26" t="str">
        <x:v>TQ1 Problem representation and state understanding</x:v>
      </x:c>
      <x:c r="B9" s="1" t="str">
        <x:v>Correctly identify the decision variables, the A/B trade-off, and the multi-condition requirement</x:v>
      </x:c>
      <x:c r="C9" s="1" t="str">
        <x:v>Recognizes that A mainly controls water permeability/production and B mainly controls salt passage/water quality; candidates must pass both nominal and stress conditions</x:v>
      </x:c>
      <x:c r="D9" s="1" t="str">
        <x:v>Understands the roles of A/B but incompletely handles the multi-condition requirement or one hard constraint</x:v>
      </x:c>
      <x:c r="E9" s="1" t="str">
        <x:v>Ranks only by highest A or lowest B; treats pressure/area as candidate-specific comparison variables</x:v>
      </x:c>
      <x:c r="F9" s="1">
        <x:v>15</x:v>
      </x:c>
      <x:c r="G9" s="27"/>
    </x:row>
    <x:row r="10" ht="84" customHeight="1">
      <x:c r="A10" s="26" t="str">
        <x:v>TQ2 Planning and decomposition quality</x:v>
      </x:c>
      <x:c r="B10" s="1" t="str">
        <x:v>Build a causal screening → shortlist → stress → final-verification plan</x:v>
      </x:c>
      <x:c r="C10" s="1" t="str">
        <x:v>Screen 4 membranes at nominal → retain M2/M3 only → high-salinity stress → eliminate M2 → verify M3 at both low and high temperature</x:v>
      </x:c>
      <x:c r="D10" s="1" t="str">
        <x:v>Overall plan is reasonable but lacks shortlist pruning or one final verification</x:v>
      </x:c>
      <x:c r="E10" s="1" t="str">
        <x:v>Brute-force all 4 membranes × all cases, or select a membrane from nominal results alone</x:v>
      </x:c>
      <x:c r="F10" s="1">
        <x:v>15</x:v>
      </x:c>
      <x:c r="G10" s="27"/>
    </x:row>
    <x:row r="11" ht="84" customHeight="1">
      <x:c r="A11" s="39" t="str">
        <x:v>TQ3 Action / tool-call correctness</x:v>
      </x:c>
      <x:c r="B11" s="22" t="str">
        <x:v>Use fair and consistent simulate_ro settings across candidates and stress cases</x:v>
      </x:c>
      <x:c r="C11" s="22" t="str">
        <x:v>All inputs remain fixed except candidate A/B and the case-specific salinity/temperature; Qp, Recovery, Flux, Rejection, and NaCl are read correctly</x:v>
      </x:c>
      <x:c r="D11" s="22" t="str">
        <x:v>Minor parameter/unit errors that do not change elimination outcomes</x:v>
      </x:c>
      <x:c r="E11" s="22" t="str">
        <x:v>Changes pressure/area across candidates, or uses incorrect units/thresholds and creates an unfair comparison</x:v>
      </x:c>
      <x:c r="F11" s="22">
        <x:v>20</x:v>
      </x:c>
      <x:c r="G11" s="40"/>
    </x:row>
    <x:row r="12" ht="84" customHeight="1">
      <x:c r="A12" s="26" t="str">
        <x:v>TQ4 Observation interpretation and state update</x:v>
      </x:c>
      <x:c r="B12" s="1" t="str">
        <x:v>Correctly maintain shortlist state from the observations</x:v>
      </x:c>
      <x:c r="C12" s="1" t="str">
        <x:v>M1 is eliminated by recovery/water quality; M4 by production; M2/M3 enter the shortlist; M2 fails high salinity at NaCl≈409.84 mg/L; M3 continues</x:v>
      </x:c>
      <x:c r="D12" s="1" t="str">
        <x:v>Final shortlist is correct, but one elimination reason or metric interpretation is incomplete</x:v>
      </x:c>
      <x:c r="E12" s="1" t="str">
        <x:v>Incorrect keep/eliminate state; ignores the salinity failure and keeps M2</x:v>
      </x:c>
      <x:c r="F12" s="1">
        <x:v>20</x:v>
      </x:c>
      <x:c r="G12" s="27"/>
    </x:row>
    <x:row r="13" ht="84" customHeight="1">
      <x:c r="A13" s="46" t="str">
        <x:v>TQ5 Adaptive comparison and replanning</x:v>
      </x:c>
      <x:c r="B13" s="46" t="str">
        <x:v>Let screening results drive later stress tests and prune branches promptly</x:v>
      </x:c>
      <x:c r="C13" s="46" t="str">
        <x:v>Run high-salinity stress only on M2/M3; stop M2 after failure; test only M3 at 25/35°C; then compare engineering margins</x:v>
      </x:c>
      <x:c r="D13" s="46" t="str">
        <x:v>Some pruning is applied, but unnecessary verification remains or stress ordering is unclear</x:v>
      </x:c>
      <x:c r="E13" s="46" t="str">
        <x:v>Continues extensive testing of eliminated membranes; call order is unrelated to previous states</x:v>
      </x:c>
      <x:c r="F13" s="46">
        <x:v>20</x:v>
      </x:c>
      <x:c r="G13" s="45"/>
    </x:row>
    <x:row r="14" ht="84" customHeight="1">
      <x:c r="A14" s="46" t="str">
        <x:v>TQ6 Stopping and final engineering decision</x:v>
      </x:c>
      <x:c r="B14" s="46" t="str">
        <x:v>Stop after all mandatory evidence is complete and make the correct membrane decision</x:v>
      </x:c>
      <x:c r="C14" s="46" t="str">
        <x:v>M3 is the only candidate that passes nominal, high-salinity, 25°C, and 35°C cases; recommend M3 and explain the balanced A/B trade-off</x:v>
      </x:c>
      <x:c r="D14" s="46" t="str">
        <x:v>Recommends M3 but omits one verification or part of the engineering explanation</x:v>
      </x:c>
      <x:c r="E14" s="46" t="str">
        <x:v>Recommends M1/M2/M4, or stops before stress testing is complete</x:v>
      </x:c>
      <x:c r="F14" s="46">
        <x:v>10</x:v>
      </x:c>
      <x:c r="G14" s="45"/>
    </x:row>
    <x:row r="15" ht="15">
      <x:c r="A15" s="48"/>
      <x:c r="B15" s="49"/>
      <x:c r="C15" s="49"/>
      <x:c r="D15" s="49"/>
      <x:c r="E15" s="49"/>
      <x:c r="F15" s="49"/>
      <x:c r="G15" s="50"/>
    </x:row>
    <x:row r="16" ht="15">
      <x:c r="A16" s="21"/>
      <x:c r="B16" s="1"/>
      <x:c r="C16" s="1"/>
      <x:c r="D16" s="1"/>
      <x:c r="E16" s="41" t="str">
        <x:v>Trajectory Quality total</x:v>
      </x:c>
      <x:c r="F16" s="42" t="n">
        <x:v>100</x:v>
      </x:c>
      <x:c r="G16" s="42"/>
    </x:row>
    <x:row r="17" ht="15">
      <x:c r="A17" s="56"/>
      <x:c r="B17" s="57"/>
      <x:c r="C17" s="57"/>
      <x:c r="D17" s="57"/>
      <x:c r="E17" s="57"/>
      <x:c r="F17" s="57"/>
      <x:c r="G17" s="58"/>
    </x:row>
    <x:row r="18" ht="15">
      <x:c r="A18" s="51" t="str">
        <x:v>Scoring notes</x:v>
      </x:c>
      <x:c r="B18" s="52"/>
      <x:c r="C18" s="52"/>
      <x:c r="D18" s="52"/>
      <x:c r="E18" s="52"/>
      <x:c r="F18" s="52"/>
      <x:c r="G18" s="53"/>
    </x:row>
    <x:row r="19" ht="28.5">
      <x:c r="A19" s="26" t="str">
        <x:v>Difficulty calibration</x:v>
      </x:c>
      <x:c r="B19" s="1" t="str">
        <x:v>Reference: about 8 simulate_ro calls</x:v>
      </x:c>
      <x:c r="C19" s="1" t="str">
        <x:v>4 screening + 2 shortlist stress + 2 final verification calls</x:v>
      </x:c>
      <x:c r="D19" s="1"/>
      <x:c r="E19" s="1"/>
      <x:c r="F19" s="1"/>
      <x:c r="G19" s="27"/>
    </x:row>
    <x:row r="20">
      <x:c r="A20" s="28" t="str">
        <x:v>Alternative trajectories</x:v>
      </x:c>
      <x:c r="B20" s="29" t="str">
        <x:v>High salinity and temperature checks need not occur in one fixed order</x:v>
      </x:c>
      <x:c r="C20" s="29" t="str">
        <x:v>Full credit is possible if pruning is rational and all mandatory evidence is complete</x:v>
      </x:c>
      <x:c r="D20" s="29"/>
      <x:c r="E20" s="29"/>
      <x:c r="F20" s="29"/>
      <x:c r="G20" s="30"/>
    </x:row>
    <x:row r="22">
      <x:c r="A22" s="59"/>
      <x:c r="B22" s="59"/>
      <x:c r="C22" s="59"/>
      <x:c r="D22" s="59"/>
      <x:c r="E22" s="59"/>
      <x:c r="F22" s="59"/>
      <x:c r="G22" s="59"/>
    </x:row>
    <x:row r="23">
      <x:c r="A23" s="59"/>
      <x:c r="B23" s="59"/>
      <x:c r="C23" s="59"/>
      <x:c r="D23" s="59"/>
      <x:c r="E23" s="59"/>
      <x:c r="F23" s="59"/>
      <x:c r="G23" s="59"/>
    </x:row>
    <x:row r="24">
      <x:c r="A24" s="59"/>
      <x:c r="B24" s="59"/>
      <x:c r="C24" s="59"/>
      <x:c r="D24" s="59"/>
      <x:c r="E24" s="59"/>
      <x:c r="F24" s="59"/>
      <x:c r="G24" s="59"/>
    </x:row>
    <x:row r="26">
      <x:c r="A26" s="47"/>
      <x:c r="B26" s="47"/>
      <x:c r="C26" s="47"/>
      <x:c r="D26" s="47"/>
      <x:c r="E26" s="47"/>
      <x:c r="F26" s="47"/>
      <x:c r="G26" s="47"/>
    </x:row>
    <x:row r="27">
      <x:c r="A27" s="47"/>
      <x:c r="B27" s="47"/>
      <x:c r="C27" s="47"/>
      <x:c r="D27" s="47"/>
      <x:c r="E27" s="47"/>
      <x:c r="F27" s="47"/>
      <x:c r="G27" s="47"/>
    </x:row>
  </x:sheetData>
  <x:mergeCells>
    <x:mergeCell ref="A26:G27"/>
    <x:mergeCell ref="A15:G15"/>
    <x:mergeCell ref="A18:G18"/>
    <x:mergeCell ref="A1:G2"/>
    <x:mergeCell ref="A4:G5"/>
    <x:mergeCell ref="A17:G17"/>
    <x:mergeCell ref="A22:G24"/>
  </x:mergeCells>
  <x:pageMargins left="0.7" right="0.7" top="0.75" bottom="0.75" header="0.3" footer="0.3"/>
</x:worksheet>
</file>

<file path=xl/worksheets/sheet4.xml><?xml version="1.0" encoding="utf-8"?>
<x:worksheet xmlns:x="http://schemas.openxmlformats.org/spreadsheetml/2006/main">
  <x:sheetFormatPr defaultRowHeight="14.25"/>
  <x:cols>
    <x:col min="1" max="1" width="20" customWidth="1"/>
    <x:col min="2" max="2" width="28" customWidth="1"/>
    <x:col min="3" max="3" width="39" customWidth="1"/>
    <x:col min="4" max="4" width="36" customWidth="1"/>
    <x:col min="5" max="5" width="37" customWidth="1"/>
    <x:col min="6" max="6" width="43" customWidth="1"/>
    <x:col min="7" max="7" width="9" customWidth="1"/>
  </x:cols>
  <x:sheetData>
    <x:row r="1">
      <x:c r="A1" s="54" t="str">
        <x:v>D1-1b: Tool Usage Efficiency (100 points)</x:v>
      </x:c>
      <x:c r="B1" s="54"/>
      <x:c r="C1" s="54"/>
      <x:c r="D1" s="54"/>
      <x:c r="E1" s="54"/>
      <x:c r="F1" s="54"/>
      <x:c r="G1" s="54"/>
    </x:row>
    <x:row r="2">
      <x:c r="A2" s="54"/>
      <x:c r="B2" s="54"/>
      <x:c r="C2" s="54"/>
      <x:c r="D2" s="54"/>
      <x:c r="E2" s="54"/>
      <x:c r="F2" s="54"/>
      <x:c r="G2" s="54"/>
    </x:row>
    <x:row r="4">
      <x:c r="A4" s="55" t="str">
        <x:v>Tool usage efficiency is scored separately out of 100 and is not included in the Trajectory Quality score. The main scientific tool is simulate_ro. The reference efficient trajectory uses about 8 scientific-computation calls. Call count is only a secondary signal; the core criteria are information gain, adaptive choice of the next action, timely pruning, and stopping once evidence is sufficient.</x:v>
      </x:c>
      <x:c r="B4" s="55"/>
      <x:c r="C4" s="55"/>
      <x:c r="D4" s="55"/>
      <x:c r="E4" s="55"/>
      <x:c r="F4" s="55"/>
      <x:c r="G4" s="55"/>
    </x:row>
    <x:row r="5">
      <x:c r="A5" s="55"/>
      <x:c r="B5" s="55"/>
      <x:c r="C5" s="55"/>
      <x:c r="D5" s="55"/>
      <x:c r="E5" s="55"/>
      <x:c r="F5" s="55"/>
      <x:c r="G5" s="55"/>
    </x:row>
    <x:row r="6">
      <x:c r="A6" s="55"/>
      <x:c r="B6" s="55"/>
      <x:c r="C6" s="55"/>
      <x:c r="D6" s="55"/>
      <x:c r="E6" s="55"/>
      <x:c r="F6" s="55"/>
      <x:c r="G6" s="55"/>
    </x:row>
    <x:row r="8" ht="15">
      <x:c r="A8" s="23" t="str">
        <x:v>Efficiency dimension</x:v>
      </x:c>
      <x:c r="B8" s="24" t="str">
        <x:v>Evaluation focus</x:v>
      </x:c>
      <x:c r="C8" s="24" t="str">
        <x:v>Full-credit performance</x:v>
      </x:c>
      <x:c r="D8" s="24" t="str">
        <x:v>Moderate performance</x:v>
      </x:c>
      <x:c r="E8" s="24" t="str">
        <x:v>Low performance</x:v>
      </x:c>
      <x:c r="F8" s="24" t="str">
        <x:v>Task-specific evidence</x:v>
      </x:c>
      <x:c r="G8" s="25" t="str">
        <x:v>Points</x:v>
      </x:c>
    </x:row>
    <x:row r="9" ht="81.94999694824219" customHeight="1">
      <x:c r="A9" s="26" t="str">
        <x:v>E1 Tool selection and necessity</x:v>
      </x:c>
      <x:c r="B9" s="1" t="str">
        <x:v>Choose the correct tool and avoid irrelevant tools</x:v>
      </x:c>
      <x:c r="C9" s="1" t="str">
        <x:v>Use simulate_ro for the scientific calculations, with each call directly serving the current decision</x:v>
      </x:c>
      <x:c r="D9" s="1" t="str">
        <x:v>A few unnecessary metadata or exploratory calls</x:v>
      </x:c>
      <x:c r="E9" s="1" t="str">
        <x:v>Wrong tools or many irrelevant calls</x:v>
      </x:c>
      <x:c r="F9" s="1" t="str">
        <x:v>simulate_ro is sufficient for fair membrane comparison; no plant-cost or chemistry tools are needed</x:v>
      </x:c>
      <x:c r="G9" s="27">
        <x:v>20</x:v>
      </x:c>
    </x:row>
    <x:row r="10" ht="81.94999694824219" customHeight="1">
      <x:c r="A10" s="26" t="str">
        <x:v>E2 Information gain and call ordering</x:v>
      </x:c>
      <x:c r="B10" s="1" t="str">
        <x:v>Prioritize high-information calls</x:v>
      </x:c>
      <x:c r="C10" s="1" t="str">
        <x:v>Establish the baseline/screening structure first, then refine only where uncertainty remains</x:v>
      </x:c>
      <x:c r="D10" s="1" t="str">
        <x:v>Mostly reasonable ordering but with some low-information calls</x:v>
      </x:c>
      <x:c r="E10" s="1" t="str">
        <x:v>Starts with dense grid testing without first structuring the problem</x:v>
      </x:c>
      <x:c r="F10" s="1" t="str">
        <x:v>Nominal screening provides the highest initial discrimination</x:v>
      </x:c>
      <x:c r="G10" s="27">
        <x:v>20</x:v>
      </x:c>
    </x:row>
    <x:row r="11" ht="81.94999694824219" customHeight="1">
      <x:c r="A11" s="26" t="str">
        <x:v>E3 Adaptive iteration</x:v>
      </x:c>
      <x:c r="B11" s="1" t="str">
        <x:v>Make each next call depend on prior observations</x:v>
      </x:c>
      <x:c r="C11" s="1" t="str">
        <x:v>Dynamically choose inputs from fail/pass status, shortlist state, and risk type</x:v>
      </x:c>
      <x:c r="D11" s="1" t="str">
        <x:v>Partly adaptive, mixed with preset enumeration</x:v>
      </x:c>
      <x:c r="E11" s="1" t="str">
        <x:v>Call sequence is largely independent of previous results</x:v>
      </x:c>
      <x:c r="F11" s="1" t="str">
        <x:v>The shortlist determines salinity stress; salinity elimination determines the final verification target</x:v>
      </x:c>
      <x:c r="G11" s="27">
        <x:v>20</x:v>
      </x:c>
    </x:row>
    <x:row r="12" ht="81.94999694824219" customHeight="1">
      <x:c r="A12" s="26" t="str">
        <x:v>E4 Pruning and redundancy control</x:v>
      </x:c>
      <x:c r="B12" s="1" t="str">
        <x:v>Prune failed branches and avoid redundant calls</x:v>
      </x:c>
      <x:c r="C12" s="1" t="str">
        <x:v>Stop branches once failure evidence is sufficient; do not repeat equivalent inputs</x:v>
      </x:c>
      <x:c r="D12" s="1" t="str">
        <x:v>A small amount of repetition or 1–2 extra tests on known branches</x:v>
      </x:c>
      <x:c r="E12" s="1" t="str">
        <x:v>Continues extensive testing of eliminated options or brute-forces all combinations</x:v>
      </x:c>
      <x:c r="F12" s="1" t="str">
        <x:v>Stop M1/M4 after nominal elimination and M2 after salinity failure; do not run unnecessary temperature stress tests</x:v>
      </x:c>
      <x:c r="G12" s="27">
        <x:v>20</x:v>
      </x:c>
    </x:row>
    <x:row r="13" ht="81.94999694824219" customHeight="1">
      <x:c r="A13" s="28" t="str">
        <x:v>E5 Convergence and stopping</x:v>
      </x:c>
      <x:c r="B13" s="29" t="str">
        <x:v>Converge with a reasonable call budget and stop when evidence is sufficient</x:v>
      </x:c>
      <x:c r="C13" s="29" t="str">
        <x:v>About 7–9 calls with complete evidence and no obvious redundancy</x:v>
      </x:c>
      <x:c r="D13" s="29" t="str">
        <x:v>About 10–12 calls with minor redundancy but still adaptive</x:v>
      </x:c>
      <x:c r="E13" s="29" t="str">
        <x:v>&gt;12 calls with heavy enumeration/repetition, or too few calls to support the decision</x:v>
      </x:c>
      <x:c r="F13" s="29" t="str">
        <x:v>Reference trajectory ≈8 calls; different efficient adaptive paths can receive full credit</x:v>
      </x:c>
      <x:c r="G13" s="30">
        <x:v>20</x:v>
      </x:c>
    </x:row>
    <x:row r="15" ht="15">
      <x:c r="F15" s="43" t="str">
        <x:v>Tool-efficiency total</x:v>
      </x:c>
      <x:c r="G15" s="44" t="n">
        <x:v>100</x:v>
      </x:c>
    </x:row>
    <x:row r="17">
      <x:c r="A17" s="73"/>
      <x:c r="B17" s="73"/>
      <x:c r="C17" s="73"/>
      <x:c r="D17" s="73"/>
      <x:c r="E17" s="73"/>
      <x:c r="F17" s="73"/>
      <x:c r="G17" s="73"/>
    </x:row>
    <x:row r="18">
      <x:c r="A18" s="73"/>
      <x:c r="B18" s="73"/>
      <x:c r="C18" s="73"/>
      <x:c r="D18" s="73"/>
      <x:c r="E18" s="73"/>
      <x:c r="F18" s="73"/>
      <x:c r="G18" s="73"/>
    </x:row>
    <x:row r="19">
      <x:c r="A19" s="73"/>
      <x:c r="B19" s="73"/>
      <x:c r="C19" s="73"/>
      <x:c r="D19" s="73"/>
      <x:c r="E19" s="73"/>
      <x:c r="F19" s="73"/>
      <x:c r="G19" s="73"/>
    </x:row>
    <x:row r="20">
      <x:c r="A20" s="73"/>
      <x:c r="B20" s="73"/>
      <x:c r="C20" s="73"/>
      <x:c r="D20" s="73"/>
      <x:c r="E20" s="73"/>
      <x:c r="F20" s="73"/>
      <x:c r="G20" s="73"/>
    </x:row>
  </x:sheetData>
  <x:mergeCells>
    <x:mergeCell ref="A1:G2"/>
    <x:mergeCell ref="A4:G6"/>
    <x:mergeCell ref="A17:G20"/>
  </x:mergeCells>
  <x:pageMargins left="0.7" right="0.7" top="0.75" bottom="0.75" header="0.3" footer="0.3"/>
</x:worksheet>
</file>