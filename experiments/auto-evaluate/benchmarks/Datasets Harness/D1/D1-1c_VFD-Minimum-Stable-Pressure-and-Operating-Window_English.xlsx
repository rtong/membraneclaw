
<file path=[Content_Types].xml><?xml version="1.0" encoding="utf-8"?>
<Types xmlns="http://schemas.openxmlformats.org/package/2006/content-types">
  <Default Extension="xml" ContentType="application/vnd.openxmlformats-officedocument.spreadsheetml.sheet.main+xml"/>
  <Default Extension="rels" ContentType="application/vnd.openxmlformats-package.relationships+xml"/>
  <Override PartName="/xl/styles.xml" ContentType="application/vnd.openxmlformats-officedocument.spreadsheetml.styles+xml"/>
  <Override PartName="/xl/theme/theme1.xml" ContentType="application/vnd.openxmlformats-officedocument.theme+xml"/>
  <Override PartName="/xl/sharedStrings.xml" ContentType="application/vnd.openxmlformats-officedocument.spreadsheetml.sharedString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Types>
</file>

<file path=_rels/.rels>&#65279;<?xml version="1.0" encoding="utf-8"?><Relationships xmlns="http://schemas.openxmlformats.org/package/2006/relationships"><Relationship Type="http://schemas.openxmlformats.org/officeDocument/2006/relationships/officeDocument" Target="/xl/workbook.xml" Id="Rbe61dae9d7744a99" /></Relationships>
</file>

<file path=xl/workbook.xml><?xml version="1.0" encoding="utf-8"?>
<x:workbook xmlns:x="http://schemas.openxmlformats.org/spreadsheetml/2006/main">
  <x:sheets>
    <x:sheet xmlns:r="http://schemas.openxmlformats.org/officeDocument/2006/relationships" name="Question_Q" sheetId="1" r:id="R1643fd6e92a44329"/>
    <x:sheet xmlns:r="http://schemas.openxmlformats.org/officeDocument/2006/relationships" name="Stepwise Answer_A" sheetId="2" r:id="Rf2f928ea91ed4025"/>
    <x:sheet xmlns:r="http://schemas.openxmlformats.org/officeDocument/2006/relationships" name="Trajectory Rubric" sheetId="3" r:id="R874a715ac0f14d22"/>
    <x:sheet xmlns:r="http://schemas.openxmlformats.org/officeDocument/2006/relationships" name="Tool Efficiency" sheetId="4" r:id="R8653f950c8914f8a"/>
  </x:sheets>
</x:workbook>
</file>

<file path=xl/sharedStrings.xml><?xml version="1.0" encoding="utf-8"?>
<x:sst xmlns:x="http://schemas.openxmlformats.org/spreadsheetml/2006/main"/>
</file>

<file path=xl/styles.xml><?xml version="1.0" encoding="utf-8"?>
<x:styleSheet xmlns:x="http://schemas.openxmlformats.org/spreadsheetml/2006/main">
  <x:numFmts count="4">
    <x:numFmt numFmtId="200" formatCode="0.00"/>
    <x:numFmt numFmtId="201" formatCode="0.000"/>
    <x:numFmt numFmtId="202" formatCode="0"/>
    <x:numFmt numFmtId="203" formatCode="0.0000"/>
  </x:numFmts>
  <x:fonts count="13">
    <x:font>
      <x:sz val="11"/>
      <x:name val="Carlito"/>
    </x:font>
    <x:font>
      <x:b/>
      <x:sz val="17"/>
      <x:color rgb="FFFFFFFF"/>
      <x:name val="Aptos Display"/>
    </x:font>
    <x:font>
      <x:b/>
      <x:sz val="11"/>
      <x:color rgb="FF17365D"/>
      <x:name val="Carlito"/>
    </x:font>
    <x:font>
      <x:b/>
      <x:sz val="10"/>
      <x:color rgb="FFFFFFFF"/>
      <x:name val="Aptos"/>
    </x:font>
    <x:font>
      <x:sz val="11"/>
      <x:color rgb="FF8A6400"/>
      <x:name val="Carlito"/>
    </x:font>
    <x:font>
      <x:b/>
      <x:sz val="11"/>
      <x:color rgb="FF3A6233"/>
      <x:name val="Carlito"/>
    </x:font>
    <x:font>
      <x:b/>
      <x:sz val="11"/>
      <x:color rgb="FFC00000"/>
      <x:name val="Carlito"/>
    </x:font>
    <x:font>
      <x:b/>
      <x:sz val="11"/>
      <x:color rgb="FF765600"/>
      <x:name val="Carlito"/>
    </x:font>
    <x:font>
      <x:i/>
      <x:sz val="11"/>
      <x:color rgb="FF17365D"/>
      <x:name val="Carlito"/>
    </x:font>
    <x:font>
      <x:sz val="11"/>
      <x:color rgb="FF765600"/>
      <x:name val="Carlito"/>
    </x:font>
    <x:font>
      <x:b/>
      <x:sz val="10"/>
      <x:color rgb="FF222222"/>
      <x:name val="Aptos"/>
    </x:font>
    <x:font>
      <x:sz val="10"/>
      <x:color rgb="FF222222"/>
      <x:name val="Aptos"/>
    </x:font>
    <x:font>
      <x:i/>
      <x:sz val="10"/>
      <x:color rgb="FF222222"/>
      <x:name val="Aptos"/>
    </x:font>
  </x:fonts>
  <x:fills count="10">
    <x:fill>
      <x:patternFill patternType="none"/>
    </x:fill>
    <x:fill>
      <x:patternFill patternType="gray125"/>
    </x:fill>
    <x:fill>
      <x:patternFill patternType="solid">
        <x:fgColor rgb="FF17365D"/>
      </x:patternFill>
    </x:fill>
    <x:fill>
      <x:patternFill patternType="solid">
        <x:fgColor rgb="FFEAF2F8"/>
      </x:patternFill>
    </x:fill>
    <x:fill>
      <x:patternFill patternType="solid">
        <x:fgColor rgb="FF2F75B5"/>
      </x:patternFill>
    </x:fill>
    <x:fill>
      <x:patternFill patternType="solid">
        <x:fgColor rgb="FFD9EAF7"/>
      </x:patternFill>
    </x:fill>
    <x:fill>
      <x:patternFill patternType="solid">
        <x:fgColor rgb="FFFFF2CC"/>
      </x:patternFill>
    </x:fill>
    <x:fill>
      <x:patternFill patternType="solid">
        <x:fgColor rgb="FFE2F0D9"/>
      </x:patternFill>
    </x:fill>
    <x:fill>
      <x:patternFill patternType="solid">
        <x:fgColor rgb="FFFCE4D6"/>
      </x:patternFill>
    </x:fill>
    <x:fill>
      <x:patternFill patternType="solid">
        <x:fgColor rgb="FFF3F6F9"/>
      </x:patternFill>
    </x:fill>
  </x:fills>
  <x:borders count="10">
    <x:border/>
    <x:border>
      <x:right style="thin">
        <x:color rgb="FFD9D9D9"/>
      </x:right>
      <x:bottom style="thin">
        <x:color rgb="FFD9D9D9"/>
      </x:bottom>
    </x:border>
    <x:border>
      <x:left style="thin">
        <x:color rgb="FFD9D9D9"/>
      </x:left>
      <x:right style="thin">
        <x:color rgb="FFD9D9D9"/>
      </x:right>
      <x:bottom style="thin">
        <x:color rgb="FFD9D9D9"/>
      </x:bottom>
    </x:border>
    <x:border>
      <x:left style="thin">
        <x:color rgb="FFD9D9D9"/>
      </x:left>
      <x:bottom style="thin">
        <x:color rgb="FFD9D9D9"/>
      </x:bottom>
    </x:border>
    <x:border>
      <x:right style="thin">
        <x:color rgb="FFD9D9D9"/>
      </x:right>
      <x:top style="thin">
        <x:color rgb="FFD9D9D9"/>
      </x:top>
      <x:bottom style="thin">
        <x:color rgb="FFD9D9D9"/>
      </x:bottom>
    </x:border>
    <x:border>
      <x:left style="thin">
        <x:color rgb="FFD9D9D9"/>
      </x:left>
      <x:right style="thin">
        <x:color rgb="FFD9D9D9"/>
      </x:right>
      <x:top style="thin">
        <x:color rgb="FFD9D9D9"/>
      </x:top>
      <x:bottom style="thin">
        <x:color rgb="FFD9D9D9"/>
      </x:bottom>
    </x:border>
    <x:border>
      <x:left style="thin">
        <x:color rgb="FFD9D9D9"/>
      </x:left>
      <x:top style="thin">
        <x:color rgb="FFD9D9D9"/>
      </x:top>
      <x:bottom style="thin">
        <x:color rgb="FFD9D9D9"/>
      </x:bottom>
    </x:border>
    <x:border>
      <x:right style="thin">
        <x:color rgb="FFD9D9D9"/>
      </x:right>
      <x:top style="thin">
        <x:color rgb="FFD9D9D9"/>
      </x:top>
    </x:border>
    <x:border>
      <x:left style="thin">
        <x:color rgb="FFD9D9D9"/>
      </x:left>
      <x:right style="thin">
        <x:color rgb="FFD9D9D9"/>
      </x:right>
      <x:top style="thin">
        <x:color rgb="FFD9D9D9"/>
      </x:top>
    </x:border>
    <x:border>
      <x:left style="thin">
        <x:color rgb="FFD9D9D9"/>
      </x:left>
      <x:top style="thin">
        <x:color rgb="FFD9D9D9"/>
      </x:top>
    </x:border>
  </x:borders>
  <x:cellStyleXfs count="1">
    <x:xf numFmtId="0" fontId="0" fillId="0" borderId="0"/>
  </x:cellStyleXfs>
  <x:cellXfs count="123">
    <x:xf numFmtId="0" fontId="0" fillId="0" borderId="0" xfId="0"/>
    <x:xf numFmtId="0" fontId="0" fillId="2" borderId="0" xfId="0" applyNumberFormat="1" applyFont="1" applyFill="1" applyBorder="1"/>
    <x:xf numFmtId="0" fontId="1" fillId="2" borderId="0" xfId="0" applyNumberFormat="1" applyFont="1" applyFill="1" applyBorder="1"/>
    <x:xf numFmtId="0" fontId="1" fillId="2" borderId="0" xfId="0" applyNumberFormat="1" applyFont="1" applyFill="1" applyBorder="1" applyAlignment="1">
      <x:alignment wrapText="1"/>
    </x:xf>
    <x:xf numFmtId="0" fontId="1" fillId="2" borderId="0" xfId="0" applyNumberFormat="1" applyFont="1" applyFill="1" applyBorder="1" applyAlignment="1">
      <x:alignment horizontal="center" wrapText="1"/>
    </x:xf>
    <x:xf numFmtId="0" fontId="1" fillId="2" borderId="0" xfId="0" applyNumberFormat="1" applyFont="1" applyFill="1" applyBorder="1" applyAlignment="1">
      <x:alignment horizontal="center" vertical="center" wrapText="1"/>
    </x:xf>
    <x:xf numFmtId="0" fontId="0" fillId="3" borderId="0" xfId="0" applyNumberFormat="1" applyFont="1" applyFill="1" applyBorder="1"/>
    <x:xf numFmtId="0" fontId="2" fillId="3" borderId="0" xfId="0" applyNumberFormat="1" applyFont="1" applyFill="1" applyBorder="1"/>
    <x:xf numFmtId="0" fontId="2" fillId="3" borderId="0" xfId="0" applyNumberFormat="1" applyFont="1" applyFill="1" applyBorder="1" applyAlignment="1">
      <x:alignment wrapText="1"/>
    </x:xf>
    <x:xf numFmtId="0" fontId="0" fillId="4" borderId="0" xfId="0" applyNumberFormat="1" applyFont="1" applyFill="1" applyBorder="1"/>
    <x:xf numFmtId="0" fontId="3" fillId="4" borderId="0" xfId="0" applyNumberFormat="1" applyFont="1" applyFill="1" applyBorder="1"/>
    <x:xf numFmtId="0" fontId="3" fillId="4" borderId="0" xfId="0" applyNumberFormat="1" applyFont="1" applyFill="1" applyBorder="1" applyAlignment="1">
      <x:alignment wrapText="1"/>
    </x:xf>
    <x:xf numFmtId="0" fontId="3" fillId="4" borderId="0" xfId="0" applyNumberFormat="1" applyFont="1" applyFill="1" applyBorder="1" applyAlignment="1">
      <x:alignment horizontal="center" wrapText="1"/>
    </x:xf>
    <x:xf numFmtId="0" fontId="3" fillId="4" borderId="0" xfId="0" applyNumberFormat="1" applyFont="1" applyFill="1" applyBorder="1" applyAlignment="1">
      <x:alignment horizontal="center" vertical="center" wrapText="1"/>
    </x:xf>
    <x:xf numFmtId="0" fontId="0" fillId="5" borderId="0" xfId="0" applyNumberFormat="1" applyFont="1" applyFill="1" applyBorder="1"/>
    <x:xf numFmtId="0" fontId="2" fillId="5" borderId="0" xfId="0" applyNumberFormat="1" applyFont="1" applyFill="1" applyBorder="1"/>
    <x:xf numFmtId="0" fontId="0" fillId="6" borderId="0" xfId="0" applyNumberFormat="1" applyFont="1" applyFill="1" applyBorder="1"/>
    <x:xf numFmtId="0" fontId="4" fillId="6" borderId="0" xfId="0" applyNumberFormat="1" applyFont="1" applyFill="1" applyBorder="1"/>
    <x:xf numFmtId="0" fontId="4" fillId="6" borderId="0" xfId="0" applyNumberFormat="1" applyFont="1" applyFill="1" applyBorder="1" applyAlignment="1">
      <x:alignment wrapText="1"/>
    </x:xf>
    <x:xf numFmtId="0" fontId="0" fillId="7" borderId="0" xfId="0" applyNumberFormat="1" applyFont="1" applyFill="1" applyBorder="1"/>
    <x:xf numFmtId="0" fontId="5" fillId="7" borderId="0" xfId="0" applyNumberFormat="1" applyFont="1" applyFill="1" applyBorder="1"/>
    <x:xf numFmtId="0" fontId="5" fillId="7" borderId="0" xfId="0" applyNumberFormat="1" applyFont="1" applyFill="1" applyBorder="1" applyAlignment="1">
      <x:alignment wrapText="1"/>
    </x:xf>
    <x:xf numFmtId="0" fontId="0" fillId="8" borderId="0" xfId="0" applyNumberFormat="1" applyFont="1" applyFill="1" applyBorder="1"/>
    <x:xf numFmtId="0" fontId="6" fillId="8" borderId="0" xfId="0" applyNumberFormat="1" applyFont="1" applyFill="1" applyBorder="1"/>
    <x:xf numFmtId="0" fontId="6" fillId="8" borderId="0" xfId="0" applyNumberFormat="1" applyFont="1" applyFill="1" applyBorder="1" applyAlignment="1">
      <x:alignment horizontal="center"/>
    </x:xf>
    <x:xf numFmtId="0" fontId="5" fillId="7" borderId="0" xfId="0" applyNumberFormat="1" applyFont="1" applyFill="1" applyBorder="1" applyAlignment="1">
      <x:alignment horizontal="center"/>
    </x:xf>
    <x:xf numFmtId="200" fontId="0" fillId="0" borderId="0" xfId="0" applyNumberFormat="1" applyFont="1" applyFill="1" applyBorder="1"/>
    <x:xf numFmtId="201" fontId="0" fillId="0" borderId="0" xfId="0" applyNumberFormat="1" applyFont="1" applyFill="1" applyBorder="1"/>
    <x:xf numFmtId="202" fontId="0" fillId="0" borderId="0" xfId="0" applyNumberFormat="1" applyFont="1" applyFill="1" applyBorder="1"/>
    <x:xf numFmtId="203" fontId="0" fillId="0" borderId="0" xfId="0" applyNumberFormat="1" applyFont="1" applyFill="1" applyBorder="1"/>
    <x:xf numFmtId="0" fontId="7" fillId="6" borderId="0" xfId="0" applyNumberFormat="1" applyFont="1" applyFill="1" applyBorder="1"/>
    <x:xf numFmtId="0" fontId="7" fillId="6" borderId="0" xfId="0" applyNumberFormat="1" applyFont="1" applyFill="1" applyBorder="1" applyAlignment="1">
      <x:alignment wrapText="1"/>
    </x:xf>
    <x:xf numFmtId="0" fontId="0" fillId="9" borderId="0" xfId="0" applyNumberFormat="1" applyFont="1" applyFill="1" applyBorder="1"/>
    <x:xf numFmtId="0" fontId="8" fillId="9" borderId="0" xfId="0" applyNumberFormat="1" applyFont="1" applyFill="1" applyBorder="1"/>
    <x:xf numFmtId="0" fontId="8" fillId="9" borderId="0" xfId="0" applyNumberFormat="1" applyFont="1" applyFill="1" applyBorder="1" applyAlignment="1">
      <x:alignment wrapText="1"/>
    </x:xf>
    <x:xf numFmtId="0" fontId="9" fillId="6" borderId="0" xfId="0" applyNumberFormat="1" applyFont="1" applyFill="1" applyBorder="1"/>
    <x:xf numFmtId="0" fontId="9" fillId="6" borderId="0" xfId="0" applyNumberFormat="1" applyFont="1" applyFill="1" applyBorder="1" applyAlignment="1">
      <x:alignment wrapText="1"/>
    </x:xf>
    <x:xf numFmtId="0" fontId="10" fillId="2" borderId="0" xfId="0" applyNumberFormat="1" applyFont="1" applyFill="1" applyBorder="1" applyAlignment="1">
      <x:alignment horizontal="center" vertical="center" wrapText="1"/>
    </x:xf>
    <x:xf numFmtId="0" fontId="11" fillId="0" borderId="0" xfId="0" applyNumberFormat="1" applyFont="1" applyFill="1" applyBorder="1"/>
    <x:xf numFmtId="0" fontId="10" fillId="3" borderId="0" xfId="0" applyNumberFormat="1" applyFont="1" applyFill="1" applyBorder="1" applyAlignment="1">
      <x:alignment wrapText="1"/>
    </x:xf>
    <x:xf numFmtId="0" fontId="10" fillId="4" borderId="0" xfId="0" applyNumberFormat="1" applyFont="1" applyFill="1" applyBorder="1" applyAlignment="1">
      <x:alignment horizontal="center" vertical="center" wrapText="1"/>
    </x:xf>
    <x:xf numFmtId="0" fontId="10" fillId="5" borderId="0" xfId="0" applyNumberFormat="1" applyFont="1" applyFill="1" applyBorder="1"/>
    <x:xf numFmtId="0" fontId="11" fillId="6" borderId="0" xfId="0" applyNumberFormat="1" applyFont="1" applyFill="1" applyBorder="1" applyAlignment="1">
      <x:alignment wrapText="1"/>
    </x:xf>
    <x:xf numFmtId="0" fontId="11" fillId="0" borderId="0" xfId="0" applyNumberFormat="1" applyFont="1" applyFill="1" applyBorder="1" applyAlignment="1">
      <x:alignment wrapText="1"/>
    </x:xf>
    <x:xf numFmtId="0" fontId="10" fillId="5" borderId="0" xfId="0" applyNumberFormat="1" applyFont="1" applyFill="1" applyBorder="1" applyAlignment="1">
      <x:alignment wrapText="1"/>
    </x:xf>
    <x:xf numFmtId="0" fontId="11" fillId="0" borderId="0" xfId="0" applyNumberFormat="1" applyFont="1" applyFill="1" applyBorder="1" applyAlignment="1">
      <x:alignment vertical="center" wrapText="1"/>
    </x:xf>
    <x:xf numFmtId="0" fontId="10" fillId="3" borderId="0" xfId="0" applyNumberFormat="1" applyFont="1" applyFill="1" applyBorder="1" applyAlignment="1">
      <x:alignment vertical="center" wrapText="1"/>
    </x:xf>
    <x:xf numFmtId="0" fontId="10" fillId="5" borderId="0" xfId="0" applyNumberFormat="1" applyFont="1" applyFill="1" applyBorder="1" applyAlignment="1">
      <x:alignment vertical="center" wrapText="1"/>
    </x:xf>
    <x:xf numFmtId="0" fontId="11" fillId="6" borderId="0" xfId="0" applyNumberFormat="1" applyFont="1" applyFill="1" applyBorder="1" applyAlignment="1">
      <x:alignment vertical="center" wrapText="1"/>
    </x:xf>
    <x:xf numFmtId="0" fontId="10" fillId="2" borderId="1" xfId="0" applyNumberFormat="1" applyFont="1" applyFill="1" applyBorder="1" applyAlignment="1">
      <x:alignment horizontal="center" vertical="center" wrapText="1"/>
    </x:xf>
    <x:xf numFmtId="0" fontId="10" fillId="2" borderId="2" xfId="0" applyNumberFormat="1" applyFont="1" applyFill="1" applyBorder="1" applyAlignment="1">
      <x:alignment horizontal="center" vertical="center" wrapText="1"/>
    </x:xf>
    <x:xf numFmtId="0" fontId="10" fillId="2" borderId="3" xfId="0" applyNumberFormat="1" applyFont="1" applyFill="1" applyBorder="1" applyAlignment="1">
      <x:alignment horizontal="center" vertical="center" wrapText="1"/>
    </x:xf>
    <x:xf numFmtId="0" fontId="10" fillId="2" borderId="4" xfId="0" applyNumberFormat="1" applyFont="1" applyFill="1" applyBorder="1" applyAlignment="1">
      <x:alignment horizontal="center" vertical="center" wrapText="1"/>
    </x:xf>
    <x:xf numFmtId="0" fontId="10" fillId="2" borderId="5" xfId="0" applyNumberFormat="1" applyFont="1" applyFill="1" applyBorder="1" applyAlignment="1">
      <x:alignment horizontal="center" vertical="center" wrapText="1"/>
    </x:xf>
    <x:xf numFmtId="0" fontId="10" fillId="2" borderId="6" xfId="0" applyNumberFormat="1" applyFont="1" applyFill="1" applyBorder="1" applyAlignment="1">
      <x:alignment horizontal="center" vertical="center" wrapText="1"/>
    </x:xf>
    <x:xf numFmtId="0" fontId="11" fillId="0" borderId="4" xfId="0" applyNumberFormat="1" applyFont="1" applyFill="1" applyBorder="1" applyAlignment="1">
      <x:alignment vertical="center" wrapText="1"/>
    </x:xf>
    <x:xf numFmtId="0" fontId="11" fillId="0" borderId="5" xfId="0" applyNumberFormat="1" applyFont="1" applyFill="1" applyBorder="1" applyAlignment="1">
      <x:alignment vertical="center" wrapText="1"/>
    </x:xf>
    <x:xf numFmtId="0" fontId="11" fillId="0" borderId="6" xfId="0" applyNumberFormat="1" applyFont="1" applyFill="1" applyBorder="1" applyAlignment="1">
      <x:alignment vertical="center" wrapText="1"/>
    </x:xf>
    <x:xf numFmtId="0" fontId="10" fillId="3" borderId="4" xfId="0" applyNumberFormat="1" applyFont="1" applyFill="1" applyBorder="1" applyAlignment="1">
      <x:alignment vertical="center" wrapText="1"/>
    </x:xf>
    <x:xf numFmtId="0" fontId="10" fillId="3" borderId="5" xfId="0" applyNumberFormat="1" applyFont="1" applyFill="1" applyBorder="1" applyAlignment="1">
      <x:alignment vertical="center" wrapText="1"/>
    </x:xf>
    <x:xf numFmtId="0" fontId="10" fillId="3" borderId="6" xfId="0" applyNumberFormat="1" applyFont="1" applyFill="1" applyBorder="1" applyAlignment="1">
      <x:alignment vertical="center" wrapText="1"/>
    </x:xf>
    <x:xf numFmtId="0" fontId="10" fillId="4" borderId="4" xfId="0" applyNumberFormat="1" applyFont="1" applyFill="1" applyBorder="1" applyAlignment="1">
      <x:alignment horizontal="center" vertical="center" wrapText="1"/>
    </x:xf>
    <x:xf numFmtId="0" fontId="10" fillId="4" borderId="5" xfId="0" applyNumberFormat="1" applyFont="1" applyFill="1" applyBorder="1" applyAlignment="1">
      <x:alignment horizontal="center" vertical="center" wrapText="1"/>
    </x:xf>
    <x:xf numFmtId="0" fontId="10" fillId="4" borderId="6" xfId="0" applyNumberFormat="1" applyFont="1" applyFill="1" applyBorder="1" applyAlignment="1">
      <x:alignment horizontal="center" vertical="center" wrapText="1"/>
    </x:xf>
    <x:xf numFmtId="0" fontId="10" fillId="5" borderId="5" xfId="0" applyNumberFormat="1" applyFont="1" applyFill="1" applyBorder="1" applyAlignment="1">
      <x:alignment vertical="center" wrapText="1"/>
    </x:xf>
    <x:xf numFmtId="0" fontId="10" fillId="5" borderId="6" xfId="0" applyNumberFormat="1" applyFont="1" applyFill="1" applyBorder="1" applyAlignment="1">
      <x:alignment vertical="center" wrapText="1"/>
    </x:xf>
    <x:xf numFmtId="0" fontId="10" fillId="5" borderId="4" xfId="0" applyNumberFormat="1" applyFont="1" applyFill="1" applyBorder="1" applyAlignment="1">
      <x:alignment vertical="center" wrapText="1"/>
    </x:xf>
    <x:xf numFmtId="0" fontId="11" fillId="6" borderId="4" xfId="0" applyNumberFormat="1" applyFont="1" applyFill="1" applyBorder="1" applyAlignment="1">
      <x:alignment vertical="center" wrapText="1"/>
    </x:xf>
    <x:xf numFmtId="0" fontId="11" fillId="6" borderId="5" xfId="0" applyNumberFormat="1" applyFont="1" applyFill="1" applyBorder="1" applyAlignment="1">
      <x:alignment vertical="center" wrapText="1"/>
    </x:xf>
    <x:xf numFmtId="0" fontId="11" fillId="6" borderId="6" xfId="0" applyNumberFormat="1" applyFont="1" applyFill="1" applyBorder="1" applyAlignment="1">
      <x:alignment vertical="center" wrapText="1"/>
    </x:xf>
    <x:xf numFmtId="0" fontId="11" fillId="6" borderId="7" xfId="0" applyNumberFormat="1" applyFont="1" applyFill="1" applyBorder="1" applyAlignment="1">
      <x:alignment vertical="center" wrapText="1"/>
    </x:xf>
    <x:xf numFmtId="0" fontId="11" fillId="6" borderId="8" xfId="0" applyNumberFormat="1" applyFont="1" applyFill="1" applyBorder="1" applyAlignment="1">
      <x:alignment vertical="center" wrapText="1"/>
    </x:xf>
    <x:xf numFmtId="0" fontId="11" fillId="6" borderId="9" xfId="0" applyNumberFormat="1" applyFont="1" applyFill="1" applyBorder="1" applyAlignment="1">
      <x:alignment vertical="center" wrapText="1"/>
    </x:xf>
    <x:xf numFmtId="0" fontId="1" fillId="2" borderId="1" xfId="0" applyNumberFormat="1" applyFont="1" applyFill="1" applyBorder="1" applyAlignment="1">
      <x:alignment horizontal="center" vertical="center" wrapText="1"/>
    </x:xf>
    <x:xf numFmtId="0" fontId="1" fillId="2" borderId="4" xfId="0" applyNumberFormat="1" applyFont="1" applyFill="1" applyBorder="1" applyAlignment="1">
      <x:alignment horizontal="center" vertical="center" wrapText="1"/>
    </x:xf>
    <x:xf numFmtId="0" fontId="10" fillId="7" borderId="0" xfId="0" applyNumberFormat="1" applyFont="1" applyFill="1" applyBorder="1" applyAlignment="1">
      <x:alignment wrapText="1"/>
    </x:xf>
    <x:xf numFmtId="200" fontId="11" fillId="0" borderId="0" xfId="0" applyNumberFormat="1" applyFont="1" applyFill="1" applyBorder="1"/>
    <x:xf numFmtId="201" fontId="11" fillId="0" borderId="0" xfId="0" applyNumberFormat="1" applyFont="1" applyFill="1" applyBorder="1"/>
    <x:xf numFmtId="202" fontId="11" fillId="0" borderId="0" xfId="0" applyNumberFormat="1" applyFont="1" applyFill="1" applyBorder="1"/>
    <x:xf numFmtId="203" fontId="11" fillId="0" borderId="0" xfId="0" applyNumberFormat="1" applyFont="1" applyFill="1" applyBorder="1"/>
    <x:xf numFmtId="0" fontId="10" fillId="8" borderId="0" xfId="0" applyNumberFormat="1" applyFont="1" applyFill="1" applyBorder="1" applyAlignment="1">
      <x:alignment horizontal="center"/>
    </x:xf>
    <x:xf numFmtId="0" fontId="10" fillId="7" borderId="0" xfId="0" applyNumberFormat="1" applyFont="1" applyFill="1" applyBorder="1" applyAlignment="1">
      <x:alignment horizontal="center"/>
    </x:xf>
    <x:xf numFmtId="0" fontId="10" fillId="6" borderId="0" xfId="0" applyNumberFormat="1" applyFont="1" applyFill="1" applyBorder="1" applyAlignment="1">
      <x:alignment wrapText="1"/>
    </x:xf>
    <x:xf numFmtId="0" fontId="12" fillId="9" borderId="0" xfId="0" applyNumberFormat="1" applyFont="1" applyFill="1" applyBorder="1" applyAlignment="1">
      <x:alignment wrapText="1"/>
    </x:xf>
    <x:xf numFmtId="200" fontId="11" fillId="0" borderId="0" xfId="0" applyNumberFormat="1" applyFont="1" applyFill="1" applyBorder="1" applyAlignment="1">
      <x:alignment wrapText="1"/>
    </x:xf>
    <x:xf numFmtId="201" fontId="11" fillId="0" borderId="0" xfId="0" applyNumberFormat="1" applyFont="1" applyFill="1" applyBorder="1" applyAlignment="1">
      <x:alignment wrapText="1"/>
    </x:xf>
    <x:xf numFmtId="202" fontId="11" fillId="0" borderId="0" xfId="0" applyNumberFormat="1" applyFont="1" applyFill="1" applyBorder="1" applyAlignment="1">
      <x:alignment wrapText="1"/>
    </x:xf>
    <x:xf numFmtId="203" fontId="11" fillId="0" borderId="0" xfId="0" applyNumberFormat="1" applyFont="1" applyFill="1" applyBorder="1" applyAlignment="1">
      <x:alignment wrapText="1"/>
    </x:xf>
    <x:xf numFmtId="0" fontId="10" fillId="8" borderId="0" xfId="0" applyNumberFormat="1" applyFont="1" applyFill="1" applyBorder="1" applyAlignment="1">
      <x:alignment horizontal="center" wrapText="1"/>
    </x:xf>
    <x:xf numFmtId="0" fontId="10" fillId="7" borderId="0" xfId="0" applyNumberFormat="1" applyFont="1" applyFill="1" applyBorder="1" applyAlignment="1">
      <x:alignment horizontal="center" wrapText="1"/>
    </x:xf>
    <x:xf numFmtId="0" fontId="10" fillId="7" borderId="0" xfId="0" applyNumberFormat="1" applyFont="1" applyFill="1" applyBorder="1" applyAlignment="1">
      <x:alignment vertical="center" wrapText="1"/>
    </x:xf>
    <x:xf numFmtId="200" fontId="11" fillId="0" borderId="0" xfId="0" applyNumberFormat="1" applyFont="1" applyFill="1" applyBorder="1" applyAlignment="1">
      <x:alignment vertical="center" wrapText="1"/>
    </x:xf>
    <x:xf numFmtId="201" fontId="11" fillId="0" borderId="0" xfId="0" applyNumberFormat="1" applyFont="1" applyFill="1" applyBorder="1" applyAlignment="1">
      <x:alignment vertical="center" wrapText="1"/>
    </x:xf>
    <x:xf numFmtId="202" fontId="11" fillId="0" borderId="0" xfId="0" applyNumberFormat="1" applyFont="1" applyFill="1" applyBorder="1" applyAlignment="1">
      <x:alignment vertical="center" wrapText="1"/>
    </x:xf>
    <x:xf numFmtId="203" fontId="11" fillId="0" borderId="0" xfId="0" applyNumberFormat="1" applyFont="1" applyFill="1" applyBorder="1" applyAlignment="1">
      <x:alignment vertical="center" wrapText="1"/>
    </x:xf>
    <x:xf numFmtId="0" fontId="10" fillId="8" borderId="0" xfId="0" applyNumberFormat="1" applyFont="1" applyFill="1" applyBorder="1" applyAlignment="1">
      <x:alignment horizontal="center" vertical="center" wrapText="1"/>
    </x:xf>
    <x:xf numFmtId="0" fontId="10" fillId="7" borderId="0" xfId="0" applyNumberFormat="1" applyFont="1" applyFill="1" applyBorder="1" applyAlignment="1">
      <x:alignment horizontal="center" vertical="center" wrapText="1"/>
    </x:xf>
    <x:xf numFmtId="0" fontId="10" fillId="6" borderId="0" xfId="0" applyNumberFormat="1" applyFont="1" applyFill="1" applyBorder="1" applyAlignment="1">
      <x:alignment vertical="center" wrapText="1"/>
    </x:xf>
    <x:xf numFmtId="0" fontId="12" fillId="9" borderId="0" xfId="0" applyNumberFormat="1" applyFont="1" applyFill="1" applyBorder="1" applyAlignment="1">
      <x:alignment vertical="center" wrapText="1"/>
    </x:xf>
    <x:xf numFmtId="0" fontId="10" fillId="7" borderId="4" xfId="0" applyNumberFormat="1" applyFont="1" applyFill="1" applyBorder="1" applyAlignment="1">
      <x:alignment vertical="center" wrapText="1"/>
    </x:xf>
    <x:xf numFmtId="0" fontId="10" fillId="7" borderId="5" xfId="0" applyNumberFormat="1" applyFont="1" applyFill="1" applyBorder="1" applyAlignment="1">
      <x:alignment vertical="center" wrapText="1"/>
    </x:xf>
    <x:xf numFmtId="0" fontId="10" fillId="7" borderId="6" xfId="0" applyNumberFormat="1" applyFont="1" applyFill="1" applyBorder="1" applyAlignment="1">
      <x:alignment vertical="center" wrapText="1"/>
    </x:xf>
    <x:xf numFmtId="200" fontId="11" fillId="0" borderId="5" xfId="0" applyNumberFormat="1" applyFont="1" applyFill="1" applyBorder="1" applyAlignment="1">
      <x:alignment vertical="center" wrapText="1"/>
    </x:xf>
    <x:xf numFmtId="201" fontId="11" fillId="0" borderId="5" xfId="0" applyNumberFormat="1" applyFont="1" applyFill="1" applyBorder="1" applyAlignment="1">
      <x:alignment vertical="center" wrapText="1"/>
    </x:xf>
    <x:xf numFmtId="202" fontId="11" fillId="0" borderId="5" xfId="0" applyNumberFormat="1" applyFont="1" applyFill="1" applyBorder="1" applyAlignment="1">
      <x:alignment vertical="center" wrapText="1"/>
    </x:xf>
    <x:xf numFmtId="203" fontId="11" fillId="0" borderId="5" xfId="0" applyNumberFormat="1" applyFont="1" applyFill="1" applyBorder="1" applyAlignment="1">
      <x:alignment vertical="center" wrapText="1"/>
    </x:xf>
    <x:xf numFmtId="0" fontId="10" fillId="8" borderId="5" xfId="0" applyNumberFormat="1" applyFont="1" applyFill="1" applyBorder="1" applyAlignment="1">
      <x:alignment horizontal="center" vertical="center" wrapText="1"/>
    </x:xf>
    <x:xf numFmtId="0" fontId="10" fillId="7" borderId="5" xfId="0" applyNumberFormat="1" applyFont="1" applyFill="1" applyBorder="1" applyAlignment="1">
      <x:alignment horizontal="center" vertical="center" wrapText="1"/>
    </x:xf>
    <x:xf numFmtId="0" fontId="10" fillId="6" borderId="4" xfId="0" applyNumberFormat="1" applyFont="1" applyFill="1" applyBorder="1" applyAlignment="1">
      <x:alignment vertical="center" wrapText="1"/>
    </x:xf>
    <x:xf numFmtId="0" fontId="10" fillId="6" borderId="5" xfId="0" applyNumberFormat="1" applyFont="1" applyFill="1" applyBorder="1" applyAlignment="1">
      <x:alignment vertical="center" wrapText="1"/>
    </x:xf>
    <x:xf numFmtId="0" fontId="10" fillId="6" borderId="6" xfId="0" applyNumberFormat="1" applyFont="1" applyFill="1" applyBorder="1" applyAlignment="1">
      <x:alignment vertical="center" wrapText="1"/>
    </x:xf>
    <x:xf numFmtId="0" fontId="12" fillId="9" borderId="4" xfId="0" applyNumberFormat="1" applyFont="1" applyFill="1" applyBorder="1" applyAlignment="1">
      <x:alignment vertical="center" wrapText="1"/>
    </x:xf>
    <x:xf numFmtId="0" fontId="12" fillId="9" borderId="5" xfId="0" applyNumberFormat="1" applyFont="1" applyFill="1" applyBorder="1" applyAlignment="1">
      <x:alignment vertical="center" wrapText="1"/>
    </x:xf>
    <x:xf numFmtId="0" fontId="12" fillId="9" borderId="6" xfId="0" applyNumberFormat="1" applyFont="1" applyFill="1" applyBorder="1" applyAlignment="1">
      <x:alignment vertical="center" wrapText="1"/>
    </x:xf>
    <x:xf numFmtId="0" fontId="12" fillId="9" borderId="7" xfId="0" applyNumberFormat="1" applyFont="1" applyFill="1" applyBorder="1" applyAlignment="1">
      <x:alignment vertical="center" wrapText="1"/>
    </x:xf>
    <x:xf numFmtId="0" fontId="12" fillId="9" borderId="8" xfId="0" applyNumberFormat="1" applyFont="1" applyFill="1" applyBorder="1" applyAlignment="1">
      <x:alignment vertical="center" wrapText="1"/>
    </x:xf>
    <x:xf numFmtId="0" fontId="12" fillId="9" borderId="9" xfId="0" applyNumberFormat="1" applyFont="1" applyFill="1" applyBorder="1" applyAlignment="1">
      <x:alignment vertical="center" wrapText="1"/>
    </x:xf>
    <x:xf numFmtId="0" fontId="10" fillId="7" borderId="0" xfId="0" applyNumberFormat="1" applyFont="1" applyFill="1" applyBorder="1"/>
    <x:xf numFmtId="0" fontId="11" fillId="0" borderId="7" xfId="0" applyNumberFormat="1" applyFont="1" applyFill="1" applyBorder="1" applyAlignment="1">
      <x:alignment vertical="center" wrapText="1"/>
    </x:xf>
    <x:xf numFmtId="0" fontId="11" fillId="0" borderId="8" xfId="0" applyNumberFormat="1" applyFont="1" applyFill="1" applyBorder="1" applyAlignment="1">
      <x:alignment vertical="center" wrapText="1"/>
    </x:xf>
    <x:xf numFmtId="0" fontId="11" fillId="0" borderId="9" xfId="0" applyNumberFormat="1" applyFont="1" applyFill="1" applyBorder="1" applyAlignment="1">
      <x:alignment vertical="center" wrapText="1"/>
    </x:xf>
    <x:xf numFmtId="0" fontId="10" fillId="7" borderId="8" xfId="0" applyNumberFormat="1" applyFont="1" applyFill="1" applyBorder="1" applyAlignment="1">
      <x:alignment vertical="center" wrapText="1"/>
    </x:xf>
    <x:xf numFmtId="0" fontId="10" fillId="7" borderId="9" xfId="0" applyNumberFormat="1" applyFont="1" applyFill="1" applyBorder="1" applyAlignment="1">
      <x:alignment vertical="center" wrapText="1"/>
    </x:xf>
  </x:cellXfs>
  <x:cellStyles count="1">
    <x:cellStyle name="Normal" xfId="0"/>
  </x:cellStyles>
</x:styleSheet>
</file>

<file path=xl/_rels/workbook.xml.rels>&#65279;<?xml version="1.0" encoding="utf-8"?><Relationships xmlns="http://schemas.openxmlformats.org/package/2006/relationships"><Relationship Type="http://schemas.openxmlformats.org/officeDocument/2006/relationships/styles" Target="/xl/styles.xml" Id="Rfc7cc958ac4d4cec" /><Relationship Type="http://schemas.openxmlformats.org/officeDocument/2006/relationships/theme" Target="/xl/theme/theme1.xml" Id="Rf08c829316054771" /><Relationship Type="http://schemas.openxmlformats.org/officeDocument/2006/relationships/sharedStrings" Target="/xl/sharedStrings.xml" Id="Rd0408e0b45344759" /><Relationship Type="http://schemas.openxmlformats.org/officeDocument/2006/relationships/worksheet" Target="/xl/worksheets/sheet1.xml" Id="R1643fd6e92a44329" /><Relationship Type="http://schemas.openxmlformats.org/officeDocument/2006/relationships/worksheet" Target="/xl/worksheets/sheet2.xml" Id="Rf2f928ea91ed4025" /><Relationship Type="http://schemas.openxmlformats.org/officeDocument/2006/relationships/worksheet" Target="/xl/worksheets/sheet3.xml" Id="R874a715ac0f14d22" /><Relationship Type="http://schemas.openxmlformats.org/officeDocument/2006/relationships/worksheet" Target="/xl/worksheets/sheet4.xml" Id="R8653f950c8914f8a" /></Relationships>
</file>

<file path=xl/theme/theme1.xml><?xml version="1.0" encoding="utf-8"?>
<a:theme xmlns:a="http://schemas.openxmlformats.org/drawingml/2006/main" name="ChatGPT">
  <a:themeElements>
    <a:clrScheme name="ChatGPT">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Calibri Light"/>
        <a:ea typeface="Calibri Light"/>
        <a:cs typeface="Calibri Light"/>
      </a:majorFont>
      <a:minorFont>
        <a:latin typeface="Calibri"/>
        <a:ea typeface="Calibri"/>
        <a:cs typeface="Calibri"/>
      </a:minorFont>
    </a:fontScheme>
    <a:fmtScheme name="ChatGPT">
      <a:fillStyleLst>
        <a:solidFill>
          <a:schemeClr val="phClr"/>
        </a:solidFill>
        <a:gradFill>
          <a:gsLst>
            <a:gs pos="0">
              <a:schemeClr val="phClr">
                <a:tint val="67000"/>
                <a:lumMod val="110000"/>
                <a:satMod val="105000"/>
              </a:schemeClr>
            </a:gs>
            <a:gs pos="50000">
              <a:schemeClr val="phClr">
                <a:tint val="73000"/>
                <a:lumMod val="105000"/>
                <a:satMod val="103000"/>
              </a:schemeClr>
            </a:gs>
            <a:gs pos="100000">
              <a:schemeClr val="phClr">
                <a:tint val="81000"/>
                <a:lumMod val="105000"/>
                <a:satMod val="109000"/>
              </a:schemeClr>
            </a:gs>
          </a:gsLst>
          <a:lin ang="5400000" scaled="0"/>
        </a:gradFill>
        <a:gradFill>
          <a:gsLst>
            <a:gs pos="0">
              <a:schemeClr val="phClr">
                <a:tint val="94000"/>
                <a:lumMod val="102000"/>
                <a:satMod val="103000"/>
              </a:schemeClr>
            </a:gs>
            <a:gs pos="50000">
              <a:schemeClr val="phClr">
                <a:shade val="100000"/>
                <a:lumMod val="100000"/>
                <a:satMod val="110000"/>
              </a:schemeClr>
            </a:gs>
            <a:gs pos="100000">
              <a:schemeClr val="phClr">
                <a:shade val="78000"/>
                <a:lumMod val="99000"/>
                <a:satMod val="120000"/>
              </a:schemeClr>
            </a:gs>
          </a:gsLst>
          <a:lin ang="5400000" scaled="0"/>
        </a:gradFill>
      </a:fillStyleLst>
      <a:lnStyleLst>
        <a:ln w="12700">
          <a:solidFill>
            <a:schemeClr val="phClr"/>
          </a:solidFill>
          <a:prstDash val="solid"/>
        </a:ln>
        <a:ln w="19050">
          <a:solidFill>
            <a:schemeClr val="phClr"/>
          </a:solidFill>
          <a:prstDash val="solid"/>
        </a:ln>
        <a:ln w="25400">
          <a:solidFill>
            <a:schemeClr val="phClr"/>
          </a:solidFill>
          <a:prstDash val="solid"/>
        </a:ln>
      </a:lnStyleLst>
      <a:effectStyleLst>
        <a:effectStyle>
          <a:effectLst/>
        </a:effectStyle>
        <a:effectStyle>
          <a:effectLst/>
        </a:effectStyle>
        <a:effectStyle>
          <a:effectLst>
            <a:outerShdw blurRad="57150" dist="19050" dir="5400000">
              <a:srgbClr val="000000">
                <a:alpha val="63000"/>
              </a:srgbClr>
            </a:outerShdw>
          </a:effectLst>
        </a:effectStyle>
      </a:effectStyleLst>
      <a:bgFillStyleLst>
        <a:solidFill>
          <a:schemeClr val="phClr"/>
        </a:solidFill>
        <a:solidFill>
          <a:schemeClr val="phClr">
            <a:tint val="95000"/>
            <a:satMod val="170000"/>
          </a:schemeClr>
        </a:solidFill>
        <a:gradFill>
          <a:gsLst>
            <a:gs pos="0">
              <a:schemeClr val="phClr">
                <a:tint val="93000"/>
                <a:shade val="98000"/>
                <a:lumMod val="102000"/>
                <a:satMod val="150000"/>
              </a:schemeClr>
            </a:gs>
            <a:gs pos="50000">
              <a:schemeClr val="phClr">
                <a:tint val="98000"/>
                <a:shade val="90000"/>
                <a:lumMod val="103000"/>
                <a:satMod val="130000"/>
              </a:schemeClr>
            </a:gs>
            <a:gs pos="100000">
              <a:schemeClr val="phClr">
                <a:shade val="63000"/>
                <a:satMod val="120000"/>
              </a:schemeClr>
            </a:gs>
          </a:gsLst>
          <a:lin ang="5400000" scaled="0"/>
        </a:gradFill>
      </a:bgFillStyleLst>
    </a:fmtScheme>
  </a:themeElements>
</a:theme>
</file>

<file path=xl/worksheets/sheet1.xml><?xml version="1.0" encoding="utf-8"?>
<x:worksheet xmlns:x="http://schemas.openxmlformats.org/spreadsheetml/2006/main">
  <x:sheetViews>
    <x:sheetView showGridLines="0" workbookViewId="0"/>
  </x:sheetViews>
  <x:sheetFormatPr defaultRowHeight="15"/>
  <x:cols>
    <x:col min="1" max="1" width="27" hidden="0" customWidth="1"/>
    <x:col min="2" max="2" width="18" hidden="0" customWidth="1"/>
    <x:col min="3" max="3" width="18" hidden="0" customWidth="1"/>
    <x:col min="4" max="4" width="18" hidden="0" customWidth="1"/>
    <x:col min="5" max="5" width="4" hidden="0" customWidth="1"/>
    <x:col min="6" max="6" width="24" hidden="0" customWidth="1"/>
    <x:col min="7" max="7" width="24" hidden="0" customWidth="1"/>
    <x:col min="8" max="8" width="24" hidden="0" customWidth="1"/>
  </x:cols>
  <x:sheetData>
    <x:row r="1">
      <x:c r="A1" s="73" t="str">
        <x:v>D1-1c | VFD Minimum Stable Pressure and Operating Window</x:v>
      </x:c>
      <x:c r="B1" s="50"/>
      <x:c r="C1" s="50"/>
      <x:c r="D1" s="50"/>
      <x:c r="E1" s="50"/>
      <x:c r="F1" s="50"/>
      <x:c r="G1" s="50"/>
      <x:c r="H1" s="51"/>
    </x:row>
    <x:row r="2">
      <x:c r="A2" s="74"/>
      <x:c r="B2" s="53"/>
      <x:c r="C2" s="53"/>
      <x:c r="D2" s="53"/>
      <x:c r="E2" s="53"/>
      <x:c r="F2" s="53"/>
      <x:c r="G2" s="53"/>
      <x:c r="H2" s="54"/>
    </x:row>
    <x:row r="3">
      <x:c r="A3" s="55"/>
      <x:c r="B3" s="56"/>
      <x:c r="C3" s="56"/>
      <x:c r="D3" s="56"/>
      <x:c r="E3" s="56"/>
      <x:c r="F3" s="56"/>
      <x:c r="G3" s="56"/>
      <x:c r="H3" s="57"/>
    </x:row>
    <x:row r="4" ht="34" customHeight="1">
      <x:c r="A4" s="58" t="str">
        <x:v>A mobile SWRO unit uses a variable-frequency-drive high-pressure pump. Each intake condition must meet minimum production without violating recovery, flux, rejection, or permeate-salinity limits. Determine each condition's Pmin, then compare it with the VFD minimum stable pressure of 47.0 bar and the pump upper limit of 63.0 bar to select the actual operating setpoint and operating window.</x:v>
      </x:c>
      <x:c r="B4" s="59"/>
      <x:c r="C4" s="59"/>
      <x:c r="D4" s="59"/>
      <x:c r="E4" s="59"/>
      <x:c r="F4" s="59"/>
      <x:c r="G4" s="59"/>
      <x:c r="H4" s="60"/>
    </x:row>
    <x:row r="5" ht="34" customHeight="1">
      <x:c r="A5" s="58"/>
      <x:c r="B5" s="59"/>
      <x:c r="C5" s="59"/>
      <x:c r="D5" s="59"/>
      <x:c r="E5" s="59"/>
      <x:c r="F5" s="59"/>
      <x:c r="G5" s="59"/>
      <x:c r="H5" s="60"/>
    </x:row>
    <x:row r="6" ht="34" customHeight="1">
      <x:c r="A6" s="58"/>
      <x:c r="B6" s="59"/>
      <x:c r="C6" s="59"/>
      <x:c r="D6" s="59"/>
      <x:c r="E6" s="59"/>
      <x:c r="F6" s="59"/>
      <x:c r="G6" s="59"/>
      <x:c r="H6" s="60"/>
    </x:row>
    <x:row r="7">
      <x:c r="A7" s="55"/>
      <x:c r="B7" s="56"/>
      <x:c r="C7" s="56"/>
      <x:c r="D7" s="56"/>
      <x:c r="E7" s="56"/>
      <x:c r="F7" s="56"/>
      <x:c r="G7" s="56"/>
      <x:c r="H7" s="57"/>
    </x:row>
    <x:row r="8">
      <x:c r="A8" s="61" t="str">
        <x:v>Fixed parameter</x:v>
      </x:c>
      <x:c r="B8" s="62" t="str">
        <x:v>Value</x:v>
      </x:c>
      <x:c r="C8" s="62" t="str">
        <x:v>Unit</x:v>
      </x:c>
      <x:c r="D8" s="62" t="str">
        <x:v>Status</x:v>
      </x:c>
      <x:c r="E8" s="56"/>
      <x:c r="F8" s="62" t="str">
        <x:v>Intake condition</x:v>
      </x:c>
      <x:c r="G8" s="62" t="str">
        <x:v>NaCl mass fraction</x:v>
      </x:c>
      <x:c r="H8" s="63" t="str">
        <x:v>Temperature (deg C)</x:v>
      </x:c>
    </x:row>
    <x:row r="9">
      <x:c r="A9" s="55" t="str">
        <x:v>Feed mass flow</x:v>
      </x:c>
      <x:c r="B9" s="56" t="n">
        <x:v>3</x:v>
      </x:c>
      <x:c r="C9" s="56" t="str">
        <x:v>kg/s</x:v>
      </x:c>
      <x:c r="D9" s="56" t="str">
        <x:v>Fixed / locked</x:v>
      </x:c>
      <x:c r="E9" s="56"/>
      <x:c r="F9" s="56" t="str">
        <x:v>A Low-Salinity Warm Water</x:v>
      </x:c>
      <x:c r="G9" s="56" t="n">
        <x:v>0.03</x:v>
      </x:c>
      <x:c r="H9" s="57" t="n">
        <x:v>32</x:v>
      </x:c>
    </x:row>
    <x:row r="10">
      <x:c r="A10" s="55" t="str">
        <x:v>Membrane area</x:v>
      </x:c>
      <x:c r="B10" s="56" t="n">
        <x:v>300</x:v>
      </x:c>
      <x:c r="C10" s="56" t="str">
        <x:v>m^2</x:v>
      </x:c>
      <x:c r="D10" s="56" t="str">
        <x:v>Fixed / locked</x:v>
      </x:c>
      <x:c r="E10" s="56"/>
      <x:c r="F10" s="56" t="str">
        <x:v>B Normal Seawater</x:v>
      </x:c>
      <x:c r="G10" s="56" t="n">
        <x:v>0.035</x:v>
      </x:c>
      <x:c r="H10" s="57" t="n">
        <x:v>25</x:v>
      </x:c>
    </x:row>
    <x:row r="11">
      <x:c r="A11" s="55" t="str">
        <x:v>A_comp</x:v>
      </x:c>
      <x:c r="B11" s="56" t="n">
        <x:v>4.3e-12</x:v>
      </x:c>
      <x:c r="C11" s="56" t="str">
        <x:v>m/s/Pa</x:v>
      </x:c>
      <x:c r="D11" s="56" t="str">
        <x:v>Fixed / locked</x:v>
      </x:c>
      <x:c r="E11" s="56"/>
      <x:c r="F11" s="56" t="str">
        <x:v>C High-Salinity Cold Water</x:v>
      </x:c>
      <x:c r="G11" s="56" t="n">
        <x:v>0.039</x:v>
      </x:c>
      <x:c r="H11" s="57" t="n">
        <x:v>12</x:v>
      </x:c>
    </x:row>
    <x:row r="12">
      <x:c r="A12" s="55" t="str">
        <x:v>B_comp</x:v>
      </x:c>
      <x:c r="B12" s="56" t="n">
        <x:v>3.4e-8</x:v>
      </x:c>
      <x:c r="C12" s="56" t="str">
        <x:v>m/s</x:v>
      </x:c>
      <x:c r="D12" s="56" t="str">
        <x:v>Fixed / locked</x:v>
      </x:c>
      <x:c r="E12" s="56"/>
      <x:c r="F12" s="56"/>
      <x:c r="G12" s="56"/>
      <x:c r="H12" s="57"/>
    </x:row>
    <x:row r="13">
      <x:c r="A13" s="55" t="str">
        <x:v>Permeate pressure</x:v>
      </x:c>
      <x:c r="B13" s="56" t="n">
        <x:v>1</x:v>
      </x:c>
      <x:c r="C13" s="56" t="str">
        <x:v>bar</x:v>
      </x:c>
      <x:c r="D13" s="56" t="str">
        <x:v>Fixed / locked</x:v>
      </x:c>
      <x:c r="E13" s="56"/>
      <x:c r="F13" s="64" t="str">
        <x:v>Acceptance constraints</x:v>
      </x:c>
      <x:c r="G13" s="64"/>
      <x:c r="H13" s="65"/>
    </x:row>
    <x:row r="14">
      <x:c r="A14" s="55" t="str">
        <x:v>Pressure drop</x:v>
      </x:c>
      <x:c r="B14" s="56" t="n">
        <x:v>0.9</x:v>
      </x:c>
      <x:c r="C14" s="56" t="str">
        <x:v>bar</x:v>
      </x:c>
      <x:c r="D14" s="56" t="str">
        <x:v>Fixed / locked</x:v>
      </x:c>
      <x:c r="E14" s="56"/>
      <x:c r="F14" s="56" t="str">
        <x:v>Permeate production, Qp</x:v>
      </x:c>
      <x:c r="G14" s="56" t="str">
        <x:v>A &gt;= 4.15; B &gt;= 4.20; C &gt;= 4.40 m^3/h</x:v>
      </x:c>
      <x:c r="H14" s="57" t="str">
        <x:v>Each condition</x:v>
      </x:c>
    </x:row>
    <x:row r="15">
      <x:c r="A15" s="55" t="str">
        <x:v>Channel height</x:v>
      </x:c>
      <x:c r="B15" s="56" t="n">
        <x:v>0.002</x:v>
      </x:c>
      <x:c r="C15" s="56" t="str">
        <x:v>m</x:v>
      </x:c>
      <x:c r="D15" s="56" t="str">
        <x:v>Fixed / locked</x:v>
      </x:c>
      <x:c r="E15" s="56"/>
      <x:c r="F15" s="56" t="str">
        <x:v>Water recovery</x:v>
      </x:c>
      <x:c r="G15" s="56" t="str">
        <x:v>&lt;= 55.0%</x:v>
      </x:c>
      <x:c r="H15" s="57" t="str">
        <x:v>Each condition</x:v>
      </x:c>
    </x:row>
    <x:row r="16">
      <x:c r="A16" s="55" t="str">
        <x:v>Spacer porosity</x:v>
      </x:c>
      <x:c r="B16" s="56" t="n">
        <x:v>0.75</x:v>
      </x:c>
      <x:c r="C16" s="56" t="str">
        <x:v>-</x:v>
      </x:c>
      <x:c r="D16" s="56" t="str">
        <x:v>Fixed / locked</x:v>
      </x:c>
      <x:c r="E16" s="56"/>
      <x:c r="F16" s="56" t="str">
        <x:v>Average water flux</x:v>
      </x:c>
      <x:c r="G16" s="56" t="str">
        <x:v>&lt;= 20.0 LMH</x:v>
      </x:c>
      <x:c r="H16" s="57" t="str">
        <x:v>Each condition</x:v>
      </x:c>
    </x:row>
    <x:row r="17">
      <x:c r="A17" s="55" t="str">
        <x:v>Module length</x:v>
      </x:c>
      <x:c r="B17" s="56" t="n">
        <x:v>20</x:v>
      </x:c>
      <x:c r="C17" s="56" t="str">
        <x:v>m</x:v>
      </x:c>
      <x:c r="D17" s="56" t="str">
        <x:v>Fixed / locked</x:v>
      </x:c>
      <x:c r="E17" s="56"/>
      <x:c r="F17" s="56" t="str">
        <x:v>Salt rejection</x:v>
      </x:c>
      <x:c r="G17" s="56" t="str">
        <x:v>&gt;= 98.70%</x:v>
      </x:c>
      <x:c r="H17" s="57" t="str">
        <x:v>Each condition</x:v>
      </x:c>
    </x:row>
    <x:row r="18">
      <x:c r="A18" s="55"/>
      <x:c r="B18" s="56"/>
      <x:c r="C18" s="56"/>
      <x:c r="D18" s="56"/>
      <x:c r="E18" s="56"/>
      <x:c r="F18" s="56" t="str">
        <x:v>Permeate NaCl</x:v>
      </x:c>
      <x:c r="G18" s="56" t="str">
        <x:v>&lt;= 500 mg/L</x:v>
      </x:c>
      <x:c r="H18" s="57" t="str">
        <x:v>Each condition</x:v>
      </x:c>
    </x:row>
    <x:row r="19">
      <x:c r="A19" s="55"/>
      <x:c r="B19" s="56"/>
      <x:c r="C19" s="56"/>
      <x:c r="D19" s="56"/>
      <x:c r="E19" s="56"/>
      <x:c r="F19" s="56"/>
      <x:c r="G19" s="56"/>
      <x:c r="H19" s="57"/>
    </x:row>
    <x:row r="20">
      <x:c r="A20" s="66" t="str">
        <x:v>Required work</x:v>
      </x:c>
      <x:c r="B20" s="64"/>
      <x:c r="C20" s="64"/>
      <x:c r="D20" s="64"/>
      <x:c r="E20" s="64"/>
      <x:c r="F20" s="64"/>
      <x:c r="G20" s="64"/>
      <x:c r="H20" s="65"/>
    </x:row>
    <x:row r="21" ht="38" customHeight="1">
      <x:c r="A21" s="55" t="str">
        <x:v>1. Treat this as a multi-condition pressure-sizing and feasibility problem. Do not change locked membrane or hydraulic parameters while searching pressure.</x:v>
      </x:c>
      <x:c r="B21" s="56"/>
      <x:c r="C21" s="56"/>
      <x:c r="D21" s="56"/>
      <x:c r="E21" s="56"/>
      <x:c r="F21" s="56"/>
      <x:c r="G21" s="56"/>
      <x:c r="H21" s="57"/>
    </x:row>
    <x:row r="22" ht="38" customHeight="1">
      <x:c r="A22" s="55" t="str">
        <x:v>2. For each condition, begin from a reasonable pressure and use Qp, recovery, flux, rejection, and permeate NaCl to identify the active failing constraint.</x:v>
      </x:c>
      <x:c r="B22" s="56"/>
      <x:c r="C22" s="56"/>
      <x:c r="D22" s="56"/>
      <x:c r="E22" s="56"/>
      <x:c r="F22" s="56"/>
      <x:c r="G22" s="56"/>
      <x:c r="H22" s="57"/>
    </x:row>
    <x:row r="23" ht="38" customHeight="1">
      <x:c r="A23" s="55" t="str">
        <x:v>3. Establish an independent fail/pass bracket for every condition and refine adaptively to 0.05 bar. Do not use a mechanical dense grid scan.</x:v>
      </x:c>
      <x:c r="B23" s="56"/>
      <x:c r="C23" s="56"/>
      <x:c r="D23" s="56"/>
      <x:c r="E23" s="56"/>
      <x:c r="F23" s="56"/>
      <x:c r="G23" s="56"/>
      <x:c r="H23" s="57"/>
    </x:row>
    <x:row r="24" ht="38" customHeight="1">
      <x:c r="A24" s="55" t="str">
        <x:v>4. Compare all Pmin values or infeasibility evidence with the stated equipment margin, limits, or control window, then make the engineering decision.</x:v>
      </x:c>
      <x:c r="B24" s="56"/>
      <x:c r="C24" s="56"/>
      <x:c r="D24" s="56"/>
      <x:c r="E24" s="56"/>
      <x:c r="F24" s="56"/>
      <x:c r="G24" s="56"/>
      <x:c r="H24" s="57"/>
    </x:row>
    <x:row r="25" ht="38" customHeight="1">
      <x:c r="A25" s="55" t="str">
        <x:v>5. Distinguish equipment rating/limits from operating setpoints. Do not hide a membrane-flux or water-quality violation by blindly increasing pressure.</x:v>
      </x:c>
      <x:c r="B25" s="56"/>
      <x:c r="C25" s="56"/>
      <x:c r="D25" s="56"/>
      <x:c r="E25" s="56"/>
      <x:c r="F25" s="56"/>
      <x:c r="G25" s="56"/>
      <x:c r="H25" s="57"/>
    </x:row>
    <x:row r="26">
      <x:c r="A26" s="55"/>
      <x:c r="B26" s="56"/>
      <x:c r="C26" s="56"/>
      <x:c r="D26" s="56"/>
      <x:c r="E26" s="56"/>
      <x:c r="F26" s="56"/>
      <x:c r="G26" s="56"/>
      <x:c r="H26" s="57"/>
    </x:row>
    <x:row r="27" ht="32" customHeight="1">
      <x:c r="A27" s="67" t="str">
        <x:v>Required pressure resolution: 0.05 bar. Any design margin, pump limit, VFD lower limit, maintenance reserve, or equipment selection increment in this benchmark is a stated rule used to produce a unique, auditable answer.</x:v>
      </x:c>
      <x:c r="B27" s="68"/>
      <x:c r="C27" s="68"/>
      <x:c r="D27" s="68"/>
      <x:c r="E27" s="68"/>
      <x:c r="F27" s="68"/>
      <x:c r="G27" s="68"/>
      <x:c r="H27" s="69"/>
    </x:row>
    <x:row r="28" ht="32" customHeight="1">
      <x:c r="A28" s="70"/>
      <x:c r="B28" s="71"/>
      <x:c r="C28" s="71"/>
      <x:c r="D28" s="71"/>
      <x:c r="E28" s="71"/>
      <x:c r="F28" s="71"/>
      <x:c r="G28" s="71"/>
      <x:c r="H28" s="72"/>
    </x:row>
  </x:sheetData>
  <x:mergeCells>
    <x:mergeCell ref="A1:H2"/>
    <x:mergeCell ref="A4:H6"/>
    <x:mergeCell ref="F13:H13"/>
    <x:mergeCell ref="A20:H20"/>
    <x:mergeCell ref="A21:H21"/>
    <x:mergeCell ref="A22:H22"/>
    <x:mergeCell ref="A23:H23"/>
    <x:mergeCell ref="A24:H24"/>
    <x:mergeCell ref="A25:H25"/>
    <x:mergeCell ref="A27:H28"/>
  </x:mergeCells>
  <x:pageMargins left="0.7" right="0.7" top="0.75" bottom="0.75" header="0.3" footer="0.3"/>
</x:worksheet>
</file>

<file path=xl/worksheets/sheet2.xml><?xml version="1.0" encoding="utf-8"?>
<x:worksheet xmlns:x="http://schemas.openxmlformats.org/spreadsheetml/2006/main">
  <x:sheetViews>
    <x:sheetView showGridLines="0" workbookViewId="0"/>
  </x:sheetViews>
  <x:sheetFormatPr defaultRowHeight="15"/>
  <x:cols>
    <x:col min="1" max="1" width="28" hidden="0" customWidth="1"/>
    <x:col min="2" max="2" width="14" hidden="0" customWidth="1"/>
    <x:col min="3" max="3" width="14" hidden="0" customWidth="1"/>
    <x:col min="4" max="4" width="14" hidden="0" customWidth="1"/>
    <x:col min="5" max="5" width="14" hidden="0" customWidth="1"/>
    <x:col min="6" max="6" width="14" hidden="0" customWidth="1"/>
    <x:col min="7" max="7" width="14" hidden="0" customWidth="1"/>
    <x:col min="8" max="8" width="25" hidden="0" customWidth="1"/>
    <x:col min="9" max="9" width="22" hidden="0" customWidth="1"/>
    <x:col min="10" max="10" width="18" hidden="0" customWidth="1"/>
    <x:col min="11" max="11" width="18" hidden="0" customWidth="1"/>
    <x:col min="12" max="12" width="14" hidden="0" customWidth="1"/>
    <x:col min="13" max="13" width="14" hidden="0" customWidth="1"/>
    <x:col min="14" max="14" width="25" hidden="0" customWidth="1"/>
  </x:cols>
  <x:sheetData>
    <x:row r="1">
      <x:c r="A1" s="73" t="str">
        <x:v>D1-1c | VFD Minimum Stable Pressure and Operating Window | Stepwise Answer</x:v>
      </x:c>
      <x:c r="B1" s="50"/>
      <x:c r="C1" s="50"/>
      <x:c r="D1" s="50"/>
      <x:c r="E1" s="50"/>
      <x:c r="F1" s="50"/>
      <x:c r="G1" s="50"/>
      <x:c r="H1" s="50"/>
      <x:c r="I1" s="50"/>
      <x:c r="J1" s="50"/>
      <x:c r="K1" s="50"/>
      <x:c r="L1" s="50"/>
      <x:c r="M1" s="50"/>
      <x:c r="N1" s="51"/>
    </x:row>
    <x:row r="2">
      <x:c r="A2" s="74"/>
      <x:c r="B2" s="53"/>
      <x:c r="C2" s="53"/>
      <x:c r="D2" s="53"/>
      <x:c r="E2" s="53"/>
      <x:c r="F2" s="53"/>
      <x:c r="G2" s="53"/>
      <x:c r="H2" s="53"/>
      <x:c r="I2" s="53"/>
      <x:c r="J2" s="53"/>
      <x:c r="K2" s="53"/>
      <x:c r="L2" s="53"/>
      <x:c r="M2" s="53"/>
      <x:c r="N2" s="54"/>
    </x:row>
    <x:row r="3">
      <x:c r="A3" s="55"/>
      <x:c r="B3" s="56"/>
      <x:c r="C3" s="56"/>
      <x:c r="D3" s="56"/>
      <x:c r="E3" s="56"/>
      <x:c r="F3" s="56"/>
      <x:c r="G3" s="56"/>
      <x:c r="H3" s="56"/>
      <x:c r="I3" s="56"/>
      <x:c r="J3" s="56"/>
      <x:c r="K3" s="56"/>
      <x:c r="L3" s="56"/>
      <x:c r="M3" s="56"/>
      <x:c r="N3" s="57"/>
    </x:row>
    <x:row r="4" ht="32" customHeight="1">
      <x:c r="A4" s="99" t="str">
        <x:v>Reference efficient trajectory: about 9-11 calls to simulate_ro. Coarsely bracket each condition, refine only the live interval to 0.05 bar, preserve adjacent fail/pass evidence, and then complete the equipment-versus-operation decision.</x:v>
      </x:c>
      <x:c r="B4" s="100"/>
      <x:c r="C4" s="100"/>
      <x:c r="D4" s="100"/>
      <x:c r="E4" s="100"/>
      <x:c r="F4" s="100"/>
      <x:c r="G4" s="100"/>
      <x:c r="H4" s="100"/>
      <x:c r="I4" s="100"/>
      <x:c r="J4" s="100"/>
      <x:c r="K4" s="100"/>
      <x:c r="L4" s="100"/>
      <x:c r="M4" s="100"/>
      <x:c r="N4" s="101"/>
    </x:row>
    <x:row r="5" ht="32" customHeight="1">
      <x:c r="A5" s="99"/>
      <x:c r="B5" s="100"/>
      <x:c r="C5" s="100"/>
      <x:c r="D5" s="100"/>
      <x:c r="E5" s="100"/>
      <x:c r="F5" s="100"/>
      <x:c r="G5" s="100"/>
      <x:c r="H5" s="100"/>
      <x:c r="I5" s="100"/>
      <x:c r="J5" s="100"/>
      <x:c r="K5" s="100"/>
      <x:c r="L5" s="100"/>
      <x:c r="M5" s="100"/>
      <x:c r="N5" s="101"/>
    </x:row>
    <x:row r="6">
      <x:c r="A6" s="55"/>
      <x:c r="B6" s="56"/>
      <x:c r="C6" s="56"/>
      <x:c r="D6" s="56"/>
      <x:c r="E6" s="56"/>
      <x:c r="F6" s="56"/>
      <x:c r="G6" s="56"/>
      <x:c r="H6" s="56"/>
      <x:c r="I6" s="56"/>
      <x:c r="J6" s="56"/>
      <x:c r="K6" s="56"/>
      <x:c r="L6" s="56"/>
      <x:c r="M6" s="56"/>
      <x:c r="N6" s="57"/>
    </x:row>
    <x:row r="7">
      <x:c r="A7" s="61" t="str">
        <x:v>Condition</x:v>
      </x:c>
      <x:c r="B7" s="62" t="str">
        <x:v>Pressure (bar)</x:v>
      </x:c>
      <x:c r="C7" s="62" t="str">
        <x:v>NaCl fraction</x:v>
      </x:c>
      <x:c r="D7" s="62" t="str">
        <x:v>T (deg C)</x:v>
      </x:c>
      <x:c r="E7" s="62" t="str">
        <x:v>Qp (m^3/h)</x:v>
      </x:c>
      <x:c r="F7" s="62" t="str">
        <x:v>Flux (LMH)</x:v>
      </x:c>
      <x:c r="G7" s="62" t="str">
        <x:v>Recovery (%)</x:v>
      </x:c>
      <x:c r="H7" s="62" t="str">
        <x:v>Rejection (%)</x:v>
      </x:c>
      <x:c r="I7" s="62" t="str">
        <x:v>NaCl (mg/L)</x:v>
      </x:c>
      <x:c r="J7" s="62" t="str">
        <x:v>Production</x:v>
      </x:c>
      <x:c r="K7" s="62" t="str">
        <x:v>Recovery / Flux</x:v>
      </x:c>
      <x:c r="L7" s="62" t="str">
        <x:v>Water quality</x:v>
      </x:c>
      <x:c r="M7" s="62" t="str">
        <x:v>Overall</x:v>
      </x:c>
      <x:c r="N7" s="63" t="str">
        <x:v>Boundary interpretation</x:v>
      </x:c>
    </x:row>
    <x:row r="8" ht="29" customHeight="1">
      <x:c r="A8" s="55" t="str">
        <x:v>A Low-Salinity Warm Water</x:v>
      </x:c>
      <x:c r="B8" s="102" t="n">
        <x:v>46.6</x:v>
      </x:c>
      <x:c r="C8" s="103" t="n">
        <x:v>0.03</x:v>
      </x:c>
      <x:c r="D8" s="104" t="n">
        <x:v>32</x:v>
      </x:c>
      <x:c r="E8" s="105" t="n">
        <x:v>4.144</x:v>
      </x:c>
      <x:c r="F8" s="105" t="n">
        <x:v>13.8078</x:v>
      </x:c>
      <x:c r="G8" s="105" t="n">
        <x:v>39.233</x:v>
      </x:c>
      <x:c r="H8" s="105" t="n">
        <x:v>98.7297</x:v>
      </x:c>
      <x:c r="I8" s="105" t="n">
        <x:v>389.66</x:v>
      </x:c>
      <x:c r="J8" s="106" t="str">
        <x:v>Fail</x:v>
      </x:c>
      <x:c r="K8" s="107" t="str">
        <x:v>Pass</x:v>
      </x:c>
      <x:c r="L8" s="107" t="str">
        <x:v>Pass</x:v>
      </x:c>
      <x:c r="M8" s="106" t="str">
        <x:v>Fail</x:v>
      </x:c>
      <x:c r="N8" s="57" t="str">
        <x:v>Last failed point</x:v>
      </x:c>
    </x:row>
    <x:row r="9" ht="29" customHeight="1">
      <x:c r="A9" s="55" t="str">
        <x:v>A Low-Salinity Warm Water</x:v>
      </x:c>
      <x:c r="B9" s="102" t="n">
        <x:v>46.65</x:v>
      </x:c>
      <x:c r="C9" s="103" t="n">
        <x:v>0.03</x:v>
      </x:c>
      <x:c r="D9" s="104" t="n">
        <x:v>32</x:v>
      </x:c>
      <x:c r="E9" s="105" t="n">
        <x:v>4.1517</x:v>
      </x:c>
      <x:c r="F9" s="105" t="n">
        <x:v>13.8335</x:v>
      </x:c>
      <x:c r="G9" s="105" t="n">
        <x:v>39.306</x:v>
      </x:c>
      <x:c r="H9" s="105" t="n">
        <x:v>98.7309</x:v>
      </x:c>
      <x:c r="I9" s="105" t="n">
        <x:v>389.28</x:v>
      </x:c>
      <x:c r="J9" s="107" t="str">
        <x:v>Pass</x:v>
      </x:c>
      <x:c r="K9" s="107" t="str">
        <x:v>Pass</x:v>
      </x:c>
      <x:c r="L9" s="107" t="str">
        <x:v>Pass</x:v>
      </x:c>
      <x:c r="M9" s="107" t="str">
        <x:v>Pass</x:v>
      </x:c>
      <x:c r="N9" s="57" t="str">
        <x:v>First passing point</x:v>
      </x:c>
    </x:row>
    <x:row r="10" ht="29" customHeight="1">
      <x:c r="A10" s="55" t="str">
        <x:v>B Normal Seawater</x:v>
      </x:c>
      <x:c r="B10" s="102" t="n">
        <x:v>52.3</x:v>
      </x:c>
      <x:c r="C10" s="103" t="n">
        <x:v>0.035</x:v>
      </x:c>
      <x:c r="D10" s="104" t="n">
        <x:v>25</x:v>
      </x:c>
      <x:c r="E10" s="105" t="n">
        <x:v>4.1938</x:v>
      </x:c>
      <x:c r="F10" s="105" t="n">
        <x:v>13.9729</x:v>
      </x:c>
      <x:c r="G10" s="105" t="n">
        <x:v>39.8501</x:v>
      </x:c>
      <x:c r="H10" s="105" t="n">
        <x:v>98.7427</x:v>
      </x:c>
      <x:c r="I10" s="105" t="n">
        <x:v>451.6</x:v>
      </x:c>
      <x:c r="J10" s="106" t="str">
        <x:v>Fail</x:v>
      </x:c>
      <x:c r="K10" s="107" t="str">
        <x:v>Pass</x:v>
      </x:c>
      <x:c r="L10" s="107" t="str">
        <x:v>Pass</x:v>
      </x:c>
      <x:c r="M10" s="106" t="str">
        <x:v>Fail</x:v>
      </x:c>
      <x:c r="N10" s="57" t="str">
        <x:v>Last failed point</x:v>
      </x:c>
    </x:row>
    <x:row r="11" ht="29" customHeight="1">
      <x:c r="A11" s="55" t="str">
        <x:v>B Normal Seawater</x:v>
      </x:c>
      <x:c r="B11" s="102" t="n">
        <x:v>52.35</x:v>
      </x:c>
      <x:c r="C11" s="103" t="n">
        <x:v>0.035</x:v>
      </x:c>
      <x:c r="D11" s="104" t="n">
        <x:v>25</x:v>
      </x:c>
      <x:c r="E11" s="105" t="n">
        <x:v>4.2008</x:v>
      </x:c>
      <x:c r="F11" s="105" t="n">
        <x:v>13.9963</x:v>
      </x:c>
      <x:c r="G11" s="105" t="n">
        <x:v>39.9169</x:v>
      </x:c>
      <x:c r="H11" s="105" t="n">
        <x:v>98.7438</x:v>
      </x:c>
      <x:c r="I11" s="105" t="n">
        <x:v>451.2</x:v>
      </x:c>
      <x:c r="J11" s="107" t="str">
        <x:v>Pass</x:v>
      </x:c>
      <x:c r="K11" s="107" t="str">
        <x:v>Pass</x:v>
      </x:c>
      <x:c r="L11" s="107" t="str">
        <x:v>Pass</x:v>
      </x:c>
      <x:c r="M11" s="107" t="str">
        <x:v>Pass</x:v>
      </x:c>
      <x:c r="N11" s="57" t="str">
        <x:v>First passing point</x:v>
      </x:c>
    </x:row>
    <x:row r="12" ht="29" customHeight="1">
      <x:c r="A12" s="55" t="str">
        <x:v>C High-Salinity Cold Water</x:v>
      </x:c>
      <x:c r="B12" s="102" t="n">
        <x:v>56.85</x:v>
      </x:c>
      <x:c r="C12" s="103" t="n">
        <x:v>0.039</x:v>
      </x:c>
      <x:c r="D12" s="104" t="n">
        <x:v>12</x:v>
      </x:c>
      <x:c r="E12" s="105" t="n">
        <x:v>4.3944</x:v>
      </x:c>
      <x:c r="F12" s="105" t="n">
        <x:v>14.6407</x:v>
      </x:c>
      <x:c r="G12" s="105" t="n">
        <x:v>41.8786</x:v>
      </x:c>
      <x:c r="H12" s="105" t="n">
        <x:v>98.7765</x:v>
      </x:c>
      <x:c r="I12" s="105" t="n">
        <x:v>491.13</x:v>
      </x:c>
      <x:c r="J12" s="106" t="str">
        <x:v>Fail</x:v>
      </x:c>
      <x:c r="K12" s="107" t="str">
        <x:v>Pass</x:v>
      </x:c>
      <x:c r="L12" s="107" t="str">
        <x:v>Pass</x:v>
      </x:c>
      <x:c r="M12" s="106" t="str">
        <x:v>Fail</x:v>
      </x:c>
      <x:c r="N12" s="57" t="str">
        <x:v>Last failed point</x:v>
      </x:c>
    </x:row>
    <x:row r="13" ht="29" customHeight="1">
      <x:c r="A13" s="55" t="str">
        <x:v>C High-Salinity Cold Water</x:v>
      </x:c>
      <x:c r="B13" s="102" t="n">
        <x:v>56.9</x:v>
      </x:c>
      <x:c r="C13" s="103" t="n">
        <x:v>0.039</x:v>
      </x:c>
      <x:c r="D13" s="104" t="n">
        <x:v>12</x:v>
      </x:c>
      <x:c r="E13" s="105" t="n">
        <x:v>4.4009</x:v>
      </x:c>
      <x:c r="F13" s="105" t="n">
        <x:v>14.6625</x:v>
      </x:c>
      <x:c r="G13" s="105" t="n">
        <x:v>41.9411</x:v>
      </x:c>
      <x:c r="H13" s="105" t="n">
        <x:v>98.7774</x:v>
      </x:c>
      <x:c r="I13" s="105" t="n">
        <x:v>490.76</x:v>
      </x:c>
      <x:c r="J13" s="107" t="str">
        <x:v>Pass</x:v>
      </x:c>
      <x:c r="K13" s="107" t="str">
        <x:v>Pass</x:v>
      </x:c>
      <x:c r="L13" s="107" t="str">
        <x:v>Pass</x:v>
      </x:c>
      <x:c r="M13" s="107" t="str">
        <x:v>Pass</x:v>
      </x:c>
      <x:c r="N13" s="57" t="str">
        <x:v>First passing point</x:v>
      </x:c>
    </x:row>
    <x:row r="14">
      <x:c r="A14" s="55"/>
      <x:c r="B14" s="56"/>
      <x:c r="C14" s="56"/>
      <x:c r="D14" s="56"/>
      <x:c r="E14" s="56"/>
      <x:c r="F14" s="56"/>
      <x:c r="G14" s="56"/>
      <x:c r="H14" s="56"/>
      <x:c r="I14" s="56"/>
      <x:c r="J14" s="56"/>
      <x:c r="K14" s="56"/>
      <x:c r="L14" s="56"/>
      <x:c r="M14" s="56"/>
      <x:c r="N14" s="57"/>
    </x:row>
    <x:row r="15">
      <x:c r="A15" s="55"/>
      <x:c r="B15" s="56"/>
      <x:c r="C15" s="56"/>
      <x:c r="D15" s="56"/>
      <x:c r="E15" s="56"/>
      <x:c r="F15" s="56"/>
      <x:c r="G15" s="56"/>
      <x:c r="H15" s="56"/>
      <x:c r="I15" s="56"/>
      <x:c r="J15" s="56"/>
      <x:c r="K15" s="56"/>
      <x:c r="L15" s="56"/>
      <x:c r="M15" s="56"/>
      <x:c r="N15" s="57"/>
    </x:row>
    <x:row r="16">
      <x:c r="A16" s="55"/>
      <x:c r="B16" s="56"/>
      <x:c r="C16" s="56"/>
      <x:c r="D16" s="56"/>
      <x:c r="E16" s="56"/>
      <x:c r="F16" s="56"/>
      <x:c r="G16" s="56"/>
      <x:c r="H16" s="56"/>
      <x:c r="I16" s="56"/>
      <x:c r="J16" s="56"/>
      <x:c r="K16" s="56"/>
      <x:c r="L16" s="56"/>
      <x:c r="M16" s="56"/>
      <x:c r="N16" s="57"/>
    </x:row>
    <x:row r="17">
      <x:c r="A17" s="55"/>
      <x:c r="B17" s="56"/>
      <x:c r="C17" s="56"/>
      <x:c r="D17" s="56"/>
      <x:c r="E17" s="56"/>
      <x:c r="F17" s="56"/>
      <x:c r="G17" s="56"/>
      <x:c r="H17" s="56"/>
      <x:c r="I17" s="56"/>
      <x:c r="J17" s="56"/>
      <x:c r="K17" s="56"/>
      <x:c r="L17" s="56"/>
      <x:c r="M17" s="56"/>
      <x:c r="N17" s="57"/>
    </x:row>
    <x:row r="18">
      <x:c r="A18" s="55"/>
      <x:c r="B18" s="56"/>
      <x:c r="C18" s="56"/>
      <x:c r="D18" s="56"/>
      <x:c r="E18" s="56"/>
      <x:c r="F18" s="56"/>
      <x:c r="G18" s="56"/>
      <x:c r="H18" s="56"/>
      <x:c r="I18" s="56"/>
      <x:c r="J18" s="56"/>
      <x:c r="K18" s="56"/>
      <x:c r="L18" s="56"/>
      <x:c r="M18" s="56"/>
      <x:c r="N18" s="57"/>
    </x:row>
    <x:row r="19">
      <x:c r="A19" s="55"/>
      <x:c r="B19" s="56"/>
      <x:c r="C19" s="56"/>
      <x:c r="D19" s="56"/>
      <x:c r="E19" s="56"/>
      <x:c r="F19" s="56"/>
      <x:c r="G19" s="56"/>
      <x:c r="H19" s="56"/>
      <x:c r="I19" s="56"/>
      <x:c r="J19" s="56"/>
      <x:c r="K19" s="56"/>
      <x:c r="L19" s="56"/>
      <x:c r="M19" s="56"/>
      <x:c r="N19" s="57"/>
    </x:row>
    <x:row r="20">
      <x:c r="A20" s="66" t="str">
        <x:v>Pressure boundaries and engineering decision</x:v>
      </x:c>
      <x:c r="B20" s="64"/>
      <x:c r="C20" s="64"/>
      <x:c r="D20" s="64"/>
      <x:c r="E20" s="64"/>
      <x:c r="F20" s="64"/>
      <x:c r="G20" s="56"/>
      <x:c r="H20" s="64" t="str">
        <x:v>Calculation audit</x:v>
      </x:c>
      <x:c r="I20" s="64"/>
      <x:c r="J20" s="64"/>
      <x:c r="K20" s="64"/>
      <x:c r="L20" s="56"/>
      <x:c r="M20" s="56"/>
      <x:c r="N20" s="57"/>
    </x:row>
    <x:row r="21">
      <x:c r="A21" s="61" t="str">
        <x:v>Item</x:v>
      </x:c>
      <x:c r="B21" s="62" t="str">
        <x:v>A Low-Salinity Warm Water</x:v>
      </x:c>
      <x:c r="C21" s="62" t="str">
        <x:v>B Normal Seawater</x:v>
      </x:c>
      <x:c r="D21" s="62" t="str">
        <x:v>C High-Salinity Cold Water</x:v>
      </x:c>
      <x:c r="E21" s="62" t="str">
        <x:v>Comparison / calculation</x:v>
      </x:c>
      <x:c r="F21" s="62" t="str">
        <x:v>Conclusion</x:v>
      </x:c>
      <x:c r="G21" s="56"/>
      <x:c r="H21" s="62" t="str">
        <x:v>Calculated item</x:v>
      </x:c>
      <x:c r="I21" s="62" t="str">
        <x:v>Calculated result</x:v>
      </x:c>
      <x:c r="J21" s="62" t="str">
        <x:v>Unit</x:v>
      </x:c>
      <x:c r="K21" s="62" t="str">
        <x:v>Expected result</x:v>
      </x:c>
      <x:c r="L21" s="56"/>
      <x:c r="M21" s="56"/>
      <x:c r="N21" s="57"/>
    </x:row>
    <x:row r="22" ht="55" customHeight="1">
      <x:c r="A22" s="55" t="str">
        <x:v>Last failed pressure (bar)</x:v>
      </x:c>
      <x:c r="B22" s="56" t="n">
        <x:v>46.6</x:v>
      </x:c>
      <x:c r="C22" s="56" t="n">
        <x:v>52.3</x:v>
      </x:c>
      <x:c r="D22" s="56" t="n">
        <x:v>56.85</x:v>
      </x:c>
      <x:c r="E22" s="56" t="str">
        <x:v>Adjacent 0.05 bar evidence</x:v>
      </x:c>
      <x:c r="F22" s="56" t="str">
        <x:v>-</x:v>
      </x:c>
      <x:c r="G22" s="56"/>
      <x:c r="H22" s="56" t="str">
        <x:v>Condition A setpoint</x:v>
      </x:c>
      <x:c r="I22" s="105" t="n">
        <x:f>MAX(B23,47)</x:f>
        <x:v>47</x:v>
      </x:c>
      <x:c r="J22" s="56" t="str">
        <x:v>bar</x:v>
      </x:c>
      <x:c r="K22" s="105" t="n">
        <x:v>47</x:v>
      </x:c>
      <x:c r="L22" s="56"/>
      <x:c r="M22" s="56"/>
      <x:c r="N22" s="57"/>
    </x:row>
    <x:row r="23" ht="55" customHeight="1">
      <x:c r="A23" s="55" t="str">
        <x:v>Minimum feasible pressure, Pmin (bar)</x:v>
      </x:c>
      <x:c r="B23" s="56" t="n">
        <x:v>46.65</x:v>
      </x:c>
      <x:c r="C23" s="56" t="n">
        <x:v>52.35</x:v>
      </x:c>
      <x:c r="D23" s="56" t="n">
        <x:v>56.9</x:v>
      </x:c>
      <x:c r="E23" s="56" t="str">
        <x:v>Actual setpoint = MAX(Pmin, 47.0)</x:v>
      </x:c>
      <x:c r="F23" s="56" t="str">
        <x:v>Condition A is clamped by VFD minimum</x:v>
      </x:c>
      <x:c r="G23" s="56"/>
      <x:c r="H23" s="56" t="str">
        <x:v>Condition B setpoint</x:v>
      </x:c>
      <x:c r="I23" s="105" t="n">
        <x:f>MAX(C23,47)</x:f>
        <x:v>52.35</x:v>
      </x:c>
      <x:c r="J23" s="56" t="str">
        <x:v>bar</x:v>
      </x:c>
      <x:c r="K23" s="105" t="n">
        <x:v>52.35</x:v>
      </x:c>
      <x:c r="L23" s="56"/>
      <x:c r="M23" s="56"/>
      <x:c r="N23" s="57"/>
    </x:row>
    <x:row r="24" ht="55" customHeight="1">
      <x:c r="A24" s="55" t="str">
        <x:v>Recommended operating setpoint (bar)</x:v>
      </x:c>
      <x:c r="B24" s="56" t="n">
        <x:v>47</x:v>
      </x:c>
      <x:c r="C24" s="56" t="n">
        <x:v>52.35</x:v>
      </x:c>
      <x:c r="D24" s="56" t="n">
        <x:v>56.9</x:v>
      </x:c>
      <x:c r="E24" s="56" t="str">
        <x:v>All values &lt;= 63.0 bar</x:v>
      </x:c>
      <x:c r="F24" s="56" t="str">
        <x:v>All three conditions are operable</x:v>
      </x:c>
      <x:c r="G24" s="56"/>
      <x:c r="H24" s="56" t="str">
        <x:v>Condition C setpoint</x:v>
      </x:c>
      <x:c r="I24" s="105" t="n">
        <x:f>MAX(D23,47)</x:f>
        <x:v>56.9</x:v>
      </x:c>
      <x:c r="J24" s="56" t="str">
        <x:v>bar</x:v>
      </x:c>
      <x:c r="K24" s="105" t="n">
        <x:v>56.9</x:v>
      </x:c>
      <x:c r="L24" s="56"/>
      <x:c r="M24" s="56"/>
      <x:c r="N24" s="57"/>
    </x:row>
    <x:row r="25" ht="55" customHeight="1">
      <x:c r="A25" s="55" t="str">
        <x:v>Engineering meaning</x:v>
      </x:c>
      <x:c r="B25" s="56" t="str">
        <x:v>Do not operate below 47.0 bar</x:v>
      </x:c>
      <x:c r="C25" s="56" t="str">
        <x:v>Operate near its own boundary</x:v>
      </x:c>
      <x:c r="D25" s="56" t="str">
        <x:v>Highest required process setpoint</x:v>
      </x:c>
      <x:c r="E25" s="56" t="str">
        <x:v>Setpoint changes with intake condition</x:v>
      </x:c>
      <x:c r="F25" s="56" t="str">
        <x:v>Do not run all conditions at 63 bar</x:v>
      </x:c>
      <x:c r="G25" s="56"/>
      <x:c r="H25" s="56" t="str">
        <x:v>Upper-window check</x:v>
      </x:c>
      <x:c r="I25" s="105" t="n">
        <x:f>63-MAX(H22:H24)</x:f>
        <x:v>63</x:v>
      </x:c>
      <x:c r="J25" s="56" t="str">
        <x:v>bar reserve</x:v>
      </x:c>
      <x:c r="K25" s="105" t="n">
        <x:v>6.1</x:v>
      </x:c>
      <x:c r="L25" s="56"/>
      <x:c r="M25" s="56"/>
      <x:c r="N25" s="57"/>
    </x:row>
    <x:row r="26">
      <x:c r="A26" s="55"/>
      <x:c r="B26" s="56"/>
      <x:c r="C26" s="56"/>
      <x:c r="D26" s="56"/>
      <x:c r="E26" s="56"/>
      <x:c r="F26" s="56"/>
      <x:c r="G26" s="56"/>
      <x:c r="H26" s="56"/>
      <x:c r="I26" s="56"/>
      <x:c r="J26" s="56"/>
      <x:c r="K26" s="56"/>
      <x:c r="L26" s="56"/>
      <x:c r="M26" s="56"/>
      <x:c r="N26" s="57"/>
    </x:row>
    <x:row r="27">
      <x:c r="A27" s="55"/>
      <x:c r="B27" s="56"/>
      <x:c r="C27" s="56"/>
      <x:c r="D27" s="56"/>
      <x:c r="E27" s="56"/>
      <x:c r="F27" s="56"/>
      <x:c r="G27" s="56"/>
      <x:c r="H27" s="56"/>
      <x:c r="I27" s="56"/>
      <x:c r="J27" s="56"/>
      <x:c r="K27" s="56"/>
      <x:c r="L27" s="56"/>
      <x:c r="M27" s="56"/>
      <x:c r="N27" s="57"/>
    </x:row>
    <x:row r="28" ht="30" customHeight="1">
      <x:c r="A28" s="108" t="str">
        <x:v>The calculated Pmin values are 46.65, 52.35, and 56.90 bar. Condition A is clamped upward to the 47.0 bar VFD minimum stable pressure, while B and C operate at 52.35 and 56.90 bar. All three setpoints lie within the 47-63 bar equipment window; the correct operating strategy is condition-dependent, not a single 63 bar setpoint.</x:v>
      </x:c>
      <x:c r="B28" s="109"/>
      <x:c r="C28" s="109"/>
      <x:c r="D28" s="109"/>
      <x:c r="E28" s="109"/>
      <x:c r="F28" s="109"/>
      <x:c r="G28" s="109"/>
      <x:c r="H28" s="109"/>
      <x:c r="I28" s="109"/>
      <x:c r="J28" s="109"/>
      <x:c r="K28" s="109"/>
      <x:c r="L28" s="109"/>
      <x:c r="M28" s="109"/>
      <x:c r="N28" s="110"/>
    </x:row>
    <x:row r="29" ht="30" customHeight="1">
      <x:c r="A29" s="108"/>
      <x:c r="B29" s="109"/>
      <x:c r="C29" s="109"/>
      <x:c r="D29" s="109"/>
      <x:c r="E29" s="109"/>
      <x:c r="F29" s="109"/>
      <x:c r="G29" s="109"/>
      <x:c r="H29" s="109"/>
      <x:c r="I29" s="109"/>
      <x:c r="J29" s="109"/>
      <x:c r="K29" s="109"/>
      <x:c r="L29" s="109"/>
      <x:c r="M29" s="109"/>
      <x:c r="N29" s="110"/>
    </x:row>
    <x:row r="30" ht="30" customHeight="1">
      <x:c r="A30" s="108"/>
      <x:c r="B30" s="109"/>
      <x:c r="C30" s="109"/>
      <x:c r="D30" s="109"/>
      <x:c r="E30" s="109"/>
      <x:c r="F30" s="109"/>
      <x:c r="G30" s="109"/>
      <x:c r="H30" s="109"/>
      <x:c r="I30" s="109"/>
      <x:c r="J30" s="109"/>
      <x:c r="K30" s="109"/>
      <x:c r="L30" s="109"/>
      <x:c r="M30" s="109"/>
      <x:c r="N30" s="110"/>
    </x:row>
    <x:row r="31">
      <x:c r="A31" s="55"/>
      <x:c r="B31" s="56"/>
      <x:c r="C31" s="56"/>
      <x:c r="D31" s="56"/>
      <x:c r="E31" s="56"/>
      <x:c r="F31" s="56"/>
      <x:c r="G31" s="56"/>
      <x:c r="H31" s="56"/>
      <x:c r="I31" s="56"/>
      <x:c r="J31" s="56"/>
      <x:c r="K31" s="56"/>
      <x:c r="L31" s="56"/>
      <x:c r="M31" s="56"/>
      <x:c r="N31" s="57"/>
    </x:row>
    <x:row r="32">
      <x:c r="A32" s="111" t="str">
        <x:v>Simulator evidence note: Each intake condition has an adjacent 0.05 bar fail/pass pair, including both VFD-window edge cases.</x:v>
      </x:c>
      <x:c r="B32" s="112"/>
      <x:c r="C32" s="112"/>
      <x:c r="D32" s="112"/>
      <x:c r="E32" s="112"/>
      <x:c r="F32" s="112"/>
      <x:c r="G32" s="112"/>
      <x:c r="H32" s="112"/>
      <x:c r="I32" s="112"/>
      <x:c r="J32" s="112"/>
      <x:c r="K32" s="112"/>
      <x:c r="L32" s="112"/>
      <x:c r="M32" s="112"/>
      <x:c r="N32" s="113"/>
    </x:row>
    <x:row r="33">
      <x:c r="A33" s="114"/>
      <x:c r="B33" s="115"/>
      <x:c r="C33" s="115"/>
      <x:c r="D33" s="115"/>
      <x:c r="E33" s="115"/>
      <x:c r="F33" s="115"/>
      <x:c r="G33" s="115"/>
      <x:c r="H33" s="115"/>
      <x:c r="I33" s="115"/>
      <x:c r="J33" s="115"/>
      <x:c r="K33" s="115"/>
      <x:c r="L33" s="115"/>
      <x:c r="M33" s="115"/>
      <x:c r="N33" s="116"/>
    </x:row>
  </x:sheetData>
  <x:mergeCells>
    <x:mergeCell ref="A1:N2"/>
    <x:mergeCell ref="A4:N5"/>
    <x:mergeCell ref="A20:F20"/>
    <x:mergeCell ref="H20:K20"/>
    <x:mergeCell ref="A28:N30"/>
    <x:mergeCell ref="A32:N33"/>
  </x:mergeCells>
  <x:pageMargins left="0.7" right="0.7" top="0.75" bottom="0.75" header="0.3" footer="0.3"/>
</x:worksheet>
</file>

<file path=xl/worksheets/sheet3.xml><?xml version="1.0" encoding="utf-8"?>
<x:worksheet xmlns:x="http://schemas.openxmlformats.org/spreadsheetml/2006/main">
  <x:sheetViews>
    <x:sheetView showGridLines="0" workbookViewId="0"/>
  </x:sheetViews>
  <x:sheetFormatPr defaultRowHeight="15"/>
  <x:cols>
    <x:col min="1" max="1" width="29" hidden="0" customWidth="1"/>
    <x:col min="2" max="2" width="39" hidden="0" customWidth="1"/>
    <x:col min="3" max="3" width="39" hidden="0" customWidth="1"/>
    <x:col min="4" max="4" width="39" hidden="0" customWidth="1"/>
    <x:col min="5" max="5" width="39" hidden="0" customWidth="1"/>
    <x:col min="6" max="6" width="11" hidden="0" customWidth="1"/>
    <x:col min="7" max="7" width="11" hidden="0" customWidth="1"/>
  </x:cols>
  <x:sheetData>
    <x:row r="1">
      <x:c r="A1" s="73" t="str">
        <x:v>D1-1c | VFD Minimum Stable Pressure and Operating Window | Trajectory Quality Rubric (100 points)</x:v>
      </x:c>
      <x:c r="B1" s="50"/>
      <x:c r="C1" s="50"/>
      <x:c r="D1" s="50"/>
      <x:c r="E1" s="50"/>
      <x:c r="F1" s="50"/>
      <x:c r="G1" s="51"/>
    </x:row>
    <x:row r="2">
      <x:c r="A2" s="74"/>
      <x:c r="B2" s="53"/>
      <x:c r="C2" s="53"/>
      <x:c r="D2" s="53"/>
      <x:c r="E2" s="53"/>
      <x:c r="F2" s="53"/>
      <x:c r="G2" s="54"/>
    </x:row>
    <x:row r="3">
      <x:c r="A3" s="55"/>
      <x:c r="B3" s="56"/>
      <x:c r="C3" s="56"/>
      <x:c r="D3" s="56"/>
      <x:c r="E3" s="56"/>
      <x:c r="F3" s="56"/>
      <x:c r="G3" s="57"/>
    </x:row>
    <x:row r="4">
      <x:c r="A4" s="67" t="str">
        <x:v>Evaluate the complete state -&gt; plan -&gt; tool call -&gt; observation -&gt; update -&gt; next action -&gt; stop/decision trajectory. Different adaptive search orders are acceptable when they preserve adjacent boundary evidence and lead to a verifiable engineering conclusion. Tool-call efficiency is scored separately.</x:v>
      </x:c>
      <x:c r="B4" s="68"/>
      <x:c r="C4" s="68"/>
      <x:c r="D4" s="68"/>
      <x:c r="E4" s="68"/>
      <x:c r="F4" s="68"/>
      <x:c r="G4" s="69"/>
    </x:row>
    <x:row r="5">
      <x:c r="A5" s="67"/>
      <x:c r="B5" s="68"/>
      <x:c r="C5" s="68"/>
      <x:c r="D5" s="68"/>
      <x:c r="E5" s="68"/>
      <x:c r="F5" s="68"/>
      <x:c r="G5" s="69"/>
    </x:row>
    <x:row r="6">
      <x:c r="A6" s="67"/>
      <x:c r="B6" s="68"/>
      <x:c r="C6" s="68"/>
      <x:c r="D6" s="68"/>
      <x:c r="E6" s="68"/>
      <x:c r="F6" s="68"/>
      <x:c r="G6" s="69"/>
    </x:row>
    <x:row r="7">
      <x:c r="A7" s="55"/>
      <x:c r="B7" s="56"/>
      <x:c r="C7" s="56"/>
      <x:c r="D7" s="56"/>
      <x:c r="E7" s="56"/>
      <x:c r="F7" s="56"/>
      <x:c r="G7" s="57"/>
    </x:row>
    <x:row r="8">
      <x:c r="A8" s="61" t="str">
        <x:v>Trajectory dimension</x:v>
      </x:c>
      <x:c r="B8" s="62" t="str">
        <x:v>Evaluation focus</x:v>
      </x:c>
      <x:c r="C8" s="62" t="str">
        <x:v>Full-credit evidence</x:v>
      </x:c>
      <x:c r="D8" s="62" t="str">
        <x:v>Partial credit</x:v>
      </x:c>
      <x:c r="E8" s="62" t="str">
        <x:v>Critical failure mode</x:v>
      </x:c>
      <x:c r="F8" s="62" t="str">
        <x:v>Weight</x:v>
      </x:c>
      <x:c r="G8" s="63" t="str">
        <x:v>Score</x:v>
      </x:c>
    </x:row>
    <x:row r="9" ht="66" customHeight="1">
      <x:c r="A9" s="55" t="str">
        <x:v>TQ1 Problem framing and state understanding</x:v>
      </x:c>
      <x:c r="B9" s="56" t="str">
        <x:v>Recognizes multi-condition boundaries and equipment meaning</x:v>
      </x:c>
      <x:c r="C9" s="56" t="str">
        <x:v>Locked inputs remain fixed; each condition is solved independently; equipment rating/limit is not treated as one universal setpoint</x:v>
      </x:c>
      <x:c r="D9" s="56" t="str">
        <x:v>Pressure search is recognized but equipment meaning is incomplete</x:v>
      </x:c>
      <x:c r="E9" s="56" t="str">
        <x:v>Only one condition is solved, or rating is confused with operating pressure</x:v>
      </x:c>
      <x:c r="F9" s="56" t="n">
        <x:v>15</x:v>
      </x:c>
      <x:c r="G9" s="57"/>
    </x:row>
    <x:row r="10" ht="66" customHeight="1">
      <x:c r="A10" s="55" t="str">
        <x:v>TQ2 Planning and decomposition</x:v>
      </x:c>
      <x:c r="B10" s="56" t="str">
        <x:v>Builds brackets and a cross-condition decision</x:v>
      </x:c>
      <x:c r="C10" s="56" t="str">
        <x:v>Coarse bracket -&gt; 0.05 bar boundary -&gt; cross-condition comparison -&gt; engineering action</x:v>
      </x:c>
      <x:c r="D10" s="56" t="str">
        <x:v>Direction is correct but an adjacent confirmation is missing</x:v>
      </x:c>
      <x:c r="E10" s="56" t="str">
        <x:v>Dense blind scan or no independent boundaries</x:v>
      </x:c>
      <x:c r="F10" s="56" t="n">
        <x:v>15</x:v>
      </x:c>
      <x:c r="G10" s="57"/>
    </x:row>
    <x:row r="11" ht="66" customHeight="1">
      <x:c r="A11" s="55" t="str">
        <x:v>TQ3 Tool-call correctness</x:v>
      </x:c>
      <x:c r="B11" s="56" t="str">
        <x:v>simulate_ro inputs match the active condition</x:v>
      </x:c>
      <x:c r="C11" s="56" t="str">
        <x:v>Only pressure changes within a condition; all stated condition differences and units are preserved</x:v>
      </x:c>
      <x:c r="D11" s="56" t="str">
        <x:v>Minor input issue that does not change the conclusion</x:v>
      </x:c>
      <x:c r="E11" s="56" t="str">
        <x:v>Membrane area/A/B is altered or units are mixed</x:v>
      </x:c>
      <x:c r="F11" s="56" t="n">
        <x:v>20</x:v>
      </x:c>
      <x:c r="G11" s="57"/>
    </x:row>
    <x:row r="12" ht="66" customHeight="1">
      <x:c r="A12" s="55" t="str">
        <x:v>TQ4 Observation interpretation</x:v>
      </x:c>
      <x:c r="B12" s="56" t="str">
        <x:v>Records pass/fail and the actual failing constraint</x:v>
      </x:c>
      <x:c r="C12" s="56" t="str">
        <x:v>Adjacent evidence plus production, flux/recovery, and water-quality status are all interpreted correctly</x:v>
      </x:c>
      <x:c r="D12" s="56" t="str">
        <x:v>Pmin is close but the active constraint is unclear</x:v>
      </x:c>
      <x:c r="E12" s="56" t="str">
        <x:v>Only passing points are kept or constraints are misclassified</x:v>
      </x:c>
      <x:c r="F12" s="56" t="n">
        <x:v>20</x:v>
      </x:c>
      <x:c r="G12" s="57"/>
    </x:row>
    <x:row r="13" ht="66" customHeight="1">
      <x:c r="A13" s="55" t="str">
        <x:v>TQ5 Adaptive comparison and replanning</x:v>
      </x:c>
      <x:c r="B13" s="56" t="str">
        <x:v>Next call follows from the previous observation</x:v>
      </x:c>
      <x:c r="C13" s="56" t="str">
        <x:v>Pressure choices narrow the live bracket; converged conditions are pruned promptly</x:v>
      </x:c>
      <x:c r="D13" s="56" t="str">
        <x:v>Partly adaptive with some unnecessary enumeration</x:v>
      </x:c>
      <x:c r="E13" s="56" t="str">
        <x:v>Calls follow a fixed list regardless of results</x:v>
      </x:c>
      <x:c r="F13" s="56" t="n">
        <x:v>20</x:v>
      </x:c>
      <x:c r="G13" s="57"/>
    </x:row>
    <x:row r="14" ht="118" customHeight="1">
      <x:c r="A14" s="55" t="str">
        <x:v>TQ6 Final engineering decision</x:v>
      </x:c>
      <x:c r="B14" s="56" t="str">
        <x:v>Produces the task-specific decision</x:v>
      </x:c>
      <x:c r="C14" s="56" t="str">
        <x:v>The calculated Pmin values are 46.65, 52.35, and 56.90 bar. Condition A is clamped upward to the 47.0 bar VFD minimum stable pressure, while B and C operate at 52.35 and 56.90 bar. All three setpoints lie within the 47-63 bar equipment window; the correct operating strategy is condition-dependent, not a single 63 bar setpoint.</x:v>
      </x:c>
      <x:c r="D14" s="56" t="str">
        <x:v>Numerical answer is close but operating implications are incomplete</x:v>
      </x:c>
      <x:c r="E14" s="56" t="str">
        <x:v>Averages pressures, blindly raises pressure, or ignores infeasibility</x:v>
      </x:c>
      <x:c r="F14" s="56" t="n">
        <x:v>10</x:v>
      </x:c>
      <x:c r="G14" s="57"/>
    </x:row>
    <x:row r="15">
      <x:c r="A15" s="55"/>
      <x:c r="B15" s="56"/>
      <x:c r="C15" s="56"/>
      <x:c r="D15" s="56"/>
      <x:c r="E15" s="56"/>
      <x:c r="F15" s="56"/>
      <x:c r="G15" s="57"/>
    </x:row>
    <x:row r="16">
      <x:c r="A16" s="55"/>
      <x:c r="B16" s="56"/>
      <x:c r="C16" s="56"/>
      <x:c r="D16" s="56"/>
      <x:c r="E16" s="56"/>
      <x:c r="F16" s="56"/>
      <x:c r="G16" s="57"/>
    </x:row>
    <x:row r="17">
      <x:c r="A17" s="55"/>
      <x:c r="B17" s="56"/>
      <x:c r="C17" s="56"/>
      <x:c r="D17" s="56"/>
      <x:c r="E17" s="100" t="str">
        <x:v>Maximum trajectory score</x:v>
      </x:c>
      <x:c r="F17" s="100" t="n">
        <x:v>100</x:v>
      </x:c>
      <x:c r="G17" s="57"/>
    </x:row>
    <x:row r="18">
      <x:c r="A18" s="55"/>
      <x:c r="B18" s="56"/>
      <x:c r="C18" s="56"/>
      <x:c r="D18" s="56"/>
      <x:c r="E18" s="56"/>
      <x:c r="F18" s="56"/>
      <x:c r="G18" s="57"/>
    </x:row>
    <x:row r="19">
      <x:c r="A19" s="55" t="str">
        <x:v>Scoring note</x:v>
      </x:c>
      <x:c r="B19" s="56"/>
      <x:c r="C19" s="56"/>
      <x:c r="D19" s="56"/>
      <x:c r="E19" s="56"/>
      <x:c r="F19" s="56"/>
      <x:c r="G19" s="57"/>
    </x:row>
    <x:row r="20" ht="38" customHeight="1">
      <x:c r="A20" s="118" t="str">
        <x:v>Difficulty calibration</x:v>
      </x:c>
      <x:c r="B20" s="119" t="str">
        <x:v>Target reference effort: about 9-11 calls</x:v>
      </x:c>
      <x:c r="C20" s="119" t="str">
        <x:v>Three independent boundaries plus an equipment/control decision at 0.05 bar resolution</x:v>
      </x:c>
      <x:c r="D20" s="119"/>
      <x:c r="E20" s="119"/>
      <x:c r="F20" s="119"/>
      <x:c r="G20" s="120"/>
    </x:row>
  </x:sheetData>
  <x:mergeCells>
    <x:mergeCell ref="A1:G2"/>
    <x:mergeCell ref="A4:G6"/>
  </x:mergeCells>
  <x:pageMargins left="0.7" right="0.7" top="0.75" bottom="0.75" header="0.3" footer="0.3"/>
</x:worksheet>
</file>

<file path=xl/worksheets/sheet4.xml><?xml version="1.0" encoding="utf-8"?>
<x:worksheet xmlns:x="http://schemas.openxmlformats.org/spreadsheetml/2006/main">
  <x:sheetViews>
    <x:sheetView showGridLines="0" workbookViewId="0"/>
  </x:sheetViews>
  <x:sheetFormatPr defaultRowHeight="15"/>
  <x:cols>
    <x:col min="1" max="1" width="27" hidden="0" customWidth="1"/>
    <x:col min="2" max="2" width="38" hidden="0" customWidth="1"/>
    <x:col min="3" max="3" width="38" hidden="0" customWidth="1"/>
    <x:col min="4" max="4" width="38" hidden="0" customWidth="1"/>
    <x:col min="5" max="5" width="38" hidden="0" customWidth="1"/>
    <x:col min="6" max="6" width="38" hidden="0" customWidth="1"/>
    <x:col min="7" max="7" width="11" hidden="0" customWidth="1"/>
  </x:cols>
  <x:sheetData>
    <x:row r="1">
      <x:c r="A1" s="73" t="str">
        <x:v>D1-1c | VFD Minimum Stable Pressure and Operating Window | Tool Usage Efficiency (100 points)</x:v>
      </x:c>
      <x:c r="B1" s="50"/>
      <x:c r="C1" s="50"/>
      <x:c r="D1" s="50"/>
      <x:c r="E1" s="50"/>
      <x:c r="F1" s="50"/>
      <x:c r="G1" s="51"/>
    </x:row>
    <x:row r="2">
      <x:c r="A2" s="74"/>
      <x:c r="B2" s="53"/>
      <x:c r="C2" s="53"/>
      <x:c r="D2" s="53"/>
      <x:c r="E2" s="53"/>
      <x:c r="F2" s="53"/>
      <x:c r="G2" s="54"/>
    </x:row>
    <x:row r="3">
      <x:c r="A3" s="55"/>
      <x:c r="B3" s="56"/>
      <x:c r="C3" s="56"/>
      <x:c r="D3" s="56"/>
      <x:c r="E3" s="56"/>
      <x:c r="F3" s="56"/>
      <x:c r="G3" s="57"/>
    </x:row>
    <x:row r="4">
      <x:c r="A4" s="67" t="str">
        <x:v>Primary scientific tool: simulate_ro. Reference efficient trajectory: about 9-11 calls. Call count is supporting evidence only; the core criteria are information gain, adaptive pressure selection, pruning, and stopping once evidence is sufficient.</x:v>
      </x:c>
      <x:c r="B4" s="68"/>
      <x:c r="C4" s="68"/>
      <x:c r="D4" s="68"/>
      <x:c r="E4" s="68"/>
      <x:c r="F4" s="68"/>
      <x:c r="G4" s="69"/>
    </x:row>
    <x:row r="5">
      <x:c r="A5" s="67"/>
      <x:c r="B5" s="68"/>
      <x:c r="C5" s="68"/>
      <x:c r="D5" s="68"/>
      <x:c r="E5" s="68"/>
      <x:c r="F5" s="68"/>
      <x:c r="G5" s="69"/>
    </x:row>
    <x:row r="6">
      <x:c r="A6" s="67"/>
      <x:c r="B6" s="68"/>
      <x:c r="C6" s="68"/>
      <x:c r="D6" s="68"/>
      <x:c r="E6" s="68"/>
      <x:c r="F6" s="68"/>
      <x:c r="G6" s="69"/>
    </x:row>
    <x:row r="7">
      <x:c r="A7" s="55"/>
      <x:c r="B7" s="56"/>
      <x:c r="C7" s="56"/>
      <x:c r="D7" s="56"/>
      <x:c r="E7" s="56"/>
      <x:c r="F7" s="56"/>
      <x:c r="G7" s="57"/>
    </x:row>
    <x:row r="8">
      <x:c r="A8" s="61" t="str">
        <x:v>Efficiency dimension</x:v>
      </x:c>
      <x:c r="B8" s="62" t="str">
        <x:v>Evaluation focus</x:v>
      </x:c>
      <x:c r="C8" s="62" t="str">
        <x:v>Full-credit behavior</x:v>
      </x:c>
      <x:c r="D8" s="62" t="str">
        <x:v>Medium-credit behavior</x:v>
      </x:c>
      <x:c r="E8" s="62" t="str">
        <x:v>Low-credit behavior</x:v>
      </x:c>
      <x:c r="F8" s="62" t="str">
        <x:v>Task-specific observation</x:v>
      </x:c>
      <x:c r="G8" s="63" t="str">
        <x:v>Points</x:v>
      </x:c>
    </x:row>
    <x:row r="9" ht="62" customHeight="1">
      <x:c r="A9" s="55" t="str">
        <x:v>E1 Tool selection and necessity</x:v>
      </x:c>
      <x:c r="B9" s="56" t="str">
        <x:v>Uses the correct scientific tool</x:v>
      </x:c>
      <x:c r="C9" s="56" t="str">
        <x:v>simulate_ro directly supports pressure-boundary testing</x:v>
      </x:c>
      <x:c r="D9" s="56" t="str">
        <x:v>A few irrelevant calls are made</x:v>
      </x:c>
      <x:c r="E9" s="56" t="str">
        <x:v>Wrong tool or many irrelevant calls</x:v>
      </x:c>
      <x:c r="F9" s="56" t="str">
        <x:v>A whole-plant cost model is not needed</x:v>
      </x:c>
      <x:c r="G9" s="57" t="n">
        <x:v>20</x:v>
      </x:c>
    </x:row>
    <x:row r="10" ht="62" customHeight="1">
      <x:c r="A10" s="55" t="str">
        <x:v>E2 Information gain and ordering</x:v>
      </x:c>
      <x:c r="B10" s="56" t="str">
        <x:v>Prioritizes discriminating pressures</x:v>
      </x:c>
      <x:c r="C10" s="56" t="str">
        <x:v>Coarse bracket first, then boundary refinement</x:v>
      </x:c>
      <x:c r="D10" s="56" t="str">
        <x:v>Mostly reasonable with some low-value points</x:v>
      </x:c>
      <x:c r="E10" s="56" t="str">
        <x:v>Dense grid from the start</x:v>
      </x:c>
      <x:c r="F10" s="56" t="str">
        <x:v>Bracket each condition before sampling adjacent points</x:v>
      </x:c>
      <x:c r="G10" s="57" t="n">
        <x:v>20</x:v>
      </x:c>
    </x:row>
    <x:row r="11" ht="62" customHeight="1">
      <x:c r="A11" s="55" t="str">
        <x:v>E3 Adaptive iteration</x:v>
      </x:c>
      <x:c r="B11" s="56" t="str">
        <x:v>Lets observations determine the next pressure</x:v>
      </x:c>
      <x:c r="C11" s="56" t="str">
        <x:v>Fail/pass state dynamically narrows the interval</x:v>
      </x:c>
      <x:c r="D11" s="56" t="str">
        <x:v>Partly adaptive</x:v>
      </x:c>
      <x:c r="E11" s="56" t="str">
        <x:v>Prewritten enumeration ignores results</x:v>
      </x:c>
      <x:c r="F11" s="56" t="str">
        <x:v>The previous status directly selects the next pressure</x:v>
      </x:c>
      <x:c r="G11" s="57" t="n">
        <x:v>20</x:v>
      </x:c>
    </x:row>
    <x:row r="12" ht="62" customHeight="1">
      <x:c r="A12" s="55" t="str">
        <x:v>E4 Pruning and redundancy</x:v>
      </x:c>
      <x:c r="B12" s="56" t="str">
        <x:v>Avoids repeated evidence</x:v>
      </x:c>
      <x:c r="C12" s="56" t="str">
        <x:v>Switches condition after convergence and does not repeat known inputs</x:v>
      </x:c>
      <x:c r="D12" s="56" t="str">
        <x:v>One or two unnecessary confirmations</x:v>
      </x:c>
      <x:c r="E12" s="56" t="str">
        <x:v>Repeatedly tests a known interval</x:v>
      </x:c>
      <x:c r="F12" s="56" t="str">
        <x:v>Reuse the adjacent boundary pair as final evidence</x:v>
      </x:c>
      <x:c r="G12" s="57" t="n">
        <x:v>20</x:v>
      </x:c>
    </x:row>
    <x:row r="13" ht="62" customHeight="1">
      <x:c r="A13" s="55" t="str">
        <x:v>E5 Convergence and stopping</x:v>
      </x:c>
      <x:c r="B13" s="56" t="str">
        <x:v>Stops after sufficient evidence</x:v>
      </x:c>
      <x:c r="C13" s="56" t="str">
        <x:v>about 9-11 calls produces the boundary and engineering decision</x:v>
      </x:c>
      <x:c r="D13" s="56" t="str">
        <x:v>A few additional calls remain defensible</x:v>
      </x:c>
      <x:c r="E13" s="56" t="str">
        <x:v>Too many calls or insufficient evidence</x:v>
      </x:c>
      <x:c r="F13" s="56" t="str">
        <x:v>Stop after reaching 0.05 bar resolution and completing the decision</x:v>
      </x:c>
      <x:c r="G13" s="57" t="n">
        <x:v>20</x:v>
      </x:c>
    </x:row>
    <x:row r="14">
      <x:c r="A14" s="55"/>
      <x:c r="B14" s="56"/>
      <x:c r="C14" s="56"/>
      <x:c r="D14" s="56"/>
      <x:c r="E14" s="56"/>
      <x:c r="F14" s="56"/>
      <x:c r="G14" s="57"/>
    </x:row>
    <x:row r="15">
      <x:c r="A15" s="118"/>
      <x:c r="B15" s="119"/>
      <x:c r="C15" s="119"/>
      <x:c r="D15" s="119"/>
      <x:c r="E15" s="119"/>
      <x:c r="F15" s="121" t="str">
        <x:v>Maximum efficiency score</x:v>
      </x:c>
      <x:c r="G15" s="122" t="n">
        <x:v>100</x:v>
      </x:c>
    </x:row>
  </x:sheetData>
  <x:mergeCells>
    <x:mergeCell ref="A1:G2"/>
    <x:mergeCell ref="A4:G6"/>
  </x:mergeCells>
  <x:pageMargins left="0.7" right="0.7" top="0.75" bottom="0.75" header="0.3" footer="0.3"/>
</x:worksheet>
</file>