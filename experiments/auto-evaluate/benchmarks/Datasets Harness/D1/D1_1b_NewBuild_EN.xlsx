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aa871db70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07bf8afd776e4cf8"/>
    <x:sheet xmlns:r="http://schemas.openxmlformats.org/officeDocument/2006/relationships" name="Gold_Answer" sheetId="2" r:id="R233f99aeb4264e3f"/>
    <x:sheet xmlns:r="http://schemas.openxmlformats.org/officeDocument/2006/relationships" name="Trajectory_Rubric" sheetId="3" r:id="R0df214421b574aa6"/>
    <x:sheet xmlns:r="http://schemas.openxmlformats.org/officeDocument/2006/relationships" name="Tool_Efficiency" sheetId="4" r:id="Rd682a4e0dc60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E+00"/>
    <x:numFmt numFmtId="201" formatCode="0.000"/>
  </x:numFmts>
  <x:fonts count="7">
    <x:font>
      <x:sz val="11"/>
      <x:name val="Carlito"/>
    </x:font>
    <x:font>
      <x:b/>
      <x:sz val="14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5" fillId="7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0" fontId="5" fillId="7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5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1" fontId="5" fillId="7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b57b892ca411b" /><Relationship Type="http://schemas.openxmlformats.org/officeDocument/2006/relationships/theme" Target="/xl/theme/theme1.xml" Id="R2e035bd5a92b4f95" /><Relationship Type="http://schemas.openxmlformats.org/officeDocument/2006/relationships/sharedStrings" Target="/xl/sharedStrings.xml" Id="R77e99c3b630640ae" /><Relationship Type="http://schemas.openxmlformats.org/officeDocument/2006/relationships/worksheet" Target="/xl/worksheets/sheet1.xml" Id="R07bf8afd776e4cf8" /><Relationship Type="http://schemas.openxmlformats.org/officeDocument/2006/relationships/worksheet" Target="/xl/worksheets/sheet2.xml" Id="R233f99aeb4264e3f" /><Relationship Type="http://schemas.openxmlformats.org/officeDocument/2006/relationships/worksheet" Target="/xl/worksheets/sheet3.xml" Id="R0df214421b574aa6" /><Relationship Type="http://schemas.openxmlformats.org/officeDocument/2006/relationships/worksheet" Target="/xl/worksheets/sheet4.xml" Id="Rd682a4e0dc604e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14" hidden="0" customWidth="1"/>
    <x:col min="4" max="4" width="22" hidden="0" customWidth="1"/>
    <x:col min="5" max="5" width="4" hidden="0" customWidth="1"/>
    <x:col min="6" max="6" width="24" hidden="0" customWidth="1"/>
    <x:col min="7" max="7" width="20" hidden="0" customWidth="1"/>
    <x:col min="8" max="8" width="22" hidden="0" customWidth="1"/>
  </x:cols>
  <x:sheetData>
    <x:row r="1" ht="28" customHeight="1">
      <x:c r="A1" s="6" t="str">
        <x:v>D1-1b: New-Build Membrane Selection</x:v>
      </x:c>
      <x:c r="B1" s="6"/>
      <x:c r="C1" s="6"/>
      <x:c r="D1" s="6"/>
      <x:c r="E1" s="6"/>
      <x:c r="F1" s="6"/>
      <x:c r="G1" s="6"/>
      <x:c r="H1" s="6"/>
    </x:row>
    <x:row r="3" ht="30" customHeight="1">
      <x:c r="A3" s="15" t="str">
        <x:v>A new coastal SWRO project has fixed the high-pressure pump, membrane rack, total membrane area, and design pressure. Procurement must select one membrane from four candidates. First screen all candidates at the nominal condition, then apply the high-salinity stress test only to the shortlist, and finally verify the remaining candidate at low and high temperature. Do not continue testing an eliminated membrane.</x:v>
      </x:c>
      <x:c r="B3" s="15"/>
      <x:c r="C3" s="15"/>
      <x:c r="D3" s="15"/>
      <x:c r="E3" s="15"/>
      <x:c r="F3" s="15"/>
      <x:c r="G3" s="15"/>
      <x:c r="H3" s="15"/>
    </x:row>
    <x:row r="4" ht="30" customHeight="1">
      <x:c r="A4" s="15"/>
      <x:c r="B4" s="15"/>
      <x:c r="C4" s="15"/>
      <x:c r="D4" s="15"/>
      <x:c r="E4" s="15"/>
      <x:c r="F4" s="15"/>
      <x:c r="G4" s="15"/>
      <x:c r="H4" s="15"/>
    </x:row>
    <x:row r="5" ht="30" customHeight="1">
      <x:c r="A5" s="15"/>
      <x:c r="B5" s="15"/>
      <x:c r="C5" s="15"/>
      <x:c r="D5" s="15"/>
      <x:c r="E5" s="15"/>
      <x:c r="F5" s="15"/>
      <x:c r="G5" s="15"/>
      <x:c r="H5" s="15"/>
    </x:row>
    <x:row r="7">
      <x:c r="A7" s="23" t="str">
        <x:v>Fixed parameter</x:v>
      </x:c>
      <x:c r="B7" s="23" t="str">
        <x:v>Value</x:v>
      </x:c>
      <x:c r="C7" s="23" t="str">
        <x:v>Unit</x:v>
      </x:c>
      <x:c r="D7" s="23" t="str">
        <x:v>Status</x:v>
      </x:c>
      <x:c r="F7" s="23" t="str">
        <x:v>Design / stress case</x:v>
      </x:c>
      <x:c r="G7" s="23" t="str">
        <x:v>NaCl mass fraction</x:v>
      </x:c>
      <x:c r="H7" s="23" t="str">
        <x:v>Temperature (°C)</x:v>
      </x:c>
    </x:row>
    <x:row r="8">
      <x:c r="A8" s="38" t="str">
        <x:v>Feed mass flow</x:v>
      </x:c>
      <x:c r="B8" s="38" t="n">
        <x:v>4.073</x:v>
      </x:c>
      <x:c r="C8" s="38" t="str">
        <x:v>kg/s</x:v>
      </x:c>
      <x:c r="D8" s="38" t="str">
        <x:v>Fixed</x:v>
      </x:c>
      <x:c r="E8" s="38"/>
      <x:c r="F8" s="38" t="str">
        <x:v>Nominal</x:v>
      </x:c>
      <x:c r="G8" s="38" t="n">
        <x:v>0.03</x:v>
      </x:c>
      <x:c r="H8" s="38" t="n">
        <x:v>32</x:v>
      </x:c>
    </x:row>
    <x:row r="9">
      <x:c r="A9" s="38" t="str">
        <x:v>Membrane area</x:v>
      </x:c>
      <x:c r="B9" s="38" t="n">
        <x:v>400</x:v>
      </x:c>
      <x:c r="C9" s="38" t="str">
        <x:v>m²</x:v>
      </x:c>
      <x:c r="D9" s="38" t="str">
        <x:v>Fixed</x:v>
      </x:c>
      <x:c r="E9" s="38"/>
      <x:c r="F9" s="38" t="str">
        <x:v>High-salinity stress</x:v>
      </x:c>
      <x:c r="G9" s="38" t="n">
        <x:v>0.032</x:v>
      </x:c>
      <x:c r="H9" s="38" t="n">
        <x:v>32</x:v>
      </x:c>
    </x:row>
    <x:row r="10">
      <x:c r="A10" s="38" t="str">
        <x:v>Feed pressure</x:v>
      </x:c>
      <x:c r="B10" s="38" t="n">
        <x:v>52</x:v>
      </x:c>
      <x:c r="C10" s="38" t="str">
        <x:v>bar</x:v>
      </x:c>
      <x:c r="D10" s="38" t="str">
        <x:v>Fixed</x:v>
      </x:c>
      <x:c r="E10" s="38"/>
      <x:c r="F10" s="38" t="str">
        <x:v>Low-temperature verify</x:v>
      </x:c>
      <x:c r="G10" s="38" t="n">
        <x:v>0.03</x:v>
      </x:c>
      <x:c r="H10" s="38" t="n">
        <x:v>25</x:v>
      </x:c>
    </x:row>
    <x:row r="11">
      <x:c r="A11" s="38" t="str">
        <x:v>Permeate pressure</x:v>
      </x:c>
      <x:c r="B11" s="38" t="n">
        <x:v>1.013</x:v>
      </x:c>
      <x:c r="C11" s="38" t="str">
        <x:v>bar</x:v>
      </x:c>
      <x:c r="D11" s="38" t="str">
        <x:v>Fixed</x:v>
      </x:c>
      <x:c r="E11" s="38"/>
      <x:c r="F11" s="38" t="str">
        <x:v>High-temperature verify</x:v>
      </x:c>
      <x:c r="G11" s="38" t="n">
        <x:v>0.03</x:v>
      </x:c>
      <x:c r="H11" s="38" t="n">
        <x:v>35</x:v>
      </x:c>
    </x:row>
    <x:row r="12">
      <x:c r="A12" s="38" t="str">
        <x:v>Pressure drop</x:v>
      </x:c>
      <x:c r="B12" s="38" t="n">
        <x:v>0.653</x:v>
      </x:c>
      <x:c r="C12" s="38" t="str">
        <x:v>bar</x:v>
      </x:c>
      <x:c r="D12" s="38" t="str">
        <x:v>Fixed</x:v>
      </x:c>
      <x:c r="E12" s="38"/>
      <x:c r="F12" s="38"/>
      <x:c r="G12" s="38"/>
      <x:c r="H12" s="38"/>
    </x:row>
    <x:row r="13">
      <x:c r="A13" s="38" t="str">
        <x:v>Channel height</x:v>
      </x:c>
      <x:c r="B13" s="38" t="n">
        <x:v>0.002</x:v>
      </x:c>
      <x:c r="C13" s="38" t="str">
        <x:v>m</x:v>
      </x:c>
      <x:c r="D13" s="38" t="str">
        <x:v>Fixed</x:v>
      </x:c>
      <x:c r="E13" s="38"/>
      <x:c r="F13" s="23" t="str">
        <x:v>Mandatory constraint</x:v>
      </x:c>
      <x:c r="G13" s="23" t="str">
        <x:v>Limit</x:v>
      </x:c>
      <x:c r="H13" s="23" t="str">
        <x:v>Applies to</x:v>
      </x:c>
    </x:row>
    <x:row r="14">
      <x:c r="A14" s="38" t="str">
        <x:v>Spacer porosity</x:v>
      </x:c>
      <x:c r="B14" s="38" t="n">
        <x:v>0.75</x:v>
      </x:c>
      <x:c r="C14" s="38" t="str">
        <x:v>-</x:v>
      </x:c>
      <x:c r="D14" s="38" t="str">
        <x:v>Fixed</x:v>
      </x:c>
      <x:c r="E14" s="38"/>
      <x:c r="F14" s="38" t="str">
        <x:v>Qp</x:v>
      </x:c>
      <x:c r="G14" s="38" t="str">
        <x:v>≥ 6.00 m³/h</x:v>
      </x:c>
      <x:c r="H14" s="38" t="str">
        <x:v>All mandatory cases</x:v>
      </x:c>
    </x:row>
    <x:row r="15">
      <x:c r="A15" s="38" t="str">
        <x:v>Module length</x:v>
      </x:c>
      <x:c r="B15" s="38" t="n">
        <x:v>20</x:v>
      </x:c>
      <x:c r="C15" s="38" t="str">
        <x:v>m</x:v>
      </x:c>
      <x:c r="D15" s="38" t="str">
        <x:v>Fixed</x:v>
      </x:c>
      <x:c r="E15" s="38"/>
      <x:c r="F15" s="38" t="str">
        <x:v>Recovery</x:v>
      </x:c>
      <x:c r="G15" s="38" t="str">
        <x:v>≤ 48.5%</x:v>
      </x:c>
      <x:c r="H15" s="38" t="str">
        <x:v>All mandatory cases</x:v>
      </x:c>
    </x:row>
    <x:row r="16">
      <x:c r="A16" s="38"/>
      <x:c r="B16" s="38"/>
      <x:c r="C16" s="38"/>
      <x:c r="D16" s="38"/>
      <x:c r="E16" s="38"/>
      <x:c r="F16" s="38" t="str">
        <x:v>Flux</x:v>
      </x:c>
      <x:c r="G16" s="38" t="str">
        <x:v>≤ 18.0 LMH</x:v>
      </x:c>
      <x:c r="H16" s="38" t="str">
        <x:v>All mandatory cases</x:v>
      </x:c>
    </x:row>
    <x:row r="17">
      <x:c r="A17" s="31" t="str">
        <x:v>Candidate membranes</x:v>
      </x:c>
      <x:c r="B17" s="31"/>
      <x:c r="C17" s="31"/>
      <x:c r="D17" s="31"/>
      <x:c r="E17" s="38"/>
      <x:c r="F17" s="38" t="str">
        <x:v>Rejection</x:v>
      </x:c>
      <x:c r="G17" s="38" t="str">
        <x:v>≥ 98.7%</x:v>
      </x:c>
      <x:c r="H17" s="38" t="str">
        <x:v>All mandatory cases</x:v>
      </x:c>
    </x:row>
    <x:row r="18">
      <x:c r="A18" s="23" t="str">
        <x:v>Membrane</x:v>
      </x:c>
      <x:c r="B18" s="23" t="str">
        <x:v>A_comp</x:v>
      </x:c>
      <x:c r="C18" s="23" t="str">
        <x:v>B_comp</x:v>
      </x:c>
      <x:c r="D18" s="23" t="str">
        <x:v>Design intent</x:v>
      </x:c>
      <x:c r="E18" s="38"/>
      <x:c r="F18" s="38" t="str">
        <x:v>Permeate NaCl</x:v>
      </x:c>
      <x:c r="G18" s="38" t="str">
        <x:v>≤ 395 mg/L</x:v>
      </x:c>
      <x:c r="H18" s="38" t="str">
        <x:v>All mandatory cases</x:v>
      </x:c>
    </x:row>
    <x:row r="19">
      <x:c r="A19" s="38" t="str">
        <x:v>M1 High-flux</x:v>
      </x:c>
      <x:c r="B19" s="38" t="n">
        <x:v>5e-12</x:v>
      </x:c>
      <x:c r="C19" s="38" t="n">
        <x:v>5e-8</x:v>
      </x:c>
      <x:c r="D19" s="38" t="str">
        <x:v>High A / high B</x:v>
      </x:c>
      <x:c r="E19" s="38"/>
      <x:c r="F19" s="38"/>
      <x:c r="G19" s="38"/>
      <x:c r="H19" s="38"/>
    </x:row>
    <x:row r="20">
      <x:c r="A20" s="38" t="str">
        <x:v>M2 High-productivity</x:v>
      </x:c>
      <x:c r="B20" s="38" t="n">
        <x:v>4.5e-12</x:v>
      </x:c>
      <x:c r="C20" s="38" t="n">
        <x:v>3.6e-8</x:v>
      </x:c>
      <x:c r="D20" s="38" t="str">
        <x:v>Higher A / medium-high B</x:v>
      </x:c>
      <x:c r="E20" s="38"/>
      <x:c r="F20" s="38"/>
      <x:c r="G20" s="38"/>
      <x:c r="H20" s="38"/>
    </x:row>
    <x:row r="21">
      <x:c r="A21" s="38" t="str">
        <x:v>M3 Balanced high-rejection</x:v>
      </x:c>
      <x:c r="B21" s="38" t="n">
        <x:v>4.35e-12</x:v>
      </x:c>
      <x:c r="C21" s="38" t="n">
        <x:v>2.8e-8</x:v>
      </x:c>
      <x:c r="D21" s="38" t="str">
        <x:v>Medium-high A / low B</x:v>
      </x:c>
      <x:c r="E21" s="38"/>
      <x:c r="F21" s="38"/>
      <x:c r="G21" s="38"/>
      <x:c r="H21" s="38"/>
    </x:row>
    <x:row r="22">
      <x:c r="A22" s="38" t="str">
        <x:v>M4 High-rejection</x:v>
      </x:c>
      <x:c r="B22" s="38" t="n">
        <x:v>3.3e-12</x:v>
      </x:c>
      <x:c r="C22" s="38" t="n">
        <x:v>2.4e-8</x:v>
      </x:c>
      <x:c r="D22" s="38" t="str">
        <x:v>Low A / very low B</x:v>
      </x:c>
      <x:c r="E22" s="38"/>
      <x:c r="F22" s="38"/>
      <x:c r="G22" s="38"/>
      <x:c r="H22" s="38"/>
    </x:row>
    <x:row r="23">
      <x:c r="A23" s="38"/>
      <x:c r="B23" s="38"/>
      <x:c r="C23" s="38"/>
      <x:c r="D23" s="38"/>
      <x:c r="E23" s="38"/>
      <x:c r="F23" s="38"/>
      <x:c r="G23" s="38"/>
      <x:c r="H23" s="38"/>
    </x:row>
    <x:row r="24">
      <x:c r="A24" s="31" t="str">
        <x:v>Required tasks</x:v>
      </x:c>
      <x:c r="B24" s="31"/>
      <x:c r="C24" s="31"/>
      <x:c r="D24" s="31"/>
      <x:c r="E24" s="31"/>
      <x:c r="F24" s="31"/>
      <x:c r="G24" s="31"/>
      <x:c r="H24" s="31"/>
    </x:row>
    <x:row r="25" ht="34" customHeight="1">
      <x:c r="A25" s="38" t="str">
        <x:v>1. Identify this as a membrane-performance parameter selection problem. Explain the A/B trade-off and the typical risks of high-A/high-B versus low-A/low-B candidates.</x:v>
      </x:c>
      <x:c r="B25" s="38"/>
      <x:c r="C25" s="38"/>
      <x:c r="D25" s="38"/>
      <x:c r="E25" s="38"/>
      <x:c r="F25" s="38"/>
      <x:c r="G25" s="38"/>
      <x:c r="H25" s="38"/>
    </x:row>
    <x:row r="26" ht="34" customHeight="1">
      <x:c r="A26" s="38" t="str">
        <x:v>2. Screen all four membranes at the Nominal condition. Only candidates that satisfy every hard constraint may enter the shortlist.</x:v>
      </x:c>
      <x:c r="B26" s="38"/>
      <x:c r="C26" s="38"/>
      <x:c r="D26" s="38"/>
      <x:c r="E26" s="38"/>
      <x:c r="F26" s="38"/>
      <x:c r="G26" s="38"/>
      <x:c r="H26" s="38"/>
    </x:row>
    <x:row r="27" ht="34" customHeight="1">
      <x:c r="A27" s="38" t="str">
        <x:v>3. Apply the High-salinity stress test only to the shortlist. Eliminate a membrane immediately when a mandatory constraint fails.</x:v>
      </x:c>
      <x:c r="B27" s="38"/>
      <x:c r="C27" s="38"/>
      <x:c r="D27" s="38"/>
      <x:c r="E27" s="38"/>
      <x:c r="F27" s="38"/>
      <x:c r="G27" s="38"/>
      <x:c r="H27" s="38"/>
    </x:row>
    <x:row r="28" ht="34" customHeight="1">
      <x:c r="A28" s="38" t="str">
        <x:v>4. Continue with low- and high-temperature verification only as needed to resolve the remaining candidates. Do not spend tool calls on eliminated branches.</x:v>
      </x:c>
      <x:c r="B28" s="38"/>
      <x:c r="C28" s="38"/>
      <x:c r="D28" s="38"/>
      <x:c r="E28" s="38"/>
      <x:c r="F28" s="38"/>
      <x:c r="G28" s="38"/>
      <x:c r="H28" s="38"/>
    </x:row>
    <x:row r="29" ht="34" customHeight="1">
      <x:c r="A29" s="38" t="str">
        <x:v>5. Recommend the final membrane only after all mandatory evidence is complete, and explain why the decision is not simply 'highest A' or 'lowest B'.</x:v>
      </x:c>
      <x:c r="B29" s="38"/>
      <x:c r="C29" s="38"/>
      <x:c r="D29" s="38"/>
      <x:c r="E29" s="38"/>
      <x:c r="F29" s="38"/>
      <x:c r="G29" s="38"/>
      <x:c r="H29" s="38"/>
    </x:row>
    <x:row r="30" ht="34" customHeight="1">
      <x:c r="A30" s="38"/>
      <x:c r="B30" s="38"/>
      <x:c r="C30" s="38"/>
      <x:c r="D30" s="38"/>
      <x:c r="E30" s="38"/>
      <x:c r="F30" s="38"/>
      <x:c r="G30" s="38"/>
      <x:c r="H30" s="38"/>
    </x:row>
    <x:row r="31">
      <x:c r="A31" s="41" t="str">
        <x:v>Multi-round principle: Nominal screening → shortlist → high-salinity stress → targeted temperature verification. Equivalent adaptive orders are acceptable if pruning is justified and all mandatory evidence is complete.</x:v>
      </x:c>
      <x:c r="B31" s="41"/>
      <x:c r="C31" s="41"/>
      <x:c r="D31" s="41"/>
      <x:c r="E31" s="41"/>
      <x:c r="F31" s="41"/>
      <x:c r="G31" s="41"/>
      <x:c r="H31" s="41"/>
    </x:row>
    <x:row r="32">
      <x:c r="A32" s="41"/>
      <x:c r="B32" s="41"/>
      <x:c r="C32" s="41"/>
      <x:c r="D32" s="41"/>
      <x:c r="E32" s="41"/>
      <x:c r="F32" s="41"/>
      <x:c r="G32" s="41"/>
      <x:c r="H32" s="41"/>
    </x:row>
    <x:row r="33">
      <x:c r="A33" s="38"/>
      <x:c r="B33" s="38"/>
      <x:c r="C33" s="38"/>
      <x:c r="D33" s="38"/>
      <x:c r="E33" s="38"/>
      <x:c r="F33" s="38"/>
      <x:c r="G33" s="38"/>
      <x:c r="H33" s="38"/>
    </x:row>
    <x:row r="34">
      <x:c r="A34" s="45" t="str">
        <x:v>Item difficulty: Standard. Reference efficient trajectory: ~8 simulate_ro calls.</x:v>
      </x:c>
      <x:c r="B34" s="45"/>
      <x:c r="C34" s="45"/>
      <x:c r="D34" s="45"/>
      <x:c r="E34" s="45"/>
      <x:c r="F34" s="45"/>
      <x:c r="G34" s="45"/>
      <x:c r="H34" s="45"/>
    </x:row>
  </x:sheetData>
  <x:mergeCells>
    <x:mergeCell ref="A1:H1"/>
    <x:mergeCell ref="A3:H5"/>
    <x:mergeCell ref="A17:D17"/>
    <x:mergeCell ref="A24:H24"/>
    <x:mergeCell ref="A25:H25"/>
    <x:mergeCell ref="A26:H26"/>
    <x:mergeCell ref="A27:H27"/>
    <x:mergeCell ref="A28:H28"/>
    <x:mergeCell ref="A29:H29"/>
    <x:mergeCell ref="A31:H32"/>
    <x:mergeCell ref="A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3" hidden="0" customWidth="1"/>
    <x:col min="5" max="5" width="17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6" t="str">
        <x:v>D1-1b Gold Answer — Screening → Shortlist → Stress Test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>
      <x:c r="A3" s="50" t="str">
        <x:v>Nominal screening retains M2 and M3. High salinity eliminates M2 because permeate NaCl exceeds the limit. M3 then passes both 25°C and 35°C verification and is recommended.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</x:row>
    <x:row r="4">
      <x:c r="A4" s="50"/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</x:row>
    <x:row r="6">
      <x:c r="A6" s="31" t="str">
        <x:v>Stage 1: Nominal screening (4 calls)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</x:row>
    <x:row r="7">
      <x:c r="A7" s="23" t="str">
        <x:v>Membrane</x:v>
      </x:c>
      <x:c r="B7" s="23" t="str">
        <x:v>A</x:v>
      </x:c>
      <x:c r="C7" s="23" t="str">
        <x:v>B</x:v>
      </x:c>
      <x:c r="D7" s="23" t="str">
        <x:v>Case</x:v>
      </x:c>
      <x:c r="E7" s="23" t="str">
        <x:v>Permeate kg/s</x:v>
      </x:c>
      <x:c r="F7" s="23" t="str">
        <x:v>Qp m³/h</x:v>
      </x:c>
      <x:c r="G7" s="23" t="str">
        <x:v>Flux</x:v>
      </x:c>
      <x:c r="H7" s="23" t="str">
        <x:v>Recovery %</x:v>
      </x:c>
      <x:c r="I7" s="23" t="str">
        <x:v>Rejection %</x:v>
      </x:c>
      <x:c r="J7" s="23" t="str">
        <x:v>NaCl mg/L</x:v>
      </x:c>
      <x:c r="K7" s="23" t="str">
        <x:v>Production</x:v>
      </x:c>
      <x:c r="L7" s="23" t="str">
        <x:v>Recovery</x:v>
      </x:c>
      <x:c r="M7" s="23" t="str">
        <x:v>Quality</x:v>
      </x:c>
      <x:c r="N7" s="23" t="str">
        <x:v>Overall</x:v>
      </x:c>
    </x:row>
    <x:row r="8">
      <x:c r="A8" s="38" t="str">
        <x:v>M1</x:v>
      </x:c>
      <x:c r="B8" s="62" t="n">
        <x:v>5e-12</x:v>
      </x:c>
      <x:c r="C8" s="62" t="n">
        <x:v>5e-8</x:v>
      </x:c>
      <x:c r="D8" s="38" t="str">
        <x:v>Nominal</x:v>
      </x:c>
      <x:c r="E8" s="70" t="n">
        <x:v>1.9676687252854945</x:v>
      </x:c>
      <x:c r="F8" s="70" t="n">
        <x:f>E8*3.6</x:f>
        <x:v>7.0836074110277805</x:v>
      </x:c>
      <x:c r="G8" s="70" t="n">
        <x:v>17.700163126495372</x:v>
      </x:c>
      <x:c r="H8" s="70" t="n">
        <x:v>49.3924715211225</x:v>
      </x:c>
      <x:c r="I8" s="70" t="n">
        <x:v>98.36969333719445</x:v>
      </x:c>
      <x:c r="J8" s="70" t="n">
        <x:v>500.050359103307</x:v>
      </x:c>
      <x:c r="K8" s="38" t="str">
        <x:f>IF(F8&gt;=6.0,"Pass","Fail")</x:f>
        <x:v>Pass</x:v>
      </x:c>
      <x:c r="L8" s="38" t="str">
        <x:f>IF(H8&lt;=48.5,"Pass","Fail")</x:f>
        <x:v>Fail</x:v>
      </x:c>
      <x:c r="M8" s="38" t="str">
        <x:f>IF(AND(G8&lt;=18.0,I8&gt;=98.7,J8&lt;=395),"Pass","Fail")</x:f>
        <x:v>Fail</x:v>
      </x:c>
      <x:c r="N8" s="38" t="str">
        <x:f>IF(AND(K8="Pass",L8="Pass",M8="Pass"),"Pass","Fail")</x:f>
        <x:v>Fail</x:v>
      </x:c>
    </x:row>
    <x:row r="9">
      <x:c r="A9" s="38" t="str">
        <x:v>M2</x:v>
      </x:c>
      <x:c r="B9" s="62" t="n">
        <x:v>4.5e-12</x:v>
      </x:c>
      <x:c r="C9" s="62" t="n">
        <x:v>3.6e-8</x:v>
      </x:c>
      <x:c r="D9" s="38" t="str">
        <x:v>Nominal</x:v>
      </x:c>
      <x:c r="E9" s="70" t="n">
        <x:v>1.8790336263419631</x:v>
      </x:c>
      <x:c r="F9" s="70" t="n">
        <x:f>E9*3.6</x:f>
        <x:v>6.764521054831067</x:v>
      </x:c>
      <x:c r="G9" s="70" t="n">
        <x:v>16.905008317413035</x:v>
      </x:c>
      <x:c r="H9" s="70" t="n">
        <x:v>47.17213169199223</x:v>
      </x:c>
      <x:c r="I9" s="70" t="n">
        <x:v>98.78665272598445</x:v>
      </x:c>
      <x:c r="J9" s="70" t="n">
        <x:v>372.1960276929393</x:v>
      </x:c>
      <x:c r="K9" s="38" t="str">
        <x:f>IF(F9&gt;=6.0,"Pass","Fail")</x:f>
        <x:v>Pass</x:v>
      </x:c>
      <x:c r="L9" s="38" t="str">
        <x:f>IF(H9&lt;=48.5,"Pass","Fail")</x:f>
        <x:v>Pass</x:v>
      </x:c>
      <x:c r="M9" s="38" t="str">
        <x:f>IF(AND(G9&lt;=18.0,I9&gt;=98.7,J9&lt;=395),"Pass","Fail")</x:f>
        <x:v>Pass</x:v>
      </x:c>
      <x:c r="N9" s="38" t="str">
        <x:f>IF(AND(K9="Pass",L9="Pass",M9="Pass"),"Pass","Fail")</x:f>
        <x:v>Pass</x:v>
      </x:c>
    </x:row>
    <x:row r="10">
      <x:c r="A10" s="38" t="str">
        <x:v>M3</x:v>
      </x:c>
      <x:c r="B10" s="62" t="n">
        <x:v>4.35e-12</x:v>
      </x:c>
      <x:c r="C10" s="62" t="n">
        <x:v>2.8e-8</x:v>
      </x:c>
      <x:c r="D10" s="38" t="str">
        <x:v>Nominal</x:v>
      </x:c>
      <x:c r="E10" s="70" t="n">
        <x:v>1.8474551756896311</x:v>
      </x:c>
      <x:c r="F10" s="70" t="n">
        <x:f>E10*3.6</x:f>
        <x:v>6.650838632482672</x:v>
      </x:c>
      <x:c r="G10" s="70" t="n">
        <x:v>16.622219523946235</x:v>
      </x:c>
      <x:c r="H10" s="70" t="n">
        <x:v>46.38215051880943</x:v>
      </x:c>
      <x:c r="I10" s="70" t="n">
        <x:v>99.04384390143302</x:v>
      </x:c>
      <x:c r="J10" s="70" t="n">
        <x:v>293.3198370880489</x:v>
      </x:c>
      <x:c r="K10" s="38" t="str">
        <x:f>IF(F10&gt;=6.0,"Pass","Fail")</x:f>
        <x:v>Pass</x:v>
      </x:c>
      <x:c r="L10" s="38" t="str">
        <x:f>IF(H10&lt;=48.5,"Pass","Fail")</x:f>
        <x:v>Pass</x:v>
      </x:c>
      <x:c r="M10" s="38" t="str">
        <x:f>IF(AND(G10&lt;=18.0,I10&gt;=98.7,J10&lt;=395),"Pass","Fail")</x:f>
        <x:v>Pass</x:v>
      </x:c>
      <x:c r="N10" s="38" t="str">
        <x:f>IF(AND(K10="Pass",L10="Pass",M10="Pass"),"Pass","Fail")</x:f>
        <x:v>Pass</x:v>
      </x:c>
    </x:row>
    <x:row r="11">
      <x:c r="A11" s="38" t="str">
        <x:v>M4</x:v>
      </x:c>
      <x:c r="B11" s="62" t="n">
        <x:v>3.3e-12</x:v>
      </x:c>
      <x:c r="C11" s="62" t="n">
        <x:v>2.4e-8</x:v>
      </x:c>
      <x:c r="D11" s="38" t="str">
        <x:v>Nominal</x:v>
      </x:c>
      <x:c r="E11" s="70" t="n">
        <x:v>1.6642722844347768</x:v>
      </x:c>
      <x:c r="F11" s="70" t="n">
        <x:f>E11*3.6</x:f>
        <x:v>5.991380223965197</x:v>
      </x:c>
      <x:c r="G11" s="70" t="n">
        <x:v>14.974466952436693</x:v>
      </x:c>
      <x:c r="H11" s="70" t="n">
        <x:v>41.78403525493836</x:v>
      </x:c>
      <x:c r="I11" s="70" t="n">
        <x:v>99.13306210837229</x:v>
      </x:c>
      <x:c r="J11" s="70" t="n">
        <x:v>265.955911819047</x:v>
      </x:c>
      <x:c r="K11" s="38" t="str">
        <x:f>IF(F11&gt;=6.0,"Pass","Fail")</x:f>
        <x:v>Fail</x:v>
      </x:c>
      <x:c r="L11" s="38" t="str">
        <x:f>IF(H11&lt;=48.5,"Pass","Fail")</x:f>
        <x:v>Pass</x:v>
      </x:c>
      <x:c r="M11" s="38" t="str">
        <x:f>IF(AND(G11&lt;=18.0,I11&gt;=98.7,J11&lt;=395),"Pass","Fail")</x:f>
        <x:v>Pass</x:v>
      </x:c>
      <x:c r="N11" s="38" t="str">
        <x:f>IF(AND(K11="Pass",L11="Pass",M11="Pass"),"Pass","Fail")</x:f>
        <x:v>Fail</x:v>
      </x:c>
    </x:row>
    <x:row r="12">
      <x:c r="A12" s="38"/>
      <x:c r="B12" s="62"/>
      <x:c r="C12" s="62"/>
      <x:c r="D12" s="38"/>
      <x:c r="E12" s="70"/>
      <x:c r="F12" s="70"/>
      <x:c r="G12" s="70"/>
      <x:c r="H12" s="70"/>
      <x:c r="I12" s="70"/>
      <x:c r="J12" s="70"/>
      <x:c r="K12" s="38"/>
      <x:c r="L12" s="38"/>
      <x:c r="M12" s="38"/>
      <x:c r="N12" s="38"/>
    </x:row>
    <x:row r="13">
      <x:c r="A13" s="31" t="str">
        <x:v>Stage 2: High-salinity stress (2 calls)</x:v>
      </x:c>
      <x:c r="B13" s="63"/>
      <x:c r="C13" s="63"/>
      <x:c r="D13" s="31"/>
      <x:c r="E13" s="71"/>
      <x:c r="F13" s="71"/>
      <x:c r="G13" s="71"/>
      <x:c r="H13" s="71"/>
      <x:c r="I13" s="71"/>
      <x:c r="J13" s="71"/>
      <x:c r="K13" s="31"/>
      <x:c r="L13" s="31"/>
      <x:c r="M13" s="31"/>
      <x:c r="N13" s="31"/>
    </x:row>
    <x:row r="14">
      <x:c r="A14" s="23" t="str">
        <x:v>Membrane</x:v>
      </x:c>
      <x:c r="B14" s="64" t="str">
        <x:v>A</x:v>
      </x:c>
      <x:c r="C14" s="64" t="str">
        <x:v>B</x:v>
      </x:c>
      <x:c r="D14" s="23" t="str">
        <x:v>Case</x:v>
      </x:c>
      <x:c r="E14" s="72" t="str">
        <x:v>Permeate kg/s</x:v>
      </x:c>
      <x:c r="F14" s="72" t="str">
        <x:v>Qp m³/h</x:v>
      </x:c>
      <x:c r="G14" s="72" t="str">
        <x:v>Flux</x:v>
      </x:c>
      <x:c r="H14" s="72" t="str">
        <x:v>Recovery %</x:v>
      </x:c>
      <x:c r="I14" s="72" t="str">
        <x:v>Rejection %</x:v>
      </x:c>
      <x:c r="J14" s="72" t="str">
        <x:v>NaCl mg/L</x:v>
      </x:c>
      <x:c r="K14" s="23" t="str">
        <x:v>Production</x:v>
      </x:c>
      <x:c r="L14" s="23" t="str">
        <x:v>Recovery</x:v>
      </x:c>
      <x:c r="M14" s="23" t="str">
        <x:v>Quality</x:v>
      </x:c>
      <x:c r="N14" s="23" t="str">
        <x:v>Overall</x:v>
      </x:c>
    </x:row>
    <x:row r="15">
      <x:c r="A15" s="38" t="str">
        <x:v>M2</x:v>
      </x:c>
      <x:c r="B15" s="62" t="n">
        <x:v>4.5e-12</x:v>
      </x:c>
      <x:c r="C15" s="62" t="n">
        <x:v>3.6e-8</x:v>
      </x:c>
      <x:c r="D15" s="38" t="str">
        <x:v>High salinity</x:v>
      </x:c>
      <x:c r="E15" s="70" t="n">
        <x:v>1.7387373591974824</x:v>
      </x:c>
      <x:c r="F15" s="70" t="n">
        <x:f>E15*3.6</x:f>
        <x:v>6.259454493110937</x:v>
      </x:c>
      <x:c r="G15" s="70" t="n">
        <x:v>15.64222285898539</x:v>
      </x:c>
      <x:c r="H15" s="70" t="n">
        <x:v>43.7136716405171</x:v>
      </x:c>
      <x:c r="I15" s="70" t="n">
        <x:v>98.74927344947356</x:v>
      </x:c>
      <x:c r="J15" s="70" t="n">
        <x:v>409.83595608912725</x:v>
      </x:c>
      <x:c r="K15" s="38" t="str">
        <x:f>IF(F15&gt;=6.0,"Pass","Fail")</x:f>
        <x:v>Pass</x:v>
      </x:c>
      <x:c r="L15" s="38" t="str">
        <x:f>IF(H15&lt;=48.5,"Pass","Fail")</x:f>
        <x:v>Pass</x:v>
      </x:c>
      <x:c r="M15" s="38" t="str">
        <x:f>IF(AND(G15&lt;=18.0,I15&gt;=98.7,J15&lt;=395),"Pass","Fail")</x:f>
        <x:v>Fail</x:v>
      </x:c>
      <x:c r="N15" s="38" t="str">
        <x:f>IF(AND(K15="Pass",L15="Pass",M15="Pass"),"Pass","Fail")</x:f>
        <x:v>Fail</x:v>
      </x:c>
    </x:row>
    <x:row r="16">
      <x:c r="A16" s="38" t="str">
        <x:v>M3</x:v>
      </x:c>
      <x:c r="B16" s="62" t="n">
        <x:v>4.35e-12</x:v>
      </x:c>
      <x:c r="C16" s="62" t="n">
        <x:v>2.8e-8</x:v>
      </x:c>
      <x:c r="D16" s="38" t="str">
        <x:v>High salinity</x:v>
      </x:c>
      <x:c r="E16" s="70" t="n">
        <x:v>1.7081062254201143</x:v>
      </x:c>
      <x:c r="F16" s="70" t="n">
        <x:f>E16*3.6</x:f>
        <x:v>6.149182411512411</x:v>
      </x:c>
      <x:c r="G16" s="70" t="n">
        <x:v>15.367983868141458</x:v>
      </x:c>
      <x:c r="H16" s="70" t="n">
        <x:v>42.946391394041655</x:v>
      </x:c>
      <x:c r="I16" s="70" t="n">
        <x:v>99.01301267442244</x:v>
      </x:c>
      <x:c r="J16" s="70" t="n">
        <x:v>323.4355598404228</x:v>
      </x:c>
      <x:c r="K16" s="38" t="str">
        <x:f>IF(F16&gt;=6.0,"Pass","Fail")</x:f>
        <x:v>Pass</x:v>
      </x:c>
      <x:c r="L16" s="38" t="str">
        <x:f>IF(H16&lt;=48.5,"Pass","Fail")</x:f>
        <x:v>Pass</x:v>
      </x:c>
      <x:c r="M16" s="38" t="str">
        <x:f>IF(AND(G16&lt;=18.0,I16&gt;=98.7,J16&lt;=395),"Pass","Fail")</x:f>
        <x:v>Pass</x:v>
      </x:c>
      <x:c r="N16" s="38" t="str">
        <x:f>IF(AND(K16="Pass",L16="Pass",M16="Pass"),"Pass","Fail")</x:f>
        <x:v>Pass</x:v>
      </x:c>
    </x:row>
    <x:row r="17">
      <x:c r="A17" s="38"/>
      <x:c r="B17" s="62"/>
      <x:c r="C17" s="62"/>
      <x:c r="D17" s="38"/>
      <x:c r="E17" s="70"/>
      <x:c r="F17" s="70"/>
      <x:c r="G17" s="70"/>
      <x:c r="H17" s="70"/>
      <x:c r="I17" s="70"/>
      <x:c r="J17" s="70"/>
      <x:c r="K17" s="38"/>
      <x:c r="L17" s="38"/>
      <x:c r="M17" s="38"/>
      <x:c r="N17" s="38"/>
    </x:row>
    <x:row r="18">
      <x:c r="A18" s="31" t="str">
        <x:v>Stage 3: Targeted temperature verification (2 calls)</x:v>
      </x:c>
      <x:c r="B18" s="63"/>
      <x:c r="C18" s="63"/>
      <x:c r="D18" s="31"/>
      <x:c r="E18" s="71"/>
      <x:c r="F18" s="71"/>
      <x:c r="G18" s="71"/>
      <x:c r="H18" s="71"/>
      <x:c r="I18" s="71"/>
      <x:c r="J18" s="71"/>
      <x:c r="K18" s="31"/>
      <x:c r="L18" s="31"/>
      <x:c r="M18" s="31"/>
      <x:c r="N18" s="31"/>
    </x:row>
    <x:row r="19">
      <x:c r="A19" s="23" t="str">
        <x:v>Membrane</x:v>
      </x:c>
      <x:c r="B19" s="64" t="str">
        <x:v>A</x:v>
      </x:c>
      <x:c r="C19" s="64" t="str">
        <x:v>B</x:v>
      </x:c>
      <x:c r="D19" s="23" t="str">
        <x:v>Case</x:v>
      </x:c>
      <x:c r="E19" s="72" t="str">
        <x:v>Permeate kg/s</x:v>
      </x:c>
      <x:c r="F19" s="72" t="str">
        <x:v>Qp m³/h</x:v>
      </x:c>
      <x:c r="G19" s="72" t="str">
        <x:v>Flux</x:v>
      </x:c>
      <x:c r="H19" s="72" t="str">
        <x:v>Recovery %</x:v>
      </x:c>
      <x:c r="I19" s="72" t="str">
        <x:v>Rejection %</x:v>
      </x:c>
      <x:c r="J19" s="72" t="str">
        <x:v>NaCl mg/L</x:v>
      </x:c>
      <x:c r="K19" s="23" t="str">
        <x:v>Production</x:v>
      </x:c>
      <x:c r="L19" s="23" t="str">
        <x:v>Recovery</x:v>
      </x:c>
      <x:c r="M19" s="23" t="str">
        <x:v>Quality</x:v>
      </x:c>
      <x:c r="N19" s="23" t="str">
        <x:v>Overall</x:v>
      </x:c>
    </x:row>
    <x:row r="20">
      <x:c r="A20" s="38" t="str">
        <x:v>M3</x:v>
      </x:c>
      <x:c r="B20" s="62" t="n">
        <x:v>4.35e-12</x:v>
      </x:c>
      <x:c r="C20" s="62" t="n">
        <x:v>2.8e-8</x:v>
      </x:c>
      <x:c r="D20" s="38" t="str">
        <x:v>25°C low-temperature</x:v>
      </x:c>
      <x:c r="E20" s="70" t="n">
        <x:v>1.892543112768839</x:v>
      </x:c>
      <x:c r="F20" s="70" t="n">
        <x:f>E20*3.6</x:f>
        <x:v>6.813155205967821</x:v>
      </x:c>
      <x:c r="G20" s="70" t="n">
        <x:v>17.027933218399074</x:v>
      </x:c>
      <x:c r="H20" s="70" t="n">
        <x:v>47.51421431351527</x:v>
      </x:c>
      <x:c r="I20" s="70" t="n">
        <x:v>99.05174727928785</x:v>
      </x:c>
      <x:c r="J20" s="70" t="n">
        <x:v>290.89585489760395</x:v>
      </x:c>
      <x:c r="K20" s="38" t="str">
        <x:f>IF(F20&gt;=6.0,"Pass","Fail")</x:f>
        <x:v>Pass</x:v>
      </x:c>
      <x:c r="L20" s="38" t="str">
        <x:f>IF(H20&lt;=48.5,"Pass","Fail")</x:f>
        <x:v>Pass</x:v>
      </x:c>
      <x:c r="M20" s="38" t="str">
        <x:f>IF(AND(G20&lt;=18.0,I20&gt;=98.7,J20&lt;=395),"Pass","Fail")</x:f>
        <x:v>Pass</x:v>
      </x:c>
      <x:c r="N20" s="38" t="str">
        <x:f>IF(AND(K20="Pass",L20="Pass",M20="Pass"),"Pass","Fail")</x:f>
        <x:v>Pass</x:v>
      </x:c>
    </x:row>
    <x:row r="21">
      <x:c r="A21" s="38" t="str">
        <x:v>M3</x:v>
      </x:c>
      <x:c r="B21" s="62" t="n">
        <x:v>4.35e-12</x:v>
      </x:c>
      <x:c r="C21" s="62" t="n">
        <x:v>2.8e-8</x:v>
      </x:c>
      <x:c r="D21" s="38" t="str">
        <x:v>35°C high-temperature</x:v>
      </x:c>
      <x:c r="E21" s="70" t="n">
        <x:v>1.828223514803658</x:v>
      </x:c>
      <x:c r="F21" s="70" t="n">
        <x:f>E21*3.6</x:f>
        <x:v>6.581604653293169</x:v>
      </x:c>
      <x:c r="G21" s="70" t="n">
        <x:v>16.449166938359838</x:v>
      </x:c>
      <x:c r="H21" s="70" t="n">
        <x:v>45.89928205146083</x:v>
      </x:c>
      <x:c r="I21" s="70" t="n">
        <x:v>99.04019642553173</x:v>
      </x:c>
      <x:c r="J21" s="70" t="n">
        <x:v>294.4385224146619</x:v>
      </x:c>
      <x:c r="K21" s="38" t="str">
        <x:f>IF(F21&gt;=6.0,"Pass","Fail")</x:f>
        <x:v>Pass</x:v>
      </x:c>
      <x:c r="L21" s="38" t="str">
        <x:f>IF(H21&lt;=48.5,"Pass","Fail")</x:f>
        <x:v>Pass</x:v>
      </x:c>
      <x:c r="M21" s="38" t="str">
        <x:f>IF(AND(G21&lt;=18.0,I21&gt;=98.7,J21&lt;=395),"Pass","Fail")</x:f>
        <x:v>Pass</x:v>
      </x:c>
      <x:c r="N21" s="38" t="str">
        <x:f>IF(AND(K21="Pass",L21="Pass",M21="Pass"),"Pass","Fail")</x:f>
        <x:v>Pass</x:v>
      </x:c>
    </x:row>
    <x:row r="22">
      <x:c r="A22" s="38"/>
      <x:c r="B22" s="62"/>
      <x:c r="C22" s="62"/>
      <x:c r="D22" s="38"/>
      <x:c r="E22" s="70"/>
      <x:c r="F22" s="70"/>
      <x:c r="G22" s="70"/>
      <x:c r="H22" s="70"/>
      <x:c r="I22" s="70"/>
      <x:c r="J22" s="70"/>
      <x:c r="K22" s="38"/>
      <x:c r="L22" s="38"/>
      <x:c r="M22" s="38"/>
      <x:c r="N22" s="38"/>
    </x:row>
    <x:row r="23">
      <x:c r="A23" s="23" t="str">
        <x:v>Node</x:v>
      </x:c>
      <x:c r="B23" s="64" t="str">
        <x:v>Candidate/result</x:v>
      </x:c>
      <x:c r="C23" s="64" t="str">
        <x:v>Key evidence</x:v>
      </x:c>
      <x:c r="D23" s="23" t="str">
        <x:v>Keep?</x:v>
      </x:c>
      <x:c r="E23" s="72" t="str">
        <x:v>Reason</x:v>
      </x:c>
      <x:c r="F23" s="72" t="str">
        <x:v>Next action</x:v>
      </x:c>
      <x:c r="G23" s="70"/>
      <x:c r="H23" s="70"/>
      <x:c r="I23" s="70"/>
      <x:c r="J23" s="70"/>
      <x:c r="K23" s="38"/>
      <x:c r="L23" s="38"/>
      <x:c r="M23" s="38"/>
      <x:c r="N23" s="38"/>
    </x:row>
    <x:row r="24">
      <x:c r="A24" s="38" t="str">
        <x:v>Nominal</x:v>
      </x:c>
      <x:c r="B24" s="62" t="str">
        <x:v>M1 eliminated</x:v>
      </x:c>
      <x:c r="C24" s="62" t="str">
        <x:v>Recovery 49.39%; NaCl 500 mg/L</x:v>
      </x:c>
      <x:c r="D24" s="38" t="str">
        <x:v>No</x:v>
      </x:c>
      <x:c r="E24" s="70" t="str">
        <x:v>Recovery and quality fail</x:v>
      </x:c>
      <x:c r="F24" s="70" t="str">
        <x:v>Stop M1</x:v>
      </x:c>
      <x:c r="G24" s="70"/>
      <x:c r="H24" s="70"/>
      <x:c r="I24" s="70"/>
      <x:c r="J24" s="70"/>
      <x:c r="K24" s="38"/>
      <x:c r="L24" s="38"/>
      <x:c r="M24" s="38"/>
      <x:c r="N24" s="38"/>
    </x:row>
    <x:row r="25">
      <x:c r="A25" s="38" t="str">
        <x:v>Nominal</x:v>
      </x:c>
      <x:c r="B25" s="62" t="str">
        <x:v>M2 and M3 retained</x:v>
      </x:c>
      <x:c r="C25" s="62" t="str">
        <x:v>Both satisfy all hard constraints</x:v>
      </x:c>
      <x:c r="D25" s="38" t="str">
        <x:v>Yes</x:v>
      </x:c>
      <x:c r="E25" s="70" t="str">
        <x:v>Enter salinity stress</x:v>
      </x:c>
      <x:c r="F25" s="70" t="str">
        <x:v>Test M2/M3</x:v>
      </x:c>
      <x:c r="G25" s="70"/>
      <x:c r="H25" s="70"/>
      <x:c r="I25" s="70"/>
      <x:c r="J25" s="70"/>
      <x:c r="K25" s="38"/>
      <x:c r="L25" s="38"/>
      <x:c r="M25" s="38"/>
      <x:c r="N25" s="38"/>
    </x:row>
    <x:row r="26">
      <x:c r="A26" s="38" t="str">
        <x:v>Nominal</x:v>
      </x:c>
      <x:c r="B26" s="62" t="str">
        <x:v>M4 eliminated</x:v>
      </x:c>
      <x:c r="C26" s="62" t="str">
        <x:v>Qp ≈ 5.991 &lt; 6.00 m³/h</x:v>
      </x:c>
      <x:c r="D26" s="38" t="str">
        <x:v>No</x:v>
      </x:c>
      <x:c r="E26" s="70" t="str">
        <x:v>Insufficient production</x:v>
      </x:c>
      <x:c r="F26" s="70" t="str">
        <x:v>Stop M4</x:v>
      </x:c>
      <x:c r="G26" s="70"/>
      <x:c r="H26" s="70"/>
      <x:c r="I26" s="70"/>
      <x:c r="J26" s="70"/>
      <x:c r="K26" s="38"/>
      <x:c r="L26" s="38"/>
      <x:c r="M26" s="38"/>
      <x:c r="N26" s="38"/>
    </x:row>
    <x:row r="27">
      <x:c r="A27" s="38" t="str">
        <x:v>High salinity</x:v>
      </x:c>
      <x:c r="B27" s="62" t="str">
        <x:v>M2 eliminated; M3 passes</x:v>
      </x:c>
      <x:c r="C27" s="62" t="str">
        <x:v>M2 NaCl ≈ 409.84 &gt; 395; M3 NaCl ≈ 323.44</x:v>
      </x:c>
      <x:c r="D27" s="38" t="str">
        <x:v>M3</x:v>
      </x:c>
      <x:c r="E27" s="70" t="str">
        <x:v>Quality separates shortlist</x:v>
      </x:c>
      <x:c r="F27" s="70" t="str">
        <x:v>Verify M3 at 25/35°C</x:v>
      </x:c>
      <x:c r="G27" s="70"/>
      <x:c r="H27" s="70"/>
      <x:c r="I27" s="70"/>
      <x:c r="J27" s="70"/>
      <x:c r="K27" s="38"/>
      <x:c r="L27" s="38"/>
      <x:c r="M27" s="38"/>
      <x:c r="N27" s="38"/>
    </x:row>
    <x:row r="28">
      <x:c r="A28" s="38" t="str">
        <x:v>Final verify</x:v>
      </x:c>
      <x:c r="B28" s="62" t="str">
        <x:v>M3 passes both temperatures</x:v>
      </x:c>
      <x:c r="C28" s="62" t="str">
        <x:v>All mandatory cases pass</x:v>
      </x:c>
      <x:c r="D28" s="38" t="str">
        <x:v>M3</x:v>
      </x:c>
      <x:c r="E28" s="70" t="str">
        <x:v>Only fully qualified candidate</x:v>
      </x:c>
      <x:c r="F28" s="70" t="str">
        <x:v>Recommend M3</x:v>
      </x:c>
      <x:c r="G28" s="70"/>
      <x:c r="H28" s="70"/>
      <x:c r="I28" s="70"/>
      <x:c r="J28" s="70"/>
      <x:c r="K28" s="38"/>
      <x:c r="L28" s="38"/>
      <x:c r="M28" s="38"/>
      <x:c r="N28" s="38"/>
    </x:row>
    <x:row r="29">
      <x:c r="A29" s="38"/>
      <x:c r="B29" s="62"/>
      <x:c r="C29" s="62"/>
      <x:c r="D29" s="38"/>
      <x:c r="E29" s="70"/>
      <x:c r="F29" s="70"/>
      <x:c r="G29" s="70"/>
      <x:c r="H29" s="70"/>
      <x:c r="I29" s="70"/>
      <x:c r="J29" s="70"/>
      <x:c r="K29" s="38"/>
      <x:c r="L29" s="38"/>
      <x:c r="M29" s="38"/>
      <x:c r="N29" s="38"/>
    </x:row>
    <x:row r="30">
      <x:c r="A30" s="57" t="str">
        <x:v>Final recommendation: M3. The selection reflects the permeability–selectivity trade-off across all mandatory cases, not a simple preference for the highest A or lowest B.</x:v>
      </x:c>
      <x:c r="B30" s="65"/>
      <x:c r="C30" s="65"/>
      <x:c r="D30" s="57"/>
      <x:c r="E30" s="73"/>
      <x:c r="F30" s="73"/>
      <x:c r="G30" s="73"/>
      <x:c r="H30" s="73"/>
      <x:c r="I30" s="73"/>
      <x:c r="J30" s="73"/>
      <x:c r="K30" s="57"/>
      <x:c r="L30" s="57"/>
      <x:c r="M30" s="57"/>
      <x:c r="N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</x:row>
  </x:sheetData>
  <x:mergeCells>
    <x:mergeCell ref="A1:N1"/>
    <x:mergeCell ref="A3:N4"/>
    <x:mergeCell ref="A6:N6"/>
    <x:mergeCell ref="A13:N13"/>
    <x:mergeCell ref="A18:N18"/>
    <x:mergeCell ref="A30:N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48" hidden="0" customWidth="1"/>
    <x:col min="4" max="4" width="38" hidden="0" customWidth="1"/>
    <x:col min="5" max="5" width="38" hidden="0" customWidth="1"/>
    <x:col min="6" max="6" width="10" hidden="0" customWidth="1"/>
    <x:col min="7" max="7" width="10" hidden="0" customWidth="1"/>
  </x:cols>
  <x:sheetData>
    <x:row r="1">
      <x:c r="A1" s="6" t="str">
        <x:v>D1-1b: Trajectory Quality (100 points)</x:v>
      </x:c>
      <x:c r="B1" s="6"/>
      <x:c r="C1" s="6"/>
      <x:c r="D1" s="6"/>
      <x:c r="E1" s="6"/>
      <x:c r="F1" s="6"/>
      <x:c r="G1" s="6"/>
    </x:row>
    <x:row r="3">
      <x:c r="A3" s="78" t="str">
        <x:v>Evaluate the full state → plan → tool call → observation → shortlist update → next action → stopping/decision trajectory. Exact replication of the reference path is not required. Alternative orders receive full credit when they are evidence-driven, correctly pruned, and complete.</x:v>
      </x:c>
      <x:c r="B3" s="78"/>
      <x:c r="C3" s="78"/>
      <x:c r="D3" s="78"/>
      <x:c r="E3" s="78"/>
      <x:c r="F3" s="78"/>
      <x:c r="G3" s="78"/>
    </x:row>
    <x:row r="4">
      <x:c r="A4" s="78"/>
      <x:c r="B4" s="78"/>
      <x:c r="C4" s="78"/>
      <x:c r="D4" s="78"/>
      <x:c r="E4" s="78"/>
      <x:c r="F4" s="78"/>
      <x:c r="G4" s="78"/>
    </x:row>
    <x:row r="6">
      <x:c r="A6" s="23" t="str">
        <x:v>Dimension</x:v>
      </x:c>
      <x:c r="B6" s="23" t="str">
        <x:v>Focus</x:v>
      </x:c>
      <x:c r="C6" s="23" t="str">
        <x:v>Full-credit evidence</x:v>
      </x:c>
      <x:c r="D6" s="23" t="str">
        <x:v>Partial credit</x:v>
      </x:c>
      <x:c r="E6" s="23" t="str">
        <x:v>Critical failure</x:v>
      </x:c>
      <x:c r="F6" s="23" t="str">
        <x:v>Weight</x:v>
      </x:c>
      <x:c r="G6" s="23" t="str">
        <x:v>Score</x:v>
      </x:c>
    </x:row>
    <x:row r="7" ht="48" customHeight="1">
      <x:c r="A7" s="38" t="str">
        <x:v>TQ1 Problem representation</x:v>
      </x:c>
      <x:c r="B7" s="38" t="str">
        <x:v>Correctly identify A/B as membrane-selection variables and recognize the permeability–selectivity trade-off.</x:v>
      </x:c>
      <x:c r="C7" s="38" t="str">
        <x:v>A primarily affects water permeability/productivity; B mainly affects salt passage. Every candidate must satisfy all mandatory cases.</x:v>
      </x:c>
      <x:c r="D7" s="38" t="str">
        <x:v>Trade-off is understood but one constraint or multi-case requirement is underdeveloped.</x:v>
      </x:c>
      <x:c r="E7" s="38" t="str">
        <x:v>Ranks membranes only by highest A or lowest B; changes fixed area/pressure between candidates.</x:v>
      </x:c>
      <x:c r="F7" s="38" t="n">
        <x:v>15</x:v>
      </x:c>
      <x:c r="G7" s="38"/>
    </x:row>
    <x:row r="8" ht="48" customHeight="1">
      <x:c r="A8" s="38" t="str">
        <x:v>TQ2 Planning and decomposition</x:v>
      </x:c>
      <x:c r="B8" s="38" t="str">
        <x:v>Build a screening → shortlist → stress → verification workflow.</x:v>
      </x:c>
      <x:c r="C8" s="38" t="str">
        <x:v>Nominal screen all 4; prune; stress only shortlist; continue targeted verification until M3 is fully qualified.</x:v>
      </x:c>
      <x:c r="D8" s="38" t="str">
        <x:v>Overall plan is reasonable but pruning or one final check is missing.</x:v>
      </x:c>
      <x:c r="E8" s="38" t="str">
        <x:v>Brute-force all membrane×case combinations or select from nominal results only.</x:v>
      </x:c>
      <x:c r="F8" s="38" t="n">
        <x:v>15</x:v>
      </x:c>
      <x:c r="G8" s="38"/>
    </x:row>
    <x:row r="9" ht="48" customHeight="1">
      <x:c r="A9" s="38" t="str">
        <x:v>TQ3 Tool-call correctness</x:v>
      </x:c>
      <x:c r="B9" s="38" t="str">
        <x:v>Use simulate_ro fairly and consistently.</x:v>
      </x:c>
      <x:c r="C9" s="38" t="str">
        <x:v>All hydraulic inputs remain fixed across membranes; only A/B and specified case salinity/temperature vary; outputs are read with correct units.</x:v>
      </x:c>
      <x:c r="D9" s="38" t="str">
        <x:v>Minor input/unit issue that does not alter elimination logic.</x:v>
      </x:c>
      <x:c r="E9" s="38" t="str">
        <x:v>Changes pressure/area across membranes or misreads units/thresholds.</x:v>
      </x:c>
      <x:c r="F9" s="38" t="n">
        <x:v>20</x:v>
      </x:c>
      <x:c r="G9" s="38"/>
    </x:row>
    <x:row r="10" ht="48" customHeight="1">
      <x:c r="A10" s="38" t="str">
        <x:v>TQ4 Observation and state update</x:v>
      </x:c>
      <x:c r="B10" s="38" t="str">
        <x:v>Maintain the shortlist correctly after every call.</x:v>
      </x:c>
      <x:c r="C10" s="38" t="str">
        <x:v>Nominal screening retains M2 and M3. High salinity eliminates M2 because permeate NaCl exceeds the limit. M3 then passes both 25°C and 35°C verification and is recommended.</x:v>
      </x:c>
      <x:c r="D10" s="38" t="str">
        <x:v>Final shortlist is correct but one elimination reason is incomplete.</x:v>
      </x:c>
      <x:c r="E10" s="38" t="str">
        <x:v>Keeps a failed membrane or eliminates a feasible membrane.</x:v>
      </x:c>
      <x:c r="F10" s="38" t="n">
        <x:v>20</x:v>
      </x:c>
      <x:c r="G10" s="38"/>
    </x:row>
    <x:row r="11" ht="48" customHeight="1">
      <x:c r="A11" s="38" t="str">
        <x:v>TQ5 Adaptive comparison and replanning</x:v>
      </x:c>
      <x:c r="B11" s="38" t="str">
        <x:v>Use each result to choose the next informative call.</x:v>
      </x:c>
      <x:c r="C11" s="38" t="str">
        <x:v>Calls are pruned adaptively; reference trajectory is about 8 simulate_ro calls.</x:v>
      </x:c>
      <x:c r="D11" s="38" t="str">
        <x:v>Some redundant calls but the sequence remains mostly evidence-driven.</x:v>
      </x:c>
      <x:c r="E11" s="38" t="str">
        <x:v>Continues testing eliminated branches or uses a fixed full grid independent of observations.</x:v>
      </x:c>
      <x:c r="F11" s="38" t="n">
        <x:v>20</x:v>
      </x:c>
      <x:c r="G11" s="38"/>
    </x:row>
    <x:row r="12" ht="48" customHeight="1">
      <x:c r="A12" s="38" t="str">
        <x:v>TQ6 Stopping and engineering decision</x:v>
      </x:c>
      <x:c r="B12" s="38" t="str">
        <x:v>Stop only after mandatory evidence is sufficient.</x:v>
      </x:c>
      <x:c r="C12" s="38" t="str">
        <x:v>Recommend M3 only after all required cases are verified; explain the A/B balance and the controlling failure modes of alternatives.</x:v>
      </x:c>
      <x:c r="D12" s="38" t="str">
        <x:v>Correct recommendation but incomplete final explanation or one missing verification.</x:v>
      </x:c>
      <x:c r="E12" s="38" t="str">
        <x:v>Wrong membrane or premature stopping.</x:v>
      </x:c>
      <x:c r="F12" s="38" t="n">
        <x:v>10</x:v>
      </x:c>
      <x:c r="G12" s="38"/>
    </x:row>
    <x:row r="13">
      <x:c r="A13" s="38"/>
      <x:c r="B13" s="38"/>
      <x:c r="C13" s="38"/>
      <x:c r="D13" s="38"/>
      <x:c r="E13" s="38"/>
      <x:c r="F13" s="57" t="str">
        <x:v>Total</x:v>
      </x:c>
      <x:c r="G13" s="57" t="n">
        <x:f>SUM(F7:F12)</x:f>
        <x:v>100</x:v>
      </x:c>
    </x:row>
  </x:sheetData>
  <x:mergeCells>
    <x:mergeCell ref="A1:G1"/>
    <x:mergeCell ref="A3:G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42" hidden="0" customWidth="1"/>
    <x:col min="4" max="4" width="34" hidden="0" customWidth="1"/>
    <x:col min="5" max="5" width="34" hidden="0" customWidth="1"/>
    <x:col min="6" max="6" width="42" hidden="0" customWidth="1"/>
    <x:col min="7" max="7" width="10" hidden="0" customWidth="1"/>
  </x:cols>
  <x:sheetData>
    <x:row r="1">
      <x:c r="A1" s="6" t="str">
        <x:v>D1-1b: Tool Usage Efficiency (100 points)</x:v>
      </x:c>
      <x:c r="B1" s="6"/>
      <x:c r="C1" s="6"/>
      <x:c r="D1" s="6"/>
      <x:c r="E1" s="6"/>
      <x:c r="F1" s="6"/>
      <x:c r="G1" s="6"/>
    </x:row>
    <x:row r="3">
      <x:c r="A3" s="78" t="str">
        <x:v>The main scientific tool is simulate_ro. The reference efficient trajectory uses about 8 calls. Count is secondary to information gain, adaptive branching, pruning, and stopping once sufficient evidence is obtained.</x:v>
      </x:c>
      <x:c r="B3" s="78"/>
      <x:c r="C3" s="78"/>
      <x:c r="D3" s="78"/>
      <x:c r="E3" s="78"/>
      <x:c r="F3" s="78"/>
      <x:c r="G3" s="78"/>
    </x:row>
    <x:row r="4">
      <x:c r="A4" s="78"/>
      <x:c r="B4" s="78"/>
      <x:c r="C4" s="78"/>
      <x:c r="D4" s="78"/>
      <x:c r="E4" s="78"/>
      <x:c r="F4" s="78"/>
      <x:c r="G4" s="78"/>
    </x:row>
    <x:row r="6">
      <x:c r="A6" s="23" t="str">
        <x:v>Efficiency dimension</x:v>
      </x:c>
      <x:c r="B6" s="23" t="str">
        <x:v>Focus</x:v>
      </x:c>
      <x:c r="C6" s="23" t="str">
        <x:v>Full-credit behavior</x:v>
      </x:c>
      <x:c r="D6" s="23" t="str">
        <x:v>Medium</x:v>
      </x:c>
      <x:c r="E6" s="23" t="str">
        <x:v>Low</x:v>
      </x:c>
      <x:c r="F6" s="23" t="str">
        <x:v>Item-specific observation</x:v>
      </x:c>
      <x:c r="G6" s="23" t="str">
        <x:v>Points</x:v>
      </x:c>
    </x:row>
    <x:row r="7" ht="46" customHeight="1">
      <x:c r="A7" s="38" t="str">
        <x:v>E1 Tool choice</x:v>
      </x:c>
      <x:c r="B7" s="38" t="str">
        <x:v>Use the correct scientific tool and avoid irrelevant tools.</x:v>
      </x:c>
      <x:c r="C7" s="38" t="str">
        <x:v>Use simulate_ro for fair membrane comparison; no whole-plant or chemistry tools are needed.</x:v>
      </x:c>
      <x:c r="D7" s="38" t="str">
        <x:v>A few unnecessary metadata/probe calls.</x:v>
      </x:c>
      <x:c r="E7" s="38" t="str">
        <x:v>Wrong tool or many unrelated calls.</x:v>
      </x:c>
      <x:c r="F7" s="38" t="str">
        <x:v>All candidates share the same fixed hydraulic design.</x:v>
      </x:c>
      <x:c r="G7" s="38" t="n">
        <x:v>20</x:v>
      </x:c>
    </x:row>
    <x:row r="8" ht="46" customHeight="1">
      <x:c r="A8" s="38" t="str">
        <x:v>E2 Information gain and order</x:v>
      </x:c>
      <x:c r="B8" s="38" t="str">
        <x:v>Acquire discriminating information early.</x:v>
      </x:c>
      <x:c r="C8" s="38" t="str">
        <x:v>Start with nominal screening, then stress only feasible candidates.</x:v>
      </x:c>
      <x:c r="D8" s="38" t="str">
        <x:v>Mostly reasonable with some low-value calls.</x:v>
      </x:c>
      <x:c r="E8" s="38" t="str">
        <x:v>Dense all-case enumeration from the start.</x:v>
      </x:c>
      <x:c r="F8" s="38" t="str">
        <x:v>Nominal screening provides the first major pruning step.</x:v>
      </x:c>
      <x:c r="G8" s="38" t="n">
        <x:v>20</x:v>
      </x:c>
    </x:row>
    <x:row r="9" ht="46" customHeight="1">
      <x:c r="A9" s="38" t="str">
        <x:v>E3 Adaptive iteration</x:v>
      </x:c>
      <x:c r="B9" s="38" t="str">
        <x:v>Make each next call depend on observed pass/fail status.</x:v>
      </x:c>
      <x:c r="C9" s="38" t="str">
        <x:v>Shortlist determines stress calls; stress outcomes determine temperature verification.</x:v>
      </x:c>
      <x:c r="D9" s="38" t="str">
        <x:v>Partly adaptive but mixed with preplanned enumeration.</x:v>
      </x:c>
      <x:c r="E9" s="38" t="str">
        <x:v>Call sequence is almost independent of observations.</x:v>
      </x:c>
      <x:c r="F9" s="38" t="str">
        <x:v>Nominal screening retains M2 and M3. High salinity eliminates M2 because permeate NaCl exceeds the limit. M3 then passes both 25°C and 35°C verification and is recommended.</x:v>
      </x:c>
      <x:c r="G9" s="38" t="n">
        <x:v>20</x:v>
      </x:c>
    </x:row>
    <x:row r="10" ht="46" customHeight="1">
      <x:c r="A10" s="38" t="str">
        <x:v>E4 Pruning and redundancy</x:v>
      </x:c>
      <x:c r="B10" s="38" t="str">
        <x:v>Stop failed branches promptly.</x:v>
      </x:c>
      <x:c r="C10" s="38" t="str">
        <x:v>No further tests after a candidate has enough evidence to fail; no duplicate equivalent inputs.</x:v>
      </x:c>
      <x:c r="D10" s="38" t="str">
        <x:v>One or two redundant tests.</x:v>
      </x:c>
      <x:c r="E10" s="38" t="str">
        <x:v>Repeatedly tests eliminated membranes.</x:v>
      </x:c>
      <x:c r="F10" s="38" t="str">
        <x:v>Pruning pattern should match the decision log.</x:v>
      </x:c>
      <x:c r="G10" s="38" t="n">
        <x:v>20</x:v>
      </x:c>
    </x:row>
    <x:row r="11" ht="46" customHeight="1">
      <x:c r="A11" s="38" t="str">
        <x:v>E5 Convergence and stopping</x:v>
      </x:c>
      <x:c r="B11" s="38" t="str">
        <x:v>Reach sufficient evidence with a reasonable budget.</x:v>
      </x:c>
      <x:c r="C11" s="38" t="str">
        <x:v>About 7–9 calls with complete evidence and little redundancy.</x:v>
      </x:c>
      <x:c r="D11" s="38" t="str">
        <x:v>10–12 calls with some redundancy.</x:v>
      </x:c>
      <x:c r="E11" s="38" t="str">
        <x:v>Many redundant calls, or too few calls to support the final decision.</x:v>
      </x:c>
      <x:c r="F11" s="38" t="str">
        <x:v>Reference trajectory ≈ 8 calls.</x:v>
      </x:c>
      <x:c r="G11" s="38" t="n">
        <x:v>20</x:v>
      </x:c>
    </x:row>
    <x:row r="12">
      <x:c r="A12" s="38"/>
      <x:c r="B12" s="38"/>
      <x:c r="C12" s="38"/>
      <x:c r="D12" s="38"/>
      <x:c r="E12" s="38"/>
      <x:c r="F12" s="57" t="str">
        <x:v>Total</x:v>
      </x:c>
      <x:c r="G12" s="57" t="n">
        <x:f>SUM(G7:G11)</x:f>
        <x:v>100</x:v>
      </x:c>
    </x:row>
  </x:sheetData>
  <x:mergeCells>
    <x:mergeCell ref="A1:G1"/>
    <x:mergeCell ref="A3:G4"/>
  </x:mergeCells>
  <x:pageMargins left="0.7" right="0.7" top="0.75" bottom="0.75" header="0.3" footer="0.3"/>
</x:worksheet>
</file>