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4704fdb3bc704c05" /></Relationships>
</file>

<file path=xl/workbook.xml><?xml version="1.0" encoding="utf-8"?>
<x:workbook xmlns:x="http://schemas.openxmlformats.org/spreadsheetml/2006/main">
  <x:sheets>
    <x:sheet xmlns:r="http://schemas.openxmlformats.org/officeDocument/2006/relationships" name="Question_Q" sheetId="1" r:id="Rc8c3dd0744ee404f"/>
    <x:sheet xmlns:r="http://schemas.openxmlformats.org/officeDocument/2006/relationships" name="Gold_Answer_A" sheetId="2" r:id="Rf801bd7e26614120"/>
    <x:sheet xmlns:r="http://schemas.openxmlformats.org/officeDocument/2006/relationships" name="Trajectory_Rubric" sheetId="3" r:id="Rc26199c4ddc94cfb"/>
    <x:sheet xmlns:r="http://schemas.openxmlformats.org/officeDocument/2006/relationships" name="Tool_Efficiency" sheetId="4" r:id="R9bbc6e71688b4274"/>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0.000"/>
    <x:numFmt numFmtId="201" formatCode="0.000000"/>
    <x:numFmt numFmtId="202" formatCode="#,##0.000"/>
  </x:numFmts>
  <x:fonts count="7">
    <x:font>
      <x:sz val="11"/>
      <x:name val="Carlito"/>
    </x:font>
    <x:font>
      <x:b/>
      <x:sz val="16"/>
      <x:color rgb="FFFFFFFF"/>
      <x:name val="Carlito"/>
    </x:font>
    <x:font>
      <x:b/>
      <x:sz val="12"/>
      <x:color rgb="FF173B65"/>
      <x:name val="Carlito"/>
    </x:font>
    <x:font>
      <x:b/>
      <x:sz val="11"/>
      <x:color rgb="FF173B65"/>
      <x:name val="Carlito"/>
    </x:font>
    <x:font>
      <x:b/>
      <x:sz val="11"/>
      <x:color rgb="FFFFFFFF"/>
      <x:name val="Carlito"/>
    </x:font>
    <x:font>
      <x:sz val="11"/>
      <x:color rgb="FF9C6500"/>
      <x:name val="Carlito"/>
    </x:font>
    <x:font>
      <x:b/>
      <x:sz val="11"/>
      <x:color rgb="FF375623"/>
      <x:name val="Carlito"/>
    </x:font>
  </x:fonts>
  <x:fills count="8">
    <x:fill>
      <x:patternFill patternType="none"/>
    </x:fill>
    <x:fill>
      <x:patternFill patternType="gray125"/>
    </x:fill>
    <x:fill>
      <x:patternFill patternType="solid">
        <x:fgColor rgb="FF173B65"/>
      </x:patternFill>
    </x:fill>
    <x:fill>
      <x:patternFill patternType="solid">
        <x:fgColor rgb="FFEAF2F8"/>
      </x:patternFill>
    </x:fill>
    <x:fill>
      <x:patternFill patternType="solid">
        <x:fgColor rgb="FFDDEBF7"/>
      </x:patternFill>
    </x:fill>
    <x:fill>
      <x:patternFill patternType="solid">
        <x:fgColor rgb="FF2F75B5"/>
      </x:patternFill>
    </x:fill>
    <x:fill>
      <x:patternFill patternType="solid">
        <x:fgColor rgb="FFFFF2CC"/>
      </x:patternFill>
    </x:fill>
    <x:fill>
      <x:patternFill patternType="solid">
        <x:fgColor rgb="FFE2F0D9"/>
      </x:patternFill>
    </x:fill>
  </x:fills>
  <x:borders count="2">
    <x:border/>
    <x:border>
      <x:left style="thin">
        <x:color rgb="FFD9E2F3"/>
      </x:left>
      <x:right style="thin">
        <x:color rgb="FFD9E2F3"/>
      </x:right>
      <x:top style="thin">
        <x:color rgb="FFD9E2F3"/>
      </x:top>
      <x:bottom style="thin">
        <x:color rgb="FFD9E2F3"/>
      </x:bottom>
    </x:border>
  </x:borders>
  <x:cellStyleXfs count="1">
    <x:xf numFmtId="0" fontId="0" fillId="0" borderId="0"/>
  </x:cellStyleXfs>
  <x:cellXfs count="33">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vertical="center"/>
    </x:xf>
    <x:xf numFmtId="0" fontId="0" fillId="5" borderId="0" xfId="0" applyNumberFormat="1" applyFont="1" applyFill="1" applyBorder="1"/>
    <x:xf numFmtId="0" fontId="4" fillId="5" borderId="0" xfId="0" applyNumberFormat="1" applyFont="1" applyFill="1" applyBorder="1"/>
    <x:xf numFmtId="0" fontId="4" fillId="5" borderId="1" xfId="0" applyNumberFormat="1" applyFont="1" applyFill="1" applyBorder="1"/>
    <x:xf numFmtId="0" fontId="4" fillId="5" borderId="1" xfId="0" applyNumberFormat="1" applyFont="1" applyFill="1" applyBorder="1" applyAlignment="1">
      <x:alignment wrapText="1"/>
    </x:xf>
    <x:xf numFmtId="0" fontId="4" fillId="5" borderId="1" xfId="0" applyNumberFormat="1" applyFont="1" applyFill="1" applyBorder="1" applyAlignment="1">
      <x:alignment horizontal="center" wrapText="1"/>
    </x:xf>
    <x:xf numFmtId="0" fontId="4" fillId="5" borderId="1" xfId="0" applyNumberFormat="1" applyFont="1" applyFill="1" applyBorder="1" applyAlignment="1">
      <x:alignment horizontal="center" vertical="center" wrapText="1"/>
    </x:xf>
    <x:xf numFmtId="0" fontId="0" fillId="0" borderId="1" xfId="0" applyNumberFormat="1" applyFont="1" applyFill="1" applyBorder="1"/>
    <x:xf numFmtId="0" fontId="0" fillId="0" borderId="1" xfId="0" applyNumberFormat="1" applyFont="1" applyFill="1" applyBorder="1" applyAlignment="1">
      <x:alignment wrapText="1"/>
    </x:xf>
    <x:xf numFmtId="0" fontId="0" fillId="0" borderId="1" xfId="0" applyNumberFormat="1" applyFont="1" applyFill="1" applyBorder="1" applyAlignment="1">
      <x:alignment vertical="center" wrapText="1"/>
    </x:xf>
    <x:xf numFmtId="200" fontId="0" fillId="0" borderId="1" xfId="0" applyNumberFormat="1" applyFont="1" applyFill="1" applyBorder="1" applyAlignment="1">
      <x:alignment vertical="center" wrapText="1"/>
    </x:xf>
    <x:xf numFmtId="0" fontId="0" fillId="6" borderId="0" xfId="0" applyNumberFormat="1" applyFont="1" applyFill="1" applyBorder="1"/>
    <x:xf numFmtId="0" fontId="5" fillId="6" borderId="0" xfId="0" applyNumberFormat="1" applyFont="1" applyFill="1" applyBorder="1"/>
    <x:xf numFmtId="0" fontId="5" fillId="6" borderId="0" xfId="0" applyNumberFormat="1" applyFont="1" applyFill="1" applyBorder="1" applyAlignment="1">
      <x:alignment wrapText="1"/>
    </x:xf>
    <x:xf numFmtId="0" fontId="5" fillId="6" borderId="0" xfId="0" applyNumberFormat="1" applyFont="1" applyFill="1" applyBorder="1" applyAlignment="1">
      <x:alignment vertical="center" wrapText="1"/>
    </x:xf>
    <x:xf numFmtId="0" fontId="0" fillId="7" borderId="0" xfId="0" applyNumberFormat="1" applyFont="1" applyFill="1" applyBorder="1"/>
    <x:xf numFmtId="0" fontId="6" fillId="7" borderId="0" xfId="0" applyNumberFormat="1" applyFont="1" applyFill="1" applyBorder="1"/>
    <x:xf numFmtId="0" fontId="6" fillId="7" borderId="0" xfId="0" applyNumberFormat="1" applyFont="1" applyFill="1" applyBorder="1" applyAlignment="1">
      <x:alignment wrapText="1"/>
    </x:xf>
    <x:xf numFmtId="0" fontId="6" fillId="7" borderId="0" xfId="0" applyNumberFormat="1" applyFont="1" applyFill="1" applyBorder="1" applyAlignment="1">
      <x:alignment vertical="center" wrapText="1"/>
    </x:xf>
    <x:xf numFmtId="201" fontId="0" fillId="0" borderId="1" xfId="0" applyNumberFormat="1" applyFont="1" applyFill="1" applyBorder="1" applyAlignment="1">
      <x:alignment vertical="center" wrapText="1"/>
    </x:xf>
    <x:xf numFmtId="202" fontId="0" fillId="0" borderId="1" xfId="0" applyNumberFormat="1" applyFont="1" applyFill="1" applyBorder="1" applyAlignment="1">
      <x:alignment vertical="center" wrapText="1"/>
    </x:xf>
    <x:xf numFmtId="0" fontId="6" fillId="7" borderId="0" xfId="0" applyNumberFormat="1" applyFont="1" applyFill="1" applyBorder="1" applyAlignment="1">
      <x:alignment horizontal="right"/>
    </x:xf>
  </x:cellXfs>
  <x:cellStyles count="1">
    <x:cellStyle name="Normal" xfId="0"/>
  </x:cellStyles>
  <x:dxfs count="3">
    <x:dxf>
      <x:font>
        <x:b/>
        <x:color rgb="FF375623"/>
      </x:font>
      <x:fill>
        <x:patternFill patternType="solid">
          <x:bgColor rgb="FFE2F0D9"/>
        </x:patternFill>
      </x:fill>
    </x:dxf>
    <x:dxf>
      <x:font>
        <x:b/>
        <x:color rgb="FFC00000"/>
      </x:font>
      <x:fill>
        <x:patternFill patternType="solid">
          <x:bgColor rgb="FFFCE4D6"/>
        </x:patternFill>
      </x:fill>
    </x:dxf>
    <x:dxf>
      <x:font>
        <x:b/>
        <x:color rgb="FF9C6500"/>
      </x:font>
      <x:fill>
        <x:patternFill patternType="solid">
          <x:bgColor rgb="FFFFF2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2435d71699f04ed3" /><Relationship Type="http://schemas.openxmlformats.org/officeDocument/2006/relationships/theme" Target="/xl/theme/theme1.xml" Id="Rc8c420088884415f" /><Relationship Type="http://schemas.openxmlformats.org/officeDocument/2006/relationships/sharedStrings" Target="/xl/sharedStrings.xml" Id="Rc8fce8d3d2114075" /><Relationship Type="http://schemas.openxmlformats.org/officeDocument/2006/relationships/worksheet" Target="/xl/worksheets/sheet1.xml" Id="Rc8c3dd0744ee404f" /><Relationship Type="http://schemas.openxmlformats.org/officeDocument/2006/relationships/worksheet" Target="/xl/worksheets/sheet2.xml" Id="Rf801bd7e26614120" /><Relationship Type="http://schemas.openxmlformats.org/officeDocument/2006/relationships/worksheet" Target="/xl/worksheets/sheet3.xml" Id="Rc26199c4ddc94cfb" /><Relationship Type="http://schemas.openxmlformats.org/officeDocument/2006/relationships/worksheet" Target="/xl/worksheets/sheet4.xml" Id="R9bbc6e71688b4274" /></Relationships>
</file>

<file path=xl/drawings/_rels/drawing1.xml.rels>&#65279;<?xml version="1.0" encoding="utf-8"?><Relationships xmlns="http://schemas.openxmlformats.org/package/2006/relationships"><Relationship Type="http://schemas.openxmlformats.org/officeDocument/2006/relationships/chart" Target="/xl/drawings/charts/chart1.xml" Id="R683528e78e2a4101"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Higher PX efficiency lowers SEC</a:t>
            </a:r>
          </a:p>
        </c:rich>
      </c:tx>
      <c:overlay val="0"/>
    </c:title>
    <c:plotArea>
      <c:lineChart>
        <c:grouping val="standard"/>
        <c:varyColors val="0"/>
        <c:ser>
          <c:idx val="0"/>
          <c:order val="0"/>
          <c:tx>
            <c:v>SEC</c:v>
          </c:tx>
          <c:marker>
            <c:symbol val="none"/>
          </c:marker>
          <c:cat>
            <c:strRef>
              <c:f>'Gold_Answer_A'!$Q$20:$Q$27</c:f>
              <c:strCache>
                <c:ptCount val="0"/>
              </c:strCache>
            </c:strRef>
          </c:cat>
          <c:val>
            <c:numRef>
              <c:f>'Gold_Answer_A'!$R$20:$R$27</c:f>
              <c:numCache>
                <c:formatCode>0.00</c:formatCode>
                <c:ptCount val="0"/>
              </c:numCache>
            </c:numRef>
          </c:val>
          <c:smooth val="0"/>
        </c:ser>
        <c:ser>
          <c:idx val="1"/>
          <c:order val="1"/>
          <c:tx>
            <c:v>Recommended limit</c:v>
          </c:tx>
          <c:marker>
            <c:symbol val="none"/>
          </c:marker>
          <c:cat>
            <c:strRef>
              <c:f>'Gold_Answer_A'!$Q$20:$Q$27</c:f>
              <c:strCache>
                <c:ptCount val="0"/>
              </c:strCache>
            </c:strRef>
          </c:cat>
          <c:val>
            <c:numRef>
              <c:f>'Gold_Answer_A'!$S$20:$S$27</c:f>
              <c:numCache>
                <c:formatCode>0.00</c:formatCode>
                <c:ptCount val="0"/>
              </c:numCache>
            </c:numRef>
          </c:val>
          <c:smooth val="0"/>
        </c:ser>
        <c:smooth val="0"/>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00"/>
        <c:majorTickMark val="none"/>
        <c:minorTickMark val="none"/>
        <c:crossAx val="48650112"/>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8</xdr:col>
      <xdr:colOff>0</xdr:colOff>
      <xdr:row>7</xdr:row>
      <xdr:rowOff>0</xdr:rowOff>
    </xdr:from>
    <xdr:to>
      <xdr:col>15</xdr:col>
      <xdr:colOff>0</xdr:colOff>
      <xdr:row>16</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683528e78e2a4101"/>
        </a:graphicData>
      </a:graphic>
    </xdr:graphicFrame>
    <xdr:clientData/>
  </xdr:twoCellAnchor>
</xdr:wsDr>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drawing" Target="/xl/drawings/drawing1.xml" Id="R7cdf2850eed44466" /></Relationships>
</file>

<file path=xl/worksheets/sheet1.xml><?xml version="1.0" encoding="utf-8"?>
<x:worksheet xmlns:x="http://schemas.openxmlformats.org/spreadsheetml/2006/main">
  <x:sheetViews>
    <x:sheetView showGridLines="0" workbookViewId="0"/>
  </x:sheetViews>
  <x:sheetFormatPr defaultRowHeight="15"/>
  <x:cols>
    <x:col min="1" max="1" width="25" hidden="0" customWidth="1"/>
    <x:col min="2" max="2" width="20" hidden="0" customWidth="1"/>
    <x:col min="3" max="3" width="16" hidden="0" customWidth="1"/>
    <x:col min="4" max="4" width="35" hidden="0" customWidth="1"/>
    <x:col min="5" max="5" width="4" hidden="0" customWidth="1"/>
    <x:col min="6" max="6" width="28" hidden="0" customWidth="1"/>
    <x:col min="7" max="7" width="36" hidden="0" customWidth="1"/>
    <x:col min="8" max="8" width="42" hidden="0" customWidth="1"/>
  </x:cols>
  <x:sheetData>
    <x:row r="1" ht="26" customHeight="1">
      <x:c r="A1" s="4" t="str">
        <x:v>D3-3a: RO Concentrate Pressure-Energy Recovery, PX Efficiency Limits and PAT Model QA</x:v>
      </x:c>
      <x:c r="B1" s="4" t="str">
        <x:v>D3-3a: RO Concentrate Pressure-Energy Recovery, PX Efficiency Limits and PAT Model QA</x:v>
      </x:c>
      <x:c r="C1" s="4" t="str">
        <x:v>D3-3a: RO Concentrate Pressure-Energy Recovery, PX Efficiency Limits and PAT Model QA</x:v>
      </x:c>
      <x:c r="D1" s="4" t="str">
        <x:v>D3-3a: RO Concentrate Pressure-Energy Recovery, PX Efficiency Limits and PAT Model QA</x:v>
      </x:c>
      <x:c r="E1" s="4" t="str">
        <x:v>D3-3a: RO Concentrate Pressure-Energy Recovery, PX Efficiency Limits and PAT Model QA</x:v>
      </x:c>
      <x:c r="F1" s="4" t="str">
        <x:v>D3-3a: RO Concentrate Pressure-Energy Recovery, PX Efficiency Limits and PAT Model QA</x:v>
      </x:c>
      <x:c r="G1" s="4" t="str">
        <x:v>D3-3a: RO Concentrate Pressure-Energy Recovery, PX Efficiency Limits and PAT Model QA</x:v>
      </x:c>
      <x:c r="H1" s="4" t="str">
        <x:v>D3-3a: RO Concentrate Pressure-Energy Recovery, PX Efficiency Limits and PAT Model QA</x:v>
      </x:c>
    </x:row>
    <x:row r="2" ht="26" customHeight="1">
      <x:c r="A2" s="4" t="str">
        <x:v>D3-3a: RO Concentrate Pressure-Energy Recovery, PX Efficiency Limits and PAT Model QA</x:v>
      </x:c>
      <x:c r="B2" s="4" t="str">
        <x:v>D3-3a: RO Concentrate Pressure-Energy Recovery, PX Efficiency Limits and PAT Model QA</x:v>
      </x:c>
      <x:c r="C2" s="4" t="str">
        <x:v>D3-3a: RO Concentrate Pressure-Energy Recovery, PX Efficiency Limits and PAT Model QA</x:v>
      </x:c>
      <x:c r="D2" s="4" t="str">
        <x:v>D3-3a: RO Concentrate Pressure-Energy Recovery, PX Efficiency Limits and PAT Model QA</x:v>
      </x:c>
      <x:c r="E2" s="4" t="str">
        <x:v>D3-3a: RO Concentrate Pressure-Energy Recovery, PX Efficiency Limits and PAT Model QA</x:v>
      </x:c>
      <x:c r="F2" s="4" t="str">
        <x:v>D3-3a: RO Concentrate Pressure-Energy Recovery, PX Efficiency Limits and PAT Model QA</x:v>
      </x:c>
      <x:c r="G2" s="4" t="str">
        <x:v>D3-3a: RO Concentrate Pressure-Energy Recovery, PX Efficiency Limits and PAT Model QA</x:v>
      </x:c>
      <x:c r="H2" s="4" t="str">
        <x:v>D3-3a: RO Concentrate Pressure-Energy Recovery, PX Efficiency Limits and PAT Model QA</x:v>
      </x:c>
    </x:row>
    <x:row r="4" ht="25" customHeight="1">
      <x:c r="A4" s="8" t="str">
        <x:v>A medium single-pass SWRO train has stable production but rising electricity use, suggesting internal leakage or mixing in the PX. Use the full-plant simulate_swro_system. Hold membrane, pressure, flow and pump efficiencies fixed, and vary only pxr_efficiency to find (1) the minimum basic efficiency meeting SEC ≤ 3.10 kWh/m³ and (2) the minimum recommended efficiency meeting SEC ≤ 3.00 kWh/m³. Prove both with adjacent 0.001-efficiency points. Then calculate the concentrate's available hydraulic power from brine flow and measured ERD differential pressure, the equivalent recoverable power and unrecovered loss at the recommendation; quantify the change in net power, daily energy and annual energy when PX efficiency is restored from 0.85 to the recommendation. Finally run pump_as_turbine at efficiencies 0.85 and 0.90 as a model-QA check and judge whether this version is suitable for PAT efficiency–SEC sensitivity analysis.</x:v>
      </x:c>
      <x:c r="B4" s="8" t="str">
        <x:v>A medium single-pass SWRO train has stable production but rising electricity use, suggesting internal leakage or mixing in the PX. Use the full-plant simulate_swro_system. Hold membrane, pressure, flow and pump efficiencies fixed, and vary only pxr_efficiency to find (1) the minimum basic efficiency meeting SEC ≤ 3.10 kWh/m³ and (2) the minimum recommended efficiency meeting SEC ≤ 3.00 kWh/m³. Prove both with adjacent 0.001-efficiency points. Then calculate the concentrate's available hydraulic power from brine flow and measured ERD differential pressure, the equivalent recoverable power and unrecovered loss at the recommendation; quantify the change in net power, daily energy and annual energy when PX efficiency is restored from 0.85 to the recommendation. Finally run pump_as_turbine at efficiencies 0.85 and 0.90 as a model-QA check and judge whether this version is suitable for PAT efficiency–SEC sensitivity analysis.</x:v>
      </x:c>
      <x:c r="C4" s="8" t="str">
        <x:v>A medium single-pass SWRO train has stable production but rising electricity use, suggesting internal leakage or mixing in the PX. Use the full-plant simulate_swro_system. Hold membrane, pressure, flow and pump efficiencies fixed, and vary only pxr_efficiency to find (1) the minimum basic efficiency meeting SEC ≤ 3.10 kWh/m³ and (2) the minimum recommended efficiency meeting SEC ≤ 3.00 kWh/m³. Prove both with adjacent 0.001-efficiency points. Then calculate the concentrate's available hydraulic power from brine flow and measured ERD differential pressure, the equivalent recoverable power and unrecovered loss at the recommendation; quantify the change in net power, daily energy and annual energy when PX efficiency is restored from 0.85 to the recommendation. Finally run pump_as_turbine at efficiencies 0.85 and 0.90 as a model-QA check and judge whether this version is suitable for PAT efficiency–SEC sensitivity analysis.</x:v>
      </x:c>
      <x:c r="D4" s="8" t="str">
        <x:v>A medium single-pass SWRO train has stable production but rising electricity use, suggesting internal leakage or mixing in the PX. Use the full-plant simulate_swro_system. Hold membrane, pressure, flow and pump efficiencies fixed, and vary only pxr_efficiency to find (1) the minimum basic efficiency meeting SEC ≤ 3.10 kWh/m³ and (2) the minimum recommended efficiency meeting SEC ≤ 3.00 kWh/m³. Prove both with adjacent 0.001-efficiency points. Then calculate the concentrate's available hydraulic power from brine flow and measured ERD differential pressure, the equivalent recoverable power and unrecovered loss at the recommendation; quantify the change in net power, daily energy and annual energy when PX efficiency is restored from 0.85 to the recommendation. Finally run pump_as_turbine at efficiencies 0.85 and 0.90 as a model-QA check and judge whether this version is suitable for PAT efficiency–SEC sensitivity analysis.</x:v>
      </x:c>
      <x:c r="E4" s="8" t="str">
        <x:v>A medium single-pass SWRO train has stable production but rising electricity use, suggesting internal leakage or mixing in the PX. Use the full-plant simulate_swro_system. Hold membrane, pressure, flow and pump efficiencies fixed, and vary only pxr_efficiency to find (1) the minimum basic efficiency meeting SEC ≤ 3.10 kWh/m³ and (2) the minimum recommended efficiency meeting SEC ≤ 3.00 kWh/m³. Prove both with adjacent 0.001-efficiency points. Then calculate the concentrate's available hydraulic power from brine flow and measured ERD differential pressure, the equivalent recoverable power and unrecovered loss at the recommendation; quantify the change in net power, daily energy and annual energy when PX efficiency is restored from 0.85 to the recommendation. Finally run pump_as_turbine at efficiencies 0.85 and 0.90 as a model-QA check and judge whether this version is suitable for PAT efficiency–SEC sensitivity analysis.</x:v>
      </x:c>
      <x:c r="F4" s="8" t="str">
        <x:v>A medium single-pass SWRO train has stable production but rising electricity use, suggesting internal leakage or mixing in the PX. Use the full-plant simulate_swro_system. Hold membrane, pressure, flow and pump efficiencies fixed, and vary only pxr_efficiency to find (1) the minimum basic efficiency meeting SEC ≤ 3.10 kWh/m³ and (2) the minimum recommended efficiency meeting SEC ≤ 3.00 kWh/m³. Prove both with adjacent 0.001-efficiency points. Then calculate the concentrate's available hydraulic power from brine flow and measured ERD differential pressure, the equivalent recoverable power and unrecovered loss at the recommendation; quantify the change in net power, daily energy and annual energy when PX efficiency is restored from 0.85 to the recommendation. Finally run pump_as_turbine at efficiencies 0.85 and 0.90 as a model-QA check and judge whether this version is suitable for PAT efficiency–SEC sensitivity analysis.</x:v>
      </x:c>
      <x:c r="G4" s="8" t="str">
        <x:v>A medium single-pass SWRO train has stable production but rising electricity use, suggesting internal leakage or mixing in the PX. Use the full-plant simulate_swro_system. Hold membrane, pressure, flow and pump efficiencies fixed, and vary only pxr_efficiency to find (1) the minimum basic efficiency meeting SEC ≤ 3.10 kWh/m³ and (2) the minimum recommended efficiency meeting SEC ≤ 3.00 kWh/m³. Prove both with adjacent 0.001-efficiency points. Then calculate the concentrate's available hydraulic power from brine flow and measured ERD differential pressure, the equivalent recoverable power and unrecovered loss at the recommendation; quantify the change in net power, daily energy and annual energy when PX efficiency is restored from 0.85 to the recommendation. Finally run pump_as_turbine at efficiencies 0.85 and 0.90 as a model-QA check and judge whether this version is suitable for PAT efficiency–SEC sensitivity analysis.</x:v>
      </x:c>
      <x:c r="H4" s="8" t="str">
        <x:v>A medium single-pass SWRO train has stable production but rising electricity use, suggesting internal leakage or mixing in the PX. Use the full-plant simulate_swro_system. Hold membrane, pressure, flow and pump efficiencies fixed, and vary only pxr_efficiency to find (1) the minimum basic efficiency meeting SEC ≤ 3.10 kWh/m³ and (2) the minimum recommended efficiency meeting SEC ≤ 3.00 kWh/m³. Prove both with adjacent 0.001-efficiency points. Then calculate the concentrate's available hydraulic power from brine flow and measured ERD differential pressure, the equivalent recoverable power and unrecovered loss at the recommendation; quantify the change in net power, daily energy and annual energy when PX efficiency is restored from 0.85 to the recommendation. Finally run pump_as_turbine at efficiencies 0.85 and 0.90 as a model-QA check and judge whether this version is suitable for PAT efficiency–SEC sensitivity analysis.</x:v>
      </x:c>
    </x:row>
    <x:row r="5" ht="25" customHeight="1">
      <x:c r="A5" s="8" t="str">
        <x:v>A medium single-pass SWRO train has stable production but rising electricity use, suggesting internal leakage or mixing in the PX. Use the full-plant simulate_swro_system. Hold membrane, pressure, flow and pump efficiencies fixed, and vary only pxr_efficiency to find (1) the minimum basic efficiency meeting SEC ≤ 3.10 kWh/m³ and (2) the minimum recommended efficiency meeting SEC ≤ 3.00 kWh/m³. Prove both with adjacent 0.001-efficiency points. Then calculate the concentrate's available hydraulic power from brine flow and measured ERD differential pressure, the equivalent recoverable power and unrecovered loss at the recommendation; quantify the change in net power, daily energy and annual energy when PX efficiency is restored from 0.85 to the recommendation. Finally run pump_as_turbine at efficiencies 0.85 and 0.90 as a model-QA check and judge whether this version is suitable for PAT efficiency–SEC sensitivity analysis.</x:v>
      </x:c>
      <x:c r="B5" s="8" t="str">
        <x:v>A medium single-pass SWRO train has stable production but rising electricity use, suggesting internal leakage or mixing in the PX. Use the full-plant simulate_swro_system. Hold membrane, pressure, flow and pump efficiencies fixed, and vary only pxr_efficiency to find (1) the minimum basic efficiency meeting SEC ≤ 3.10 kWh/m³ and (2) the minimum recommended efficiency meeting SEC ≤ 3.00 kWh/m³. Prove both with adjacent 0.001-efficiency points. Then calculate the concentrate's available hydraulic power from brine flow and measured ERD differential pressure, the equivalent recoverable power and unrecovered loss at the recommendation; quantify the change in net power, daily energy and annual energy when PX efficiency is restored from 0.85 to the recommendation. Finally run pump_as_turbine at efficiencies 0.85 and 0.90 as a model-QA check and judge whether this version is suitable for PAT efficiency–SEC sensitivity analysis.</x:v>
      </x:c>
      <x:c r="C5" s="8" t="str">
        <x:v>A medium single-pass SWRO train has stable production but rising electricity use, suggesting internal leakage or mixing in the PX. Use the full-plant simulate_swro_system. Hold membrane, pressure, flow and pump efficiencies fixed, and vary only pxr_efficiency to find (1) the minimum basic efficiency meeting SEC ≤ 3.10 kWh/m³ and (2) the minimum recommended efficiency meeting SEC ≤ 3.00 kWh/m³. Prove both with adjacent 0.001-efficiency points. Then calculate the concentrate's available hydraulic power from brine flow and measured ERD differential pressure, the equivalent recoverable power and unrecovered loss at the recommendation; quantify the change in net power, daily energy and annual energy when PX efficiency is restored from 0.85 to the recommendation. Finally run pump_as_turbine at efficiencies 0.85 and 0.90 as a model-QA check and judge whether this version is suitable for PAT efficiency–SEC sensitivity analysis.</x:v>
      </x:c>
      <x:c r="D5" s="8" t="str">
        <x:v>A medium single-pass SWRO train has stable production but rising electricity use, suggesting internal leakage or mixing in the PX. Use the full-plant simulate_swro_system. Hold membrane, pressure, flow and pump efficiencies fixed, and vary only pxr_efficiency to find (1) the minimum basic efficiency meeting SEC ≤ 3.10 kWh/m³ and (2) the minimum recommended efficiency meeting SEC ≤ 3.00 kWh/m³. Prove both with adjacent 0.001-efficiency points. Then calculate the concentrate's available hydraulic power from brine flow and measured ERD differential pressure, the equivalent recoverable power and unrecovered loss at the recommendation; quantify the change in net power, daily energy and annual energy when PX efficiency is restored from 0.85 to the recommendation. Finally run pump_as_turbine at efficiencies 0.85 and 0.90 as a model-QA check and judge whether this version is suitable for PAT efficiency–SEC sensitivity analysis.</x:v>
      </x:c>
      <x:c r="E5" s="8" t="str">
        <x:v>A medium single-pass SWRO train has stable production but rising electricity use, suggesting internal leakage or mixing in the PX. Use the full-plant simulate_swro_system. Hold membrane, pressure, flow and pump efficiencies fixed, and vary only pxr_efficiency to find (1) the minimum basic efficiency meeting SEC ≤ 3.10 kWh/m³ and (2) the minimum recommended efficiency meeting SEC ≤ 3.00 kWh/m³. Prove both with adjacent 0.001-efficiency points. Then calculate the concentrate's available hydraulic power from brine flow and measured ERD differential pressure, the equivalent recoverable power and unrecovered loss at the recommendation; quantify the change in net power, daily energy and annual energy when PX efficiency is restored from 0.85 to the recommendation. Finally run pump_as_turbine at efficiencies 0.85 and 0.90 as a model-QA check and judge whether this version is suitable for PAT efficiency–SEC sensitivity analysis.</x:v>
      </x:c>
      <x:c r="F5" s="8" t="str">
        <x:v>A medium single-pass SWRO train has stable production but rising electricity use, suggesting internal leakage or mixing in the PX. Use the full-plant simulate_swro_system. Hold membrane, pressure, flow and pump efficiencies fixed, and vary only pxr_efficiency to find (1) the minimum basic efficiency meeting SEC ≤ 3.10 kWh/m³ and (2) the minimum recommended efficiency meeting SEC ≤ 3.00 kWh/m³. Prove both with adjacent 0.001-efficiency points. Then calculate the concentrate's available hydraulic power from brine flow and measured ERD differential pressure, the equivalent recoverable power and unrecovered loss at the recommendation; quantify the change in net power, daily energy and annual energy when PX efficiency is restored from 0.85 to the recommendation. Finally run pump_as_turbine at efficiencies 0.85 and 0.90 as a model-QA check and judge whether this version is suitable for PAT efficiency–SEC sensitivity analysis.</x:v>
      </x:c>
      <x:c r="G5" s="8" t="str">
        <x:v>A medium single-pass SWRO train has stable production but rising electricity use, suggesting internal leakage or mixing in the PX. Use the full-plant simulate_swro_system. Hold membrane, pressure, flow and pump efficiencies fixed, and vary only pxr_efficiency to find (1) the minimum basic efficiency meeting SEC ≤ 3.10 kWh/m³ and (2) the minimum recommended efficiency meeting SEC ≤ 3.00 kWh/m³. Prove both with adjacent 0.001-efficiency points. Then calculate the concentrate's available hydraulic power from brine flow and measured ERD differential pressure, the equivalent recoverable power and unrecovered loss at the recommendation; quantify the change in net power, daily energy and annual energy when PX efficiency is restored from 0.85 to the recommendation. Finally run pump_as_turbine at efficiencies 0.85 and 0.90 as a model-QA check and judge whether this version is suitable for PAT efficiency–SEC sensitivity analysis.</x:v>
      </x:c>
      <x:c r="H5" s="8" t="str">
        <x:v>A medium single-pass SWRO train has stable production but rising electricity use, suggesting internal leakage or mixing in the PX. Use the full-plant simulate_swro_system. Hold membrane, pressure, flow and pump efficiencies fixed, and vary only pxr_efficiency to find (1) the minimum basic efficiency meeting SEC ≤ 3.10 kWh/m³ and (2) the minimum recommended efficiency meeting SEC ≤ 3.00 kWh/m³. Prove both with adjacent 0.001-efficiency points. Then calculate the concentrate's available hydraulic power from brine flow and measured ERD differential pressure, the equivalent recoverable power and unrecovered loss at the recommendation; quantify the change in net power, daily energy and annual energy when PX efficiency is restored from 0.85 to the recommendation. Finally run pump_as_turbine at efficiencies 0.85 and 0.90 as a model-QA check and judge whether this version is suitable for PAT efficiency–SEC sensitivity analysis.</x:v>
      </x:c>
    </x:row>
    <x:row r="6" ht="25" customHeight="1">
      <x:c r="A6" s="8" t="str">
        <x:v>A medium single-pass SWRO train has stable production but rising electricity use, suggesting internal leakage or mixing in the PX. Use the full-plant simulate_swro_system. Hold membrane, pressure, flow and pump efficiencies fixed, and vary only pxr_efficiency to find (1) the minimum basic efficiency meeting SEC ≤ 3.10 kWh/m³ and (2) the minimum recommended efficiency meeting SEC ≤ 3.00 kWh/m³. Prove both with adjacent 0.001-efficiency points. Then calculate the concentrate's available hydraulic power from brine flow and measured ERD differential pressure, the equivalent recoverable power and unrecovered loss at the recommendation; quantify the change in net power, daily energy and annual energy when PX efficiency is restored from 0.85 to the recommendation. Finally run pump_as_turbine at efficiencies 0.85 and 0.90 as a model-QA check and judge whether this version is suitable for PAT efficiency–SEC sensitivity analysis.</x:v>
      </x:c>
      <x:c r="B6" s="8" t="str">
        <x:v>A medium single-pass SWRO train has stable production but rising electricity use, suggesting internal leakage or mixing in the PX. Use the full-plant simulate_swro_system. Hold membrane, pressure, flow and pump efficiencies fixed, and vary only pxr_efficiency to find (1) the minimum basic efficiency meeting SEC ≤ 3.10 kWh/m³ and (2) the minimum recommended efficiency meeting SEC ≤ 3.00 kWh/m³. Prove both with adjacent 0.001-efficiency points. Then calculate the concentrate's available hydraulic power from brine flow and measured ERD differential pressure, the equivalent recoverable power and unrecovered loss at the recommendation; quantify the change in net power, daily energy and annual energy when PX efficiency is restored from 0.85 to the recommendation. Finally run pump_as_turbine at efficiencies 0.85 and 0.90 as a model-QA check and judge whether this version is suitable for PAT efficiency–SEC sensitivity analysis.</x:v>
      </x:c>
      <x:c r="C6" s="8" t="str">
        <x:v>A medium single-pass SWRO train has stable production but rising electricity use, suggesting internal leakage or mixing in the PX. Use the full-plant simulate_swro_system. Hold membrane, pressure, flow and pump efficiencies fixed, and vary only pxr_efficiency to find (1) the minimum basic efficiency meeting SEC ≤ 3.10 kWh/m³ and (2) the minimum recommended efficiency meeting SEC ≤ 3.00 kWh/m³. Prove both with adjacent 0.001-efficiency points. Then calculate the concentrate's available hydraulic power from brine flow and measured ERD differential pressure, the equivalent recoverable power and unrecovered loss at the recommendation; quantify the change in net power, daily energy and annual energy when PX efficiency is restored from 0.85 to the recommendation. Finally run pump_as_turbine at efficiencies 0.85 and 0.90 as a model-QA check and judge whether this version is suitable for PAT efficiency–SEC sensitivity analysis.</x:v>
      </x:c>
      <x:c r="D6" s="8" t="str">
        <x:v>A medium single-pass SWRO train has stable production but rising electricity use, suggesting internal leakage or mixing in the PX. Use the full-plant simulate_swro_system. Hold membrane, pressure, flow and pump efficiencies fixed, and vary only pxr_efficiency to find (1) the minimum basic efficiency meeting SEC ≤ 3.10 kWh/m³ and (2) the minimum recommended efficiency meeting SEC ≤ 3.00 kWh/m³. Prove both with adjacent 0.001-efficiency points. Then calculate the concentrate's available hydraulic power from brine flow and measured ERD differential pressure, the equivalent recoverable power and unrecovered loss at the recommendation; quantify the change in net power, daily energy and annual energy when PX efficiency is restored from 0.85 to the recommendation. Finally run pump_as_turbine at efficiencies 0.85 and 0.90 as a model-QA check and judge whether this version is suitable for PAT efficiency–SEC sensitivity analysis.</x:v>
      </x:c>
      <x:c r="E6" s="8" t="str">
        <x:v>A medium single-pass SWRO train has stable production but rising electricity use, suggesting internal leakage or mixing in the PX. Use the full-plant simulate_swro_system. Hold membrane, pressure, flow and pump efficiencies fixed, and vary only pxr_efficiency to find (1) the minimum basic efficiency meeting SEC ≤ 3.10 kWh/m³ and (2) the minimum recommended efficiency meeting SEC ≤ 3.00 kWh/m³. Prove both with adjacent 0.001-efficiency points. Then calculate the concentrate's available hydraulic power from brine flow and measured ERD differential pressure, the equivalent recoverable power and unrecovered loss at the recommendation; quantify the change in net power, daily energy and annual energy when PX efficiency is restored from 0.85 to the recommendation. Finally run pump_as_turbine at efficiencies 0.85 and 0.90 as a model-QA check and judge whether this version is suitable for PAT efficiency–SEC sensitivity analysis.</x:v>
      </x:c>
      <x:c r="F6" s="8" t="str">
        <x:v>A medium single-pass SWRO train has stable production but rising electricity use, suggesting internal leakage or mixing in the PX. Use the full-plant simulate_swro_system. Hold membrane, pressure, flow and pump efficiencies fixed, and vary only pxr_efficiency to find (1) the minimum basic efficiency meeting SEC ≤ 3.10 kWh/m³ and (2) the minimum recommended efficiency meeting SEC ≤ 3.00 kWh/m³. Prove both with adjacent 0.001-efficiency points. Then calculate the concentrate's available hydraulic power from brine flow and measured ERD differential pressure, the equivalent recoverable power and unrecovered loss at the recommendation; quantify the change in net power, daily energy and annual energy when PX efficiency is restored from 0.85 to the recommendation. Finally run pump_as_turbine at efficiencies 0.85 and 0.90 as a model-QA check and judge whether this version is suitable for PAT efficiency–SEC sensitivity analysis.</x:v>
      </x:c>
      <x:c r="G6" s="8" t="str">
        <x:v>A medium single-pass SWRO train has stable production but rising electricity use, suggesting internal leakage or mixing in the PX. Use the full-plant simulate_swro_system. Hold membrane, pressure, flow and pump efficiencies fixed, and vary only pxr_efficiency to find (1) the minimum basic efficiency meeting SEC ≤ 3.10 kWh/m³ and (2) the minimum recommended efficiency meeting SEC ≤ 3.00 kWh/m³. Prove both with adjacent 0.001-efficiency points. Then calculate the concentrate's available hydraulic power from brine flow and measured ERD differential pressure, the equivalent recoverable power and unrecovered loss at the recommendation; quantify the change in net power, daily energy and annual energy when PX efficiency is restored from 0.85 to the recommendation. Finally run pump_as_turbine at efficiencies 0.85 and 0.90 as a model-QA check and judge whether this version is suitable for PAT efficiency–SEC sensitivity analysis.</x:v>
      </x:c>
      <x:c r="H6" s="8" t="str">
        <x:v>A medium single-pass SWRO train has stable production but rising electricity use, suggesting internal leakage or mixing in the PX. Use the full-plant simulate_swro_system. Hold membrane, pressure, flow and pump efficiencies fixed, and vary only pxr_efficiency to find (1) the minimum basic efficiency meeting SEC ≤ 3.10 kWh/m³ and (2) the minimum recommended efficiency meeting SEC ≤ 3.00 kWh/m³. Prove both with adjacent 0.001-efficiency points. Then calculate the concentrate's available hydraulic power from brine flow and measured ERD differential pressure, the equivalent recoverable power and unrecovered loss at the recommendation; quantify the change in net power, daily energy and annual energy when PX efficiency is restored from 0.85 to the recommendation. Finally run pump_as_turbine at efficiencies 0.85 and 0.90 as a model-QA check and judge whether this version is suitable for PAT efficiency–SEC sensitivity analysis.</x:v>
      </x:c>
    </x:row>
    <x:row r="7" ht="25" customHeight="1">
      <x:c r="A7" s="8" t="str">
        <x:v>A medium single-pass SWRO train has stable production but rising electricity use, suggesting internal leakage or mixing in the PX. Use the full-plant simulate_swro_system. Hold membrane, pressure, flow and pump efficiencies fixed, and vary only pxr_efficiency to find (1) the minimum basic efficiency meeting SEC ≤ 3.10 kWh/m³ and (2) the minimum recommended efficiency meeting SEC ≤ 3.00 kWh/m³. Prove both with adjacent 0.001-efficiency points. Then calculate the concentrate's available hydraulic power from brine flow and measured ERD differential pressure, the equivalent recoverable power and unrecovered loss at the recommendation; quantify the change in net power, daily energy and annual energy when PX efficiency is restored from 0.85 to the recommendation. Finally run pump_as_turbine at efficiencies 0.85 and 0.90 as a model-QA check and judge whether this version is suitable for PAT efficiency–SEC sensitivity analysis.</x:v>
      </x:c>
      <x:c r="B7" s="8" t="str">
        <x:v>A medium single-pass SWRO train has stable production but rising electricity use, suggesting internal leakage or mixing in the PX. Use the full-plant simulate_swro_system. Hold membrane, pressure, flow and pump efficiencies fixed, and vary only pxr_efficiency to find (1) the minimum basic efficiency meeting SEC ≤ 3.10 kWh/m³ and (2) the minimum recommended efficiency meeting SEC ≤ 3.00 kWh/m³. Prove both with adjacent 0.001-efficiency points. Then calculate the concentrate's available hydraulic power from brine flow and measured ERD differential pressure, the equivalent recoverable power and unrecovered loss at the recommendation; quantify the change in net power, daily energy and annual energy when PX efficiency is restored from 0.85 to the recommendation. Finally run pump_as_turbine at efficiencies 0.85 and 0.90 as a model-QA check and judge whether this version is suitable for PAT efficiency–SEC sensitivity analysis.</x:v>
      </x:c>
      <x:c r="C7" s="8" t="str">
        <x:v>A medium single-pass SWRO train has stable production but rising electricity use, suggesting internal leakage or mixing in the PX. Use the full-plant simulate_swro_system. Hold membrane, pressure, flow and pump efficiencies fixed, and vary only pxr_efficiency to find (1) the minimum basic efficiency meeting SEC ≤ 3.10 kWh/m³ and (2) the minimum recommended efficiency meeting SEC ≤ 3.00 kWh/m³. Prove both with adjacent 0.001-efficiency points. Then calculate the concentrate's available hydraulic power from brine flow and measured ERD differential pressure, the equivalent recoverable power and unrecovered loss at the recommendation; quantify the change in net power, daily energy and annual energy when PX efficiency is restored from 0.85 to the recommendation. Finally run pump_as_turbine at efficiencies 0.85 and 0.90 as a model-QA check and judge whether this version is suitable for PAT efficiency–SEC sensitivity analysis.</x:v>
      </x:c>
      <x:c r="D7" s="8" t="str">
        <x:v>A medium single-pass SWRO train has stable production but rising electricity use, suggesting internal leakage or mixing in the PX. Use the full-plant simulate_swro_system. Hold membrane, pressure, flow and pump efficiencies fixed, and vary only pxr_efficiency to find (1) the minimum basic efficiency meeting SEC ≤ 3.10 kWh/m³ and (2) the minimum recommended efficiency meeting SEC ≤ 3.00 kWh/m³. Prove both with adjacent 0.001-efficiency points. Then calculate the concentrate's available hydraulic power from brine flow and measured ERD differential pressure, the equivalent recoverable power and unrecovered loss at the recommendation; quantify the change in net power, daily energy and annual energy when PX efficiency is restored from 0.85 to the recommendation. Finally run pump_as_turbine at efficiencies 0.85 and 0.90 as a model-QA check and judge whether this version is suitable for PAT efficiency–SEC sensitivity analysis.</x:v>
      </x:c>
      <x:c r="E7" s="8" t="str">
        <x:v>A medium single-pass SWRO train has stable production but rising electricity use, suggesting internal leakage or mixing in the PX. Use the full-plant simulate_swro_system. Hold membrane, pressure, flow and pump efficiencies fixed, and vary only pxr_efficiency to find (1) the minimum basic efficiency meeting SEC ≤ 3.10 kWh/m³ and (2) the minimum recommended efficiency meeting SEC ≤ 3.00 kWh/m³. Prove both with adjacent 0.001-efficiency points. Then calculate the concentrate's available hydraulic power from brine flow and measured ERD differential pressure, the equivalent recoverable power and unrecovered loss at the recommendation; quantify the change in net power, daily energy and annual energy when PX efficiency is restored from 0.85 to the recommendation. Finally run pump_as_turbine at efficiencies 0.85 and 0.90 as a model-QA check and judge whether this version is suitable for PAT efficiency–SEC sensitivity analysis.</x:v>
      </x:c>
      <x:c r="F7" s="8" t="str">
        <x:v>A medium single-pass SWRO train has stable production but rising electricity use, suggesting internal leakage or mixing in the PX. Use the full-plant simulate_swro_system. Hold membrane, pressure, flow and pump efficiencies fixed, and vary only pxr_efficiency to find (1) the minimum basic efficiency meeting SEC ≤ 3.10 kWh/m³ and (2) the minimum recommended efficiency meeting SEC ≤ 3.00 kWh/m³. Prove both with adjacent 0.001-efficiency points. Then calculate the concentrate's available hydraulic power from brine flow and measured ERD differential pressure, the equivalent recoverable power and unrecovered loss at the recommendation; quantify the change in net power, daily energy and annual energy when PX efficiency is restored from 0.85 to the recommendation. Finally run pump_as_turbine at efficiencies 0.85 and 0.90 as a model-QA check and judge whether this version is suitable for PAT efficiency–SEC sensitivity analysis.</x:v>
      </x:c>
      <x:c r="G7" s="8" t="str">
        <x:v>A medium single-pass SWRO train has stable production but rising electricity use, suggesting internal leakage or mixing in the PX. Use the full-plant simulate_swro_system. Hold membrane, pressure, flow and pump efficiencies fixed, and vary only pxr_efficiency to find (1) the minimum basic efficiency meeting SEC ≤ 3.10 kWh/m³ and (2) the minimum recommended efficiency meeting SEC ≤ 3.00 kWh/m³. Prove both with adjacent 0.001-efficiency points. Then calculate the concentrate's available hydraulic power from brine flow and measured ERD differential pressure, the equivalent recoverable power and unrecovered loss at the recommendation; quantify the change in net power, daily energy and annual energy when PX efficiency is restored from 0.85 to the recommendation. Finally run pump_as_turbine at efficiencies 0.85 and 0.90 as a model-QA check and judge whether this version is suitable for PAT efficiency–SEC sensitivity analysis.</x:v>
      </x:c>
      <x:c r="H7" s="8" t="str">
        <x:v>A medium single-pass SWRO train has stable production but rising electricity use, suggesting internal leakage or mixing in the PX. Use the full-plant simulate_swro_system. Hold membrane, pressure, flow and pump efficiencies fixed, and vary only pxr_efficiency to find (1) the minimum basic efficiency meeting SEC ≤ 3.10 kWh/m³ and (2) the minimum recommended efficiency meeting SEC ≤ 3.00 kWh/m³. Prove both with adjacent 0.001-efficiency points. Then calculate the concentrate's available hydraulic power from brine flow and measured ERD differential pressure, the equivalent recoverable power and unrecovered loss at the recommendation; quantify the change in net power, daily energy and annual energy when PX efficiency is restored from 0.85 to the recommendation. Finally run pump_as_turbine at efficiencies 0.85 and 0.90 as a model-QA check and judge whether this version is suitable for PAT efficiency–SEC sensitivity analysis.</x:v>
      </x:c>
    </x:row>
    <x:row r="8" ht="25" customHeight="1">
      <x:c r="A8" s="8" t="str">
        <x:v>A medium single-pass SWRO train has stable production but rising electricity use, suggesting internal leakage or mixing in the PX. Use the full-plant simulate_swro_system. Hold membrane, pressure, flow and pump efficiencies fixed, and vary only pxr_efficiency to find (1) the minimum basic efficiency meeting SEC ≤ 3.10 kWh/m³ and (2) the minimum recommended efficiency meeting SEC ≤ 3.00 kWh/m³. Prove both with adjacent 0.001-efficiency points. Then calculate the concentrate's available hydraulic power from brine flow and measured ERD differential pressure, the equivalent recoverable power and unrecovered loss at the recommendation; quantify the change in net power, daily energy and annual energy when PX efficiency is restored from 0.85 to the recommendation. Finally run pump_as_turbine at efficiencies 0.85 and 0.90 as a model-QA check and judge whether this version is suitable for PAT efficiency–SEC sensitivity analysis.</x:v>
      </x:c>
      <x:c r="B8" s="8" t="str">
        <x:v>A medium single-pass SWRO train has stable production but rising electricity use, suggesting internal leakage or mixing in the PX. Use the full-plant simulate_swro_system. Hold membrane, pressure, flow and pump efficiencies fixed, and vary only pxr_efficiency to find (1) the minimum basic efficiency meeting SEC ≤ 3.10 kWh/m³ and (2) the minimum recommended efficiency meeting SEC ≤ 3.00 kWh/m³. Prove both with adjacent 0.001-efficiency points. Then calculate the concentrate's available hydraulic power from brine flow and measured ERD differential pressure, the equivalent recoverable power and unrecovered loss at the recommendation; quantify the change in net power, daily energy and annual energy when PX efficiency is restored from 0.85 to the recommendation. Finally run pump_as_turbine at efficiencies 0.85 and 0.90 as a model-QA check and judge whether this version is suitable for PAT efficiency–SEC sensitivity analysis.</x:v>
      </x:c>
      <x:c r="C8" s="8" t="str">
        <x:v>A medium single-pass SWRO train has stable production but rising electricity use, suggesting internal leakage or mixing in the PX. Use the full-plant simulate_swro_system. Hold membrane, pressure, flow and pump efficiencies fixed, and vary only pxr_efficiency to find (1) the minimum basic efficiency meeting SEC ≤ 3.10 kWh/m³ and (2) the minimum recommended efficiency meeting SEC ≤ 3.00 kWh/m³. Prove both with adjacent 0.001-efficiency points. Then calculate the concentrate's available hydraulic power from brine flow and measured ERD differential pressure, the equivalent recoverable power and unrecovered loss at the recommendation; quantify the change in net power, daily energy and annual energy when PX efficiency is restored from 0.85 to the recommendation. Finally run pump_as_turbine at efficiencies 0.85 and 0.90 as a model-QA check and judge whether this version is suitable for PAT efficiency–SEC sensitivity analysis.</x:v>
      </x:c>
      <x:c r="D8" s="8" t="str">
        <x:v>A medium single-pass SWRO train has stable production but rising electricity use, suggesting internal leakage or mixing in the PX. Use the full-plant simulate_swro_system. Hold membrane, pressure, flow and pump efficiencies fixed, and vary only pxr_efficiency to find (1) the minimum basic efficiency meeting SEC ≤ 3.10 kWh/m³ and (2) the minimum recommended efficiency meeting SEC ≤ 3.00 kWh/m³. Prove both with adjacent 0.001-efficiency points. Then calculate the concentrate's available hydraulic power from brine flow and measured ERD differential pressure, the equivalent recoverable power and unrecovered loss at the recommendation; quantify the change in net power, daily energy and annual energy when PX efficiency is restored from 0.85 to the recommendation. Finally run pump_as_turbine at efficiencies 0.85 and 0.90 as a model-QA check and judge whether this version is suitable for PAT efficiency–SEC sensitivity analysis.</x:v>
      </x:c>
      <x:c r="E8" s="8" t="str">
        <x:v>A medium single-pass SWRO train has stable production but rising electricity use, suggesting internal leakage or mixing in the PX. Use the full-plant simulate_swro_system. Hold membrane, pressure, flow and pump efficiencies fixed, and vary only pxr_efficiency to find (1) the minimum basic efficiency meeting SEC ≤ 3.10 kWh/m³ and (2) the minimum recommended efficiency meeting SEC ≤ 3.00 kWh/m³. Prove both with adjacent 0.001-efficiency points. Then calculate the concentrate's available hydraulic power from brine flow and measured ERD differential pressure, the equivalent recoverable power and unrecovered loss at the recommendation; quantify the change in net power, daily energy and annual energy when PX efficiency is restored from 0.85 to the recommendation. Finally run pump_as_turbine at efficiencies 0.85 and 0.90 as a model-QA check and judge whether this version is suitable for PAT efficiency–SEC sensitivity analysis.</x:v>
      </x:c>
      <x:c r="F8" s="8" t="str">
        <x:v>A medium single-pass SWRO train has stable production but rising electricity use, suggesting internal leakage or mixing in the PX. Use the full-plant simulate_swro_system. Hold membrane, pressure, flow and pump efficiencies fixed, and vary only pxr_efficiency to find (1) the minimum basic efficiency meeting SEC ≤ 3.10 kWh/m³ and (2) the minimum recommended efficiency meeting SEC ≤ 3.00 kWh/m³. Prove both with adjacent 0.001-efficiency points. Then calculate the concentrate's available hydraulic power from brine flow and measured ERD differential pressure, the equivalent recoverable power and unrecovered loss at the recommendation; quantify the change in net power, daily energy and annual energy when PX efficiency is restored from 0.85 to the recommendation. Finally run pump_as_turbine at efficiencies 0.85 and 0.90 as a model-QA check and judge whether this version is suitable for PAT efficiency–SEC sensitivity analysis.</x:v>
      </x:c>
      <x:c r="G8" s="8" t="str">
        <x:v>A medium single-pass SWRO train has stable production but rising electricity use, suggesting internal leakage or mixing in the PX. Use the full-plant simulate_swro_system. Hold membrane, pressure, flow and pump efficiencies fixed, and vary only pxr_efficiency to find (1) the minimum basic efficiency meeting SEC ≤ 3.10 kWh/m³ and (2) the minimum recommended efficiency meeting SEC ≤ 3.00 kWh/m³. Prove both with adjacent 0.001-efficiency points. Then calculate the concentrate's available hydraulic power from brine flow and measured ERD differential pressure, the equivalent recoverable power and unrecovered loss at the recommendation; quantify the change in net power, daily energy and annual energy when PX efficiency is restored from 0.85 to the recommendation. Finally run pump_as_turbine at efficiencies 0.85 and 0.90 as a model-QA check and judge whether this version is suitable for PAT efficiency–SEC sensitivity analysis.</x:v>
      </x:c>
      <x:c r="H8" s="8" t="str">
        <x:v>A medium single-pass SWRO train has stable production but rising electricity use, suggesting internal leakage or mixing in the PX. Use the full-plant simulate_swro_system. Hold membrane, pressure, flow and pump efficiencies fixed, and vary only pxr_efficiency to find (1) the minimum basic efficiency meeting SEC ≤ 3.10 kWh/m³ and (2) the minimum recommended efficiency meeting SEC ≤ 3.00 kWh/m³. Prove both with adjacent 0.001-efficiency points. Then calculate the concentrate's available hydraulic power from brine flow and measured ERD differential pressure, the equivalent recoverable power and unrecovered loss at the recommendation; quantify the change in net power, daily energy and annual energy when PX efficiency is restored from 0.85 to the recommendation. Finally run pump_as_turbine at efficiencies 0.85 and 0.90 as a model-QA check and judge whether this version is suitable for PAT efficiency–SEC sensitivity analysis.</x:v>
      </x:c>
    </x:row>
    <x:row r="10">
      <x:c r="A10" s="11" t="str">
        <x:v>Fixed case (do not change during PX boundary search)</x:v>
      </x:c>
      <x:c r="B10" s="11" t="str">
        <x:v>Fixed case (do not change during PX boundary search)</x:v>
      </x:c>
      <x:c r="C10" s="11" t="str">
        <x:v>Fixed case (do not change during PX boundary search)</x:v>
      </x:c>
      <x:c r="D10" s="11" t="str">
        <x:v>Fixed case (do not change during PX boundary search)</x:v>
      </x:c>
      <x:c r="F10" s="11" t="str">
        <x:v>Constraints and criteria</x:v>
      </x:c>
      <x:c r="G10" s="11" t="str">
        <x:v>Constraints and criteria</x:v>
      </x:c>
      <x:c r="H10" s="11" t="str">
        <x:v>Constraints and criteria</x:v>
      </x:c>
    </x:row>
    <x:row r="11">
      <x:c r="A11" s="17" t="str">
        <x:v>Parameter</x:v>
      </x:c>
      <x:c r="B11" s="17" t="str">
        <x:v>Value</x:v>
      </x:c>
      <x:c r="C11" s="17" t="str">
        <x:v>Unit</x:v>
      </x:c>
      <x:c r="D11" s="17" t="str">
        <x:v>Note</x:v>
      </x:c>
      <x:c r="F11" s="17" t="str">
        <x:v>Level</x:v>
      </x:c>
      <x:c r="G11" s="17" t="str">
        <x:v>Criterion</x:v>
      </x:c>
      <x:c r="H11" s="17" t="str">
        <x:v>Required evidence</x:v>
      </x:c>
    </x:row>
    <x:row r="12">
      <x:c r="A12" s="20" t="str">
        <x:v>Feed flow</x:v>
      </x:c>
      <x:c r="B12" s="21" t="n">
        <x:v>0.32</x:v>
      </x:c>
      <x:c r="C12" s="20" t="str">
        <x:v>m³/s</x:v>
      </x:c>
      <x:c r="D12" s="20" t="str">
        <x:v>27,648 m³/d</x:v>
      </x:c>
      <x:c r="F12" s="20" t="str">
        <x:v>Basic</x:v>
      </x:c>
      <x:c r="G12" s="20" t="str">
        <x:v>SEC≤3.10 kWh/m³</x:v>
      </x:c>
      <x:c r="H12" s="20" t="str">
        <x:v>Adjacent 0.001 fail/pass</x:v>
      </x:c>
    </x:row>
    <x:row r="13">
      <x:c r="A13" s="20" t="str">
        <x:v>Feed TDS</x:v>
      </x:c>
      <x:c r="B13" s="21" t="n">
        <x:v>36.5</x:v>
      </x:c>
      <x:c r="C13" s="20" t="str">
        <x:v>g/L</x:v>
      </x:c>
      <x:c r="D13" s="20" t="str">
        <x:v>Representative high-salinity seawater</x:v>
      </x:c>
      <x:c r="F13" s="20" t="str">
        <x:v>Recommended</x:v>
      </x:c>
      <x:c r="G13" s="20" t="str">
        <x:v>SEC≤3.00 kWh/m³</x:v>
      </x:c>
      <x:c r="H13" s="20" t="str">
        <x:v>Adjacent 0.001 fail/pass</x:v>
      </x:c>
    </x:row>
    <x:row r="14">
      <x:c r="A14" s="20" t="str">
        <x:v>Feed TSS</x:v>
      </x:c>
      <x:c r="B14" s="21" t="n">
        <x:v>0.03</x:v>
      </x:c>
      <x:c r="C14" s="20" t="str">
        <x:v>g/L</x:v>
      </x:c>
      <x:c r="D14" s="20" t="str">
        <x:v>Pretreatment design value</x:v>
      </x:c>
      <x:c r="F14" s="20" t="str">
        <x:v>PX decision variable</x:v>
      </x:c>
      <x:c r="G14" s="20" t="str">
        <x:v>pxr_efficiency only</x:v>
      </x:c>
      <x:c r="H14" s="20" t="str">
        <x:v>Hold all other inputs fixed</x:v>
      </x:c>
    </x:row>
    <x:row r="15">
      <x:c r="A15" s="20" t="str">
        <x:v>Temperature</x:v>
      </x:c>
      <x:c r="B15" s="21" t="n">
        <x:v>24</x:v>
      </x:c>
      <x:c r="C15" s="20" t="str">
        <x:v>°C</x:v>
      </x:c>
      <x:c r="D15" s="20" t="str">
        <x:v>Steady condition</x:v>
      </x:c>
      <x:c r="F15" s="20" t="str">
        <x:v>Pressure power</x:v>
      </x:c>
      <x:c r="G15" s="20" t="str">
        <x:v>Pavailable=Qbrine×ΔP</x:v>
      </x:c>
      <x:c r="H15" s="20" t="str">
        <x:v>ΔP=66.3−1.0 bar</x:v>
      </x:c>
    </x:row>
    <x:row r="16">
      <x:c r="A16" s="20" t="str">
        <x:v>Active RO area</x:v>
      </x:c>
      <x:c r="B16" s="21" t="n">
        <x:v>14400</x:v>
      </x:c>
      <x:c r="C16" s="20" t="str">
        <x:v>m²</x:v>
      </x:c>
      <x:c r="D16" s="20" t="str">
        <x:v>Fixed</x:v>
      </x:c>
      <x:c r="F16" s="20" t="str">
        <x:v>PAT QA</x:v>
      </x:c>
      <x:c r="G16" s="20" t="str">
        <x:v>η=0.85 and 0.90</x:v>
      </x:c>
      <x:c r="H16" s="20" t="str">
        <x:v>Do not pass pxr_efficiency or p2_efficiency to PAT</x:v>
      </x:c>
    </x:row>
    <x:row r="17">
      <x:c r="A17" s="20" t="str">
        <x:v>P1 outlet pressure</x:v>
      </x:c>
      <x:c r="B17" s="21" t="n">
        <x:v>69</x:v>
      </x:c>
      <x:c r="C17" s="20" t="str">
        <x:v>bar(a)</x:v>
      </x:c>
      <x:c r="D17" s="20" t="str">
        <x:v>Fixed</x:v>
      </x:c>
    </x:row>
    <x:row r="18">
      <x:c r="A18" s="20" t="str">
        <x:v>P1 efficiency</x:v>
      </x:c>
      <x:c r="B18" s="21" t="n">
        <x:v>0.82</x:v>
      </x:c>
      <x:c r="C18" s="20" t="str">
        <x:v>-</x:v>
      </x:c>
      <x:c r="D18" s="20" t="str">
        <x:v>Fixed</x:v>
      </x:c>
      <x:c r="F18" s="11" t="str">
        <x:v>Required deliverables</x:v>
      </x:c>
      <x:c r="G18" s="11" t="str">
        <x:v>Required deliverables</x:v>
      </x:c>
      <x:c r="H18" s="11" t="str">
        <x:v>Required deliverables</x:v>
      </x:c>
    </x:row>
    <x:row r="19" ht="38" customHeight="1">
      <x:c r="A19" s="20" t="str">
        <x:v>P2 efficiency</x:v>
      </x:c>
      <x:c r="B19" s="21" t="n">
        <x:v>0.82</x:v>
      </x:c>
      <x:c r="C19" s="20" t="str">
        <x:v>-</x:v>
      </x:c>
      <x:c r="D19" s="20" t="str">
        <x:v>PX booster pump</x:v>
      </x:c>
      <x:c r="F19" s="20" t="str">
        <x:v>1. Basic and recommended PX-efficiency boundaries with both adjacent proofs.</x:v>
      </x:c>
      <x:c r="G19" s="20" t="str">
        <x:v>1. Basic and recommended PX-efficiency boundaries with both adjacent proofs.</x:v>
      </x:c>
      <x:c r="H19" s="20" t="str">
        <x:v>1. Basic and recommended PX-efficiency boundaries with both adjacent proofs.</x:v>
      </x:c>
    </x:row>
    <x:row r="20" ht="38" customHeight="1">
      <x:c r="A20" s="20" t="str">
        <x:v>Brine pressure into ERD</x:v>
      </x:c>
      <x:c r="B20" s="21" t="n">
        <x:v>66.3</x:v>
      </x:c>
      <x:c r="C20" s="20" t="str">
        <x:v>bar(a)</x:v>
      </x:c>
      <x:c r="D20" s="20" t="str">
        <x:v>Measured steady-state value</x:v>
      </x:c>
      <x:c r="F20" s="20" t="str">
        <x:v>2. At the recommendation: product, brine flow, P1/P2, pump-train power, SEC and net plant power.</x:v>
      </x:c>
      <x:c r="G20" s="20" t="str">
        <x:v>2. At the recommendation: product, brine flow, P1/P2, pump-train power, SEC and net plant power.</x:v>
      </x:c>
      <x:c r="H20" s="20" t="str">
        <x:v>2. At the recommendation: product, brine flow, P1/P2, pump-train power, SEC and net plant power.</x:v>
      </x:c>
    </x:row>
    <x:row r="21" ht="38" customHeight="1">
      <x:c r="A21" s="20" t="str">
        <x:v>ERD low-pressure outlet</x:v>
      </x:c>
      <x:c r="B21" s="21" t="n">
        <x:v>1</x:v>
      </x:c>
      <x:c r="C21" s="20" t="str">
        <x:v>bar(a)</x:v>
      </x:c>
      <x:c r="D21" s="20" t="str">
        <x:v>Measured steady-state value</x:v>
      </x:c>
      <x:c r="F21" s="20" t="str">
        <x:v>3. Available concentrate pressure power, equivalent recoverable power and unrecovered loss.</x:v>
      </x:c>
      <x:c r="G21" s="20" t="str">
        <x:v>3. Available concentrate pressure power, equivalent recoverable power and unrecovered loss.</x:v>
      </x:c>
      <x:c r="H21" s="20" t="str">
        <x:v>3. Available concentrate pressure power, equivalent recoverable power and unrecovered loss.</x:v>
      </x:c>
    </x:row>
    <x:row r="22" ht="38" customHeight="1">
      <x:c r="A22" s="20" t="str">
        <x:v>Operating days</x:v>
      </x:c>
      <x:c r="B22" s="21" t="n">
        <x:v>330</x:v>
      </x:c>
      <x:c r="C22" s="20" t="str">
        <x:v>d/y</x:v>
      </x:c>
      <x:c r="D22" s="20" t="str">
        <x:v>Annual-energy conversion</x:v>
      </x:c>
      <x:c r="F22" s="20" t="str">
        <x:v>4. Power, daily-energy and annual-energy savings from restoring PX efficiency from 0.85.</x:v>
      </x:c>
      <x:c r="G22" s="20" t="str">
        <x:v>4. Power, daily-energy and annual-energy savings from restoring PX efficiency from 0.85.</x:v>
      </x:c>
      <x:c r="H22" s="20" t="str">
        <x:v>4. Power, daily-energy and annual-energy savings from restoring PX efficiency from 0.85.</x:v>
      </x:c>
    </x:row>
    <x:row r="23" ht="38" customHeight="1">
      <x:c r="A23" s="20" t="str">
        <x:v>Membrane A/B</x:v>
      </x:c>
      <x:c r="B23" s="21" t="str">
        <x:v>4.2e-12 / 3.5e-8</x:v>
      </x:c>
      <x:c r="C23" s="20" t="str">
        <x:v>SI</x:v>
      </x:c>
      <x:c r="D23" s="20" t="str">
        <x:v>Tool defaults</x:v>
      </x:c>
      <x:c r="F23" s="20" t="str">
        <x:v>5. Two-point PAT QA result, model-suitability judgment and final operating recommendation.</x:v>
      </x:c>
      <x:c r="G23" s="20" t="str">
        <x:v>5. Two-point PAT QA result, model-suitability judgment and final operating recommendation.</x:v>
      </x:c>
      <x:c r="H23" s="20" t="str">
        <x:v>5. Two-point PAT QA result, model-suitability judgment and final operating recommendation.</x:v>
      </x:c>
    </x:row>
    <x:row r="26">
      <x:c r="A26" s="25" t="str">
        <x:v>Scope: equivalent recoverable power uses the steady-state hydraulic approximation η×Qbrine×ΔP for an energy audit; it is not PX shaft power because a PX transfers pressure isobarically. Net plant power = SEC×product flow. The basic/recommended SEC limits are benchmark rules, not universal standards. If PAT recovery changes while SEC remains unchanged, report the model-coupling limitation and do not force an interpolation.</x:v>
      </x:c>
      <x:c r="B26" s="25" t="str">
        <x:v>Scope: equivalent recoverable power uses the steady-state hydraulic approximation η×Qbrine×ΔP for an energy audit; it is not PX shaft power because a PX transfers pressure isobarically. Net plant power = SEC×product flow. The basic/recommended SEC limits are benchmark rules, not universal standards. If PAT recovery changes while SEC remains unchanged, report the model-coupling limitation and do not force an interpolation.</x:v>
      </x:c>
      <x:c r="C26" s="25" t="str">
        <x:v>Scope: equivalent recoverable power uses the steady-state hydraulic approximation η×Qbrine×ΔP for an energy audit; it is not PX shaft power because a PX transfers pressure isobarically. Net plant power = SEC×product flow. The basic/recommended SEC limits are benchmark rules, not universal standards. If PAT recovery changes while SEC remains unchanged, report the model-coupling limitation and do not force an interpolation.</x:v>
      </x:c>
      <x:c r="D26" s="25" t="str">
        <x:v>Scope: equivalent recoverable power uses the steady-state hydraulic approximation η×Qbrine×ΔP for an energy audit; it is not PX shaft power because a PX transfers pressure isobarically. Net plant power = SEC×product flow. The basic/recommended SEC limits are benchmark rules, not universal standards. If PAT recovery changes while SEC remains unchanged, report the model-coupling limitation and do not force an interpolation.</x:v>
      </x:c>
      <x:c r="E26" s="25" t="str">
        <x:v>Scope: equivalent recoverable power uses the steady-state hydraulic approximation η×Qbrine×ΔP for an energy audit; it is not PX shaft power because a PX transfers pressure isobarically. Net plant power = SEC×product flow. The basic/recommended SEC limits are benchmark rules, not universal standards. If PAT recovery changes while SEC remains unchanged, report the model-coupling limitation and do not force an interpolation.</x:v>
      </x:c>
      <x:c r="F26" s="25" t="str">
        <x:v>Scope: equivalent recoverable power uses the steady-state hydraulic approximation η×Qbrine×ΔP for an energy audit; it is not PX shaft power because a PX transfers pressure isobarically. Net plant power = SEC×product flow. The basic/recommended SEC limits are benchmark rules, not universal standards. If PAT recovery changes while SEC remains unchanged, report the model-coupling limitation and do not force an interpolation.</x:v>
      </x:c>
      <x:c r="G26" s="25" t="str">
        <x:v>Scope: equivalent recoverable power uses the steady-state hydraulic approximation η×Qbrine×ΔP for an energy audit; it is not PX shaft power because a PX transfers pressure isobarically. Net plant power = SEC×product flow. The basic/recommended SEC limits are benchmark rules, not universal standards. If PAT recovery changes while SEC remains unchanged, report the model-coupling limitation and do not force an interpolation.</x:v>
      </x:c>
      <x:c r="H26" s="25" t="str">
        <x:v>Scope: equivalent recoverable power uses the steady-state hydraulic approximation η×Qbrine×ΔP for an energy audit; it is not PX shaft power because a PX transfers pressure isobarically. Net plant power = SEC×product flow. The basic/recommended SEC limits are benchmark rules, not universal standards. If PAT recovery changes while SEC remains unchanged, report the model-coupling limitation and do not force an interpolation.</x:v>
      </x:c>
    </x:row>
    <x:row r="27">
      <x:c r="A27" s="25" t="str">
        <x:v>Scope: equivalent recoverable power uses the steady-state hydraulic approximation η×Qbrine×ΔP for an energy audit; it is not PX shaft power because a PX transfers pressure isobarically. Net plant power = SEC×product flow. The basic/recommended SEC limits are benchmark rules, not universal standards. If PAT recovery changes while SEC remains unchanged, report the model-coupling limitation and do not force an interpolation.</x:v>
      </x:c>
      <x:c r="B27" s="25" t="str">
        <x:v>Scope: equivalent recoverable power uses the steady-state hydraulic approximation η×Qbrine×ΔP for an energy audit; it is not PX shaft power because a PX transfers pressure isobarically. Net plant power = SEC×product flow. The basic/recommended SEC limits are benchmark rules, not universal standards. If PAT recovery changes while SEC remains unchanged, report the model-coupling limitation and do not force an interpolation.</x:v>
      </x:c>
      <x:c r="C27" s="25" t="str">
        <x:v>Scope: equivalent recoverable power uses the steady-state hydraulic approximation η×Qbrine×ΔP for an energy audit; it is not PX shaft power because a PX transfers pressure isobarically. Net plant power = SEC×product flow. The basic/recommended SEC limits are benchmark rules, not universal standards. If PAT recovery changes while SEC remains unchanged, report the model-coupling limitation and do not force an interpolation.</x:v>
      </x:c>
      <x:c r="D27" s="25" t="str">
        <x:v>Scope: equivalent recoverable power uses the steady-state hydraulic approximation η×Qbrine×ΔP for an energy audit; it is not PX shaft power because a PX transfers pressure isobarically. Net plant power = SEC×product flow. The basic/recommended SEC limits are benchmark rules, not universal standards. If PAT recovery changes while SEC remains unchanged, report the model-coupling limitation and do not force an interpolation.</x:v>
      </x:c>
      <x:c r="E27" s="25" t="str">
        <x:v>Scope: equivalent recoverable power uses the steady-state hydraulic approximation η×Qbrine×ΔP for an energy audit; it is not PX shaft power because a PX transfers pressure isobarically. Net plant power = SEC×product flow. The basic/recommended SEC limits are benchmark rules, not universal standards. If PAT recovery changes while SEC remains unchanged, report the model-coupling limitation and do not force an interpolation.</x:v>
      </x:c>
      <x:c r="F27" s="25" t="str">
        <x:v>Scope: equivalent recoverable power uses the steady-state hydraulic approximation η×Qbrine×ΔP for an energy audit; it is not PX shaft power because a PX transfers pressure isobarically. Net plant power = SEC×product flow. The basic/recommended SEC limits are benchmark rules, not universal standards. If PAT recovery changes while SEC remains unchanged, report the model-coupling limitation and do not force an interpolation.</x:v>
      </x:c>
      <x:c r="G27" s="25" t="str">
        <x:v>Scope: equivalent recoverable power uses the steady-state hydraulic approximation η×Qbrine×ΔP for an energy audit; it is not PX shaft power because a PX transfers pressure isobarically. Net plant power = SEC×product flow. The basic/recommended SEC limits are benchmark rules, not universal standards. If PAT recovery changes while SEC remains unchanged, report the model-coupling limitation and do not force an interpolation.</x:v>
      </x:c>
      <x:c r="H27" s="25" t="str">
        <x:v>Scope: equivalent recoverable power uses the steady-state hydraulic approximation η×Qbrine×ΔP for an energy audit; it is not PX shaft power because a PX transfers pressure isobarically. Net plant power = SEC×product flow. The basic/recommended SEC limits are benchmark rules, not universal standards. If PAT recovery changes while SEC remains unchanged, report the model-coupling limitation and do not force an interpolation.</x:v>
      </x:c>
    </x:row>
    <x:row r="28">
      <x:c r="A28" s="25" t="str">
        <x:v>Scope: equivalent recoverable power uses the steady-state hydraulic approximation η×Qbrine×ΔP for an energy audit; it is not PX shaft power because a PX transfers pressure isobarically. Net plant power = SEC×product flow. The basic/recommended SEC limits are benchmark rules, not universal standards. If PAT recovery changes while SEC remains unchanged, report the model-coupling limitation and do not force an interpolation.</x:v>
      </x:c>
      <x:c r="B28" s="25" t="str">
        <x:v>Scope: equivalent recoverable power uses the steady-state hydraulic approximation η×Qbrine×ΔP for an energy audit; it is not PX shaft power because a PX transfers pressure isobarically. Net plant power = SEC×product flow. The basic/recommended SEC limits are benchmark rules, not universal standards. If PAT recovery changes while SEC remains unchanged, report the model-coupling limitation and do not force an interpolation.</x:v>
      </x:c>
      <x:c r="C28" s="25" t="str">
        <x:v>Scope: equivalent recoverable power uses the steady-state hydraulic approximation η×Qbrine×ΔP for an energy audit; it is not PX shaft power because a PX transfers pressure isobarically. Net plant power = SEC×product flow. The basic/recommended SEC limits are benchmark rules, not universal standards. If PAT recovery changes while SEC remains unchanged, report the model-coupling limitation and do not force an interpolation.</x:v>
      </x:c>
      <x:c r="D28" s="25" t="str">
        <x:v>Scope: equivalent recoverable power uses the steady-state hydraulic approximation η×Qbrine×ΔP for an energy audit; it is not PX shaft power because a PX transfers pressure isobarically. Net plant power = SEC×product flow. The basic/recommended SEC limits are benchmark rules, not universal standards. If PAT recovery changes while SEC remains unchanged, report the model-coupling limitation and do not force an interpolation.</x:v>
      </x:c>
      <x:c r="E28" s="25" t="str">
        <x:v>Scope: equivalent recoverable power uses the steady-state hydraulic approximation η×Qbrine×ΔP for an energy audit; it is not PX shaft power because a PX transfers pressure isobarically. Net plant power = SEC×product flow. The basic/recommended SEC limits are benchmark rules, not universal standards. If PAT recovery changes while SEC remains unchanged, report the model-coupling limitation and do not force an interpolation.</x:v>
      </x:c>
      <x:c r="F28" s="25" t="str">
        <x:v>Scope: equivalent recoverable power uses the steady-state hydraulic approximation η×Qbrine×ΔP for an energy audit; it is not PX shaft power because a PX transfers pressure isobarically. Net plant power = SEC×product flow. The basic/recommended SEC limits are benchmark rules, not universal standards. If PAT recovery changes while SEC remains unchanged, report the model-coupling limitation and do not force an interpolation.</x:v>
      </x:c>
      <x:c r="G28" s="25" t="str">
        <x:v>Scope: equivalent recoverable power uses the steady-state hydraulic approximation η×Qbrine×ΔP for an energy audit; it is not PX shaft power because a PX transfers pressure isobarically. Net plant power = SEC×product flow. The basic/recommended SEC limits are benchmark rules, not universal standards. If PAT recovery changes while SEC remains unchanged, report the model-coupling limitation and do not force an interpolation.</x:v>
      </x:c>
      <x:c r="H28" s="25" t="str">
        <x:v>Scope: equivalent recoverable power uses the steady-state hydraulic approximation η×Qbrine×ΔP for an energy audit; it is not PX shaft power because a PX transfers pressure isobarically. Net plant power = SEC×product flow. The basic/recommended SEC limits are benchmark rules, not universal standards. If PAT recovery changes while SEC remains unchanged, report the model-coupling limitation and do not force an interpolation.</x:v>
      </x:c>
    </x:row>
    <x:row r="29">
      <x:c r="A29" s="25" t="str">
        <x:v>Scope: equivalent recoverable power uses the steady-state hydraulic approximation η×Qbrine×ΔP for an energy audit; it is not PX shaft power because a PX transfers pressure isobarically. Net plant power = SEC×product flow. The basic/recommended SEC limits are benchmark rules, not universal standards. If PAT recovery changes while SEC remains unchanged, report the model-coupling limitation and do not force an interpolation.</x:v>
      </x:c>
      <x:c r="B29" s="25" t="str">
        <x:v>Scope: equivalent recoverable power uses the steady-state hydraulic approximation η×Qbrine×ΔP for an energy audit; it is not PX shaft power because a PX transfers pressure isobarically. Net plant power = SEC×product flow. The basic/recommended SEC limits are benchmark rules, not universal standards. If PAT recovery changes while SEC remains unchanged, report the model-coupling limitation and do not force an interpolation.</x:v>
      </x:c>
      <x:c r="C29" s="25" t="str">
        <x:v>Scope: equivalent recoverable power uses the steady-state hydraulic approximation η×Qbrine×ΔP for an energy audit; it is not PX shaft power because a PX transfers pressure isobarically. Net plant power = SEC×product flow. The basic/recommended SEC limits are benchmark rules, not universal standards. If PAT recovery changes while SEC remains unchanged, report the model-coupling limitation and do not force an interpolation.</x:v>
      </x:c>
      <x:c r="D29" s="25" t="str">
        <x:v>Scope: equivalent recoverable power uses the steady-state hydraulic approximation η×Qbrine×ΔP for an energy audit; it is not PX shaft power because a PX transfers pressure isobarically. Net plant power = SEC×product flow. The basic/recommended SEC limits are benchmark rules, not universal standards. If PAT recovery changes while SEC remains unchanged, report the model-coupling limitation and do not force an interpolation.</x:v>
      </x:c>
      <x:c r="E29" s="25" t="str">
        <x:v>Scope: equivalent recoverable power uses the steady-state hydraulic approximation η×Qbrine×ΔP for an energy audit; it is not PX shaft power because a PX transfers pressure isobarically. Net plant power = SEC×product flow. The basic/recommended SEC limits are benchmark rules, not universal standards. If PAT recovery changes while SEC remains unchanged, report the model-coupling limitation and do not force an interpolation.</x:v>
      </x:c>
      <x:c r="F29" s="25" t="str">
        <x:v>Scope: equivalent recoverable power uses the steady-state hydraulic approximation η×Qbrine×ΔP for an energy audit; it is not PX shaft power because a PX transfers pressure isobarically. Net plant power = SEC×product flow. The basic/recommended SEC limits are benchmark rules, not universal standards. If PAT recovery changes while SEC remains unchanged, report the model-coupling limitation and do not force an interpolation.</x:v>
      </x:c>
      <x:c r="G29" s="25" t="str">
        <x:v>Scope: equivalent recoverable power uses the steady-state hydraulic approximation η×Qbrine×ΔP for an energy audit; it is not PX shaft power because a PX transfers pressure isobarically. Net plant power = SEC×product flow. The basic/recommended SEC limits are benchmark rules, not universal standards. If PAT recovery changes while SEC remains unchanged, report the model-coupling limitation and do not force an interpolation.</x:v>
      </x:c>
      <x:c r="H29" s="25" t="str">
        <x:v>Scope: equivalent recoverable power uses the steady-state hydraulic approximation η×Qbrine×ΔP for an energy audit; it is not PX shaft power because a PX transfers pressure isobarically. Net plant power = SEC×product flow. The basic/recommended SEC limits are benchmark rules, not universal standards. If PAT recovery changes while SEC remains unchanged, report the model-coupling limitation and do not force an interpolation.</x:v>
      </x:c>
    </x:row>
    <x:row r="30">
      <x:c r="A30" s="25" t="str">
        <x:v>Scope: equivalent recoverable power uses the steady-state hydraulic approximation η×Qbrine×ΔP for an energy audit; it is not PX shaft power because a PX transfers pressure isobarically. Net plant power = SEC×product flow. The basic/recommended SEC limits are benchmark rules, not universal standards. If PAT recovery changes while SEC remains unchanged, report the model-coupling limitation and do not force an interpolation.</x:v>
      </x:c>
      <x:c r="B30" s="25" t="str">
        <x:v>Scope: equivalent recoverable power uses the steady-state hydraulic approximation η×Qbrine×ΔP for an energy audit; it is not PX shaft power because a PX transfers pressure isobarically. Net plant power = SEC×product flow. The basic/recommended SEC limits are benchmark rules, not universal standards. If PAT recovery changes while SEC remains unchanged, report the model-coupling limitation and do not force an interpolation.</x:v>
      </x:c>
      <x:c r="C30" s="25" t="str">
        <x:v>Scope: equivalent recoverable power uses the steady-state hydraulic approximation η×Qbrine×ΔP for an energy audit; it is not PX shaft power because a PX transfers pressure isobarically. Net plant power = SEC×product flow. The basic/recommended SEC limits are benchmark rules, not universal standards. If PAT recovery changes while SEC remains unchanged, report the model-coupling limitation and do not force an interpolation.</x:v>
      </x:c>
      <x:c r="D30" s="25" t="str">
        <x:v>Scope: equivalent recoverable power uses the steady-state hydraulic approximation η×Qbrine×ΔP for an energy audit; it is not PX shaft power because a PX transfers pressure isobarically. Net plant power = SEC×product flow. The basic/recommended SEC limits are benchmark rules, not universal standards. If PAT recovery changes while SEC remains unchanged, report the model-coupling limitation and do not force an interpolation.</x:v>
      </x:c>
      <x:c r="E30" s="25" t="str">
        <x:v>Scope: equivalent recoverable power uses the steady-state hydraulic approximation η×Qbrine×ΔP for an energy audit; it is not PX shaft power because a PX transfers pressure isobarically. Net plant power = SEC×product flow. The basic/recommended SEC limits are benchmark rules, not universal standards. If PAT recovery changes while SEC remains unchanged, report the model-coupling limitation and do not force an interpolation.</x:v>
      </x:c>
      <x:c r="F30" s="25" t="str">
        <x:v>Scope: equivalent recoverable power uses the steady-state hydraulic approximation η×Qbrine×ΔP for an energy audit; it is not PX shaft power because a PX transfers pressure isobarically. Net plant power = SEC×product flow. The basic/recommended SEC limits are benchmark rules, not universal standards. If PAT recovery changes while SEC remains unchanged, report the model-coupling limitation and do not force an interpolation.</x:v>
      </x:c>
      <x:c r="G30" s="25" t="str">
        <x:v>Scope: equivalent recoverable power uses the steady-state hydraulic approximation η×Qbrine×ΔP for an energy audit; it is not PX shaft power because a PX transfers pressure isobarically. Net plant power = SEC×product flow. The basic/recommended SEC limits are benchmark rules, not universal standards. If PAT recovery changes while SEC remains unchanged, report the model-coupling limitation and do not force an interpolation.</x:v>
      </x:c>
      <x:c r="H30" s="25" t="str">
        <x:v>Scope: equivalent recoverable power uses the steady-state hydraulic approximation η×Qbrine×ΔP for an energy audit; it is not PX shaft power because a PX transfers pressure isobarically. Net plant power = SEC×product flow. The basic/recommended SEC limits are benchmark rules, not universal standards. If PAT recovery changes while SEC remains unchanged, report the model-coupling limitation and do not force an interpolation.</x:v>
      </x:c>
    </x:row>
  </x:sheetData>
  <x:mergeCells>
    <x:mergeCell ref="A1:H2"/>
    <x:mergeCell ref="A4:H8"/>
    <x:mergeCell ref="A10:D10"/>
    <x:mergeCell ref="F10:H10"/>
    <x:mergeCell ref="F18:H18"/>
    <x:mergeCell ref="F19:H19"/>
    <x:mergeCell ref="F20:H20"/>
    <x:mergeCell ref="F21:H21"/>
    <x:mergeCell ref="F22:H22"/>
    <x:mergeCell ref="F23:H23"/>
    <x:mergeCell ref="A26:H30"/>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8" hidden="0" customWidth="1"/>
    <x:col min="2" max="2" width="19" hidden="0" customWidth="1"/>
    <x:col min="3" max="3" width="12" hidden="0" customWidth="1"/>
    <x:col min="4" max="4" width="15" hidden="0" customWidth="1"/>
    <x:col min="5" max="5" width="16" hidden="0" customWidth="1"/>
    <x:col min="6" max="6" width="14" hidden="0" customWidth="1"/>
    <x:col min="7" max="7" width="14" hidden="0" customWidth="1"/>
    <x:col min="8" max="8" width="15" hidden="0" customWidth="1"/>
    <x:col min="9" max="9" width="16" hidden="0" customWidth="1"/>
    <x:col min="10" max="10" width="16" hidden="0" customWidth="1"/>
    <x:col min="11" max="11" width="16" hidden="0" customWidth="1"/>
    <x:col min="12" max="12" width="14" hidden="0" customWidth="1"/>
    <x:col min="13" max="13" width="13" hidden="0" customWidth="1"/>
    <x:col min="14" max="14" width="13" hidden="0" customWidth="1"/>
    <x:col min="15" max="15" width="31" hidden="0" customWidth="1"/>
    <x:col min="16" max="16" width="3" hidden="0" customWidth="1"/>
    <x:col min="17" max="17" width="14" hidden="0" customWidth="1"/>
    <x:col min="18" max="18" width="16" hidden="0" customWidth="1"/>
    <x:col min="19" max="19" width="16" hidden="0" customWidth="1"/>
  </x:cols>
  <x:sheetData>
    <x:row r="1" ht="26" customHeight="1">
      <x:c r="A1" s="4" t="str">
        <x:v>D3-3a Stepwise Gold Answer: Concentrate Pressure Energy and PX Net Energy</x:v>
      </x:c>
      <x:c r="B1" s="4" t="str">
        <x:v>D3-3a Stepwise Gold Answer: Concentrate Pressure Energy and PX Net Energy</x:v>
      </x:c>
      <x:c r="C1" s="4" t="str">
        <x:v>D3-3a Stepwise Gold Answer: Concentrate Pressure Energy and PX Net Energy</x:v>
      </x:c>
      <x:c r="D1" s="4" t="str">
        <x:v>D3-3a Stepwise Gold Answer: Concentrate Pressure Energy and PX Net Energy</x:v>
      </x:c>
      <x:c r="E1" s="4" t="str">
        <x:v>D3-3a Stepwise Gold Answer: Concentrate Pressure Energy and PX Net Energy</x:v>
      </x:c>
      <x:c r="F1" s="4" t="str">
        <x:v>D3-3a Stepwise Gold Answer: Concentrate Pressure Energy and PX Net Energy</x:v>
      </x:c>
      <x:c r="G1" s="4" t="str">
        <x:v>D3-3a Stepwise Gold Answer: Concentrate Pressure Energy and PX Net Energy</x:v>
      </x:c>
      <x:c r="H1" s="4" t="str">
        <x:v>D3-3a Stepwise Gold Answer: Concentrate Pressure Energy and PX Net Energy</x:v>
      </x:c>
      <x:c r="I1" s="4" t="str">
        <x:v>D3-3a Stepwise Gold Answer: Concentrate Pressure Energy and PX Net Energy</x:v>
      </x:c>
      <x:c r="J1" s="4" t="str">
        <x:v>D3-3a Stepwise Gold Answer: Concentrate Pressure Energy and PX Net Energy</x:v>
      </x:c>
      <x:c r="K1" s="4" t="str">
        <x:v>D3-3a Stepwise Gold Answer: Concentrate Pressure Energy and PX Net Energy</x:v>
      </x:c>
      <x:c r="L1" s="4" t="str">
        <x:v>D3-3a Stepwise Gold Answer: Concentrate Pressure Energy and PX Net Energy</x:v>
      </x:c>
      <x:c r="M1" s="4" t="str">
        <x:v>D3-3a Stepwise Gold Answer: Concentrate Pressure Energy and PX Net Energy</x:v>
      </x:c>
      <x:c r="N1" s="4" t="str">
        <x:v>D3-3a Stepwise Gold Answer: Concentrate Pressure Energy and PX Net Energy</x:v>
      </x:c>
      <x:c r="O1" s="4" t="str">
        <x:v>D3-3a Stepwise Gold Answer: Concentrate Pressure Energy and PX Net Energy</x:v>
      </x:c>
      <x:c r="P1" s="4" t="str">
        <x:v>D3-3a Stepwise Gold Answer: Concentrate Pressure Energy and PX Net Energy</x:v>
      </x:c>
      <x:c r="Q1" s="4" t="str">
        <x:v>D3-3a Stepwise Gold Answer: Concentrate Pressure Energy and PX Net Energy</x:v>
      </x:c>
      <x:c r="R1" s="4" t="str">
        <x:v>D3-3a Stepwise Gold Answer: Concentrate Pressure Energy and PX Net Energy</x:v>
      </x:c>
      <x:c r="S1" s="4" t="str">
        <x:v>D3-3a Stepwise Gold Answer: Concentrate Pressure Energy and PX Net Energy</x:v>
      </x:c>
    </x:row>
    <x:row r="2" ht="26" customHeight="1">
      <x:c r="A2" s="4" t="str">
        <x:v>D3-3a Stepwise Gold Answer: Concentrate Pressure Energy and PX Net Energy</x:v>
      </x:c>
      <x:c r="B2" s="4" t="str">
        <x:v>D3-3a Stepwise Gold Answer: Concentrate Pressure Energy and PX Net Energy</x:v>
      </x:c>
      <x:c r="C2" s="4" t="str">
        <x:v>D3-3a Stepwise Gold Answer: Concentrate Pressure Energy and PX Net Energy</x:v>
      </x:c>
      <x:c r="D2" s="4" t="str">
        <x:v>D3-3a Stepwise Gold Answer: Concentrate Pressure Energy and PX Net Energy</x:v>
      </x:c>
      <x:c r="E2" s="4" t="str">
        <x:v>D3-3a Stepwise Gold Answer: Concentrate Pressure Energy and PX Net Energy</x:v>
      </x:c>
      <x:c r="F2" s="4" t="str">
        <x:v>D3-3a Stepwise Gold Answer: Concentrate Pressure Energy and PX Net Energy</x:v>
      </x:c>
      <x:c r="G2" s="4" t="str">
        <x:v>D3-3a Stepwise Gold Answer: Concentrate Pressure Energy and PX Net Energy</x:v>
      </x:c>
      <x:c r="H2" s="4" t="str">
        <x:v>D3-3a Stepwise Gold Answer: Concentrate Pressure Energy and PX Net Energy</x:v>
      </x:c>
      <x:c r="I2" s="4" t="str">
        <x:v>D3-3a Stepwise Gold Answer: Concentrate Pressure Energy and PX Net Energy</x:v>
      </x:c>
      <x:c r="J2" s="4" t="str">
        <x:v>D3-3a Stepwise Gold Answer: Concentrate Pressure Energy and PX Net Energy</x:v>
      </x:c>
      <x:c r="K2" s="4" t="str">
        <x:v>D3-3a Stepwise Gold Answer: Concentrate Pressure Energy and PX Net Energy</x:v>
      </x:c>
      <x:c r="L2" s="4" t="str">
        <x:v>D3-3a Stepwise Gold Answer: Concentrate Pressure Energy and PX Net Energy</x:v>
      </x:c>
      <x:c r="M2" s="4" t="str">
        <x:v>D3-3a Stepwise Gold Answer: Concentrate Pressure Energy and PX Net Energy</x:v>
      </x:c>
      <x:c r="N2" s="4" t="str">
        <x:v>D3-3a Stepwise Gold Answer: Concentrate Pressure Energy and PX Net Energy</x:v>
      </x:c>
      <x:c r="O2" s="4" t="str">
        <x:v>D3-3a Stepwise Gold Answer: Concentrate Pressure Energy and PX Net Energy</x:v>
      </x:c>
      <x:c r="P2" s="4" t="str">
        <x:v>D3-3a Stepwise Gold Answer: Concentrate Pressure Energy and PX Net Energy</x:v>
      </x:c>
      <x:c r="Q2" s="4" t="str">
        <x:v>D3-3a Stepwise Gold Answer: Concentrate Pressure Energy and PX Net Energy</x:v>
      </x:c>
      <x:c r="R2" s="4" t="str">
        <x:v>D3-3a Stepwise Gold Answer: Concentrate Pressure Energy and PX Net Energy</x:v>
      </x:c>
      <x:c r="S2" s="4" t="str">
        <x:v>D3-3a Stepwise Gold Answer: Concentrate Pressure Energy and PX Net Energy</x:v>
      </x:c>
    </x:row>
    <x:row r="4">
      <x:c r="A4" s="29" t="str">
        <x:v>Reference trajectory: eight PX calls lock both SEC boundaries, followed by two PAT calls for model QA. One initial PAT call incorrectly included P2 efficiency and was immediately corrected from the returned error. All numbers are actual simulate_swro_system outputs for this case.</x:v>
      </x:c>
      <x:c r="B4" s="29" t="str">
        <x:v>Reference trajectory: eight PX calls lock both SEC boundaries, followed by two PAT calls for model QA. One initial PAT call incorrectly included P2 efficiency and was immediately corrected from the returned error. All numbers are actual simulate_swro_system outputs for this case.</x:v>
      </x:c>
      <x:c r="C4" s="29" t="str">
        <x:v>Reference trajectory: eight PX calls lock both SEC boundaries, followed by two PAT calls for model QA. One initial PAT call incorrectly included P2 efficiency and was immediately corrected from the returned error. All numbers are actual simulate_swro_system outputs for this case.</x:v>
      </x:c>
      <x:c r="D4" s="29" t="str">
        <x:v>Reference trajectory: eight PX calls lock both SEC boundaries, followed by two PAT calls for model QA. One initial PAT call incorrectly included P2 efficiency and was immediately corrected from the returned error. All numbers are actual simulate_swro_system outputs for this case.</x:v>
      </x:c>
      <x:c r="E4" s="29" t="str">
        <x:v>Reference trajectory: eight PX calls lock both SEC boundaries, followed by two PAT calls for model QA. One initial PAT call incorrectly included P2 efficiency and was immediately corrected from the returned error. All numbers are actual simulate_swro_system outputs for this case.</x:v>
      </x:c>
      <x:c r="F4" s="29" t="str">
        <x:v>Reference trajectory: eight PX calls lock both SEC boundaries, followed by two PAT calls for model QA. One initial PAT call incorrectly included P2 efficiency and was immediately corrected from the returned error. All numbers are actual simulate_swro_system outputs for this case.</x:v>
      </x:c>
      <x:c r="G4" s="29" t="str">
        <x:v>Reference trajectory: eight PX calls lock both SEC boundaries, followed by two PAT calls for model QA. One initial PAT call incorrectly included P2 efficiency and was immediately corrected from the returned error. All numbers are actual simulate_swro_system outputs for this case.</x:v>
      </x:c>
      <x:c r="H4" s="29" t="str">
        <x:v>Reference trajectory: eight PX calls lock both SEC boundaries, followed by two PAT calls for model QA. One initial PAT call incorrectly included P2 efficiency and was immediately corrected from the returned error. All numbers are actual simulate_swro_system outputs for this case.</x:v>
      </x:c>
      <x:c r="I4" s="29" t="str">
        <x:v>Reference trajectory: eight PX calls lock both SEC boundaries, followed by two PAT calls for model QA. One initial PAT call incorrectly included P2 efficiency and was immediately corrected from the returned error. All numbers are actual simulate_swro_system outputs for this case.</x:v>
      </x:c>
      <x:c r="J4" s="29" t="str">
        <x:v>Reference trajectory: eight PX calls lock both SEC boundaries, followed by two PAT calls for model QA. One initial PAT call incorrectly included P2 efficiency and was immediately corrected from the returned error. All numbers are actual simulate_swro_system outputs for this case.</x:v>
      </x:c>
      <x:c r="K4" s="29" t="str">
        <x:v>Reference trajectory: eight PX calls lock both SEC boundaries, followed by two PAT calls for model QA. One initial PAT call incorrectly included P2 efficiency and was immediately corrected from the returned error. All numbers are actual simulate_swro_system outputs for this case.</x:v>
      </x:c>
      <x:c r="L4" s="29" t="str">
        <x:v>Reference trajectory: eight PX calls lock both SEC boundaries, followed by two PAT calls for model QA. One initial PAT call incorrectly included P2 efficiency and was immediately corrected from the returned error. All numbers are actual simulate_swro_system outputs for this case.</x:v>
      </x:c>
      <x:c r="M4" s="29" t="str">
        <x:v>Reference trajectory: eight PX calls lock both SEC boundaries, followed by two PAT calls for model QA. One initial PAT call incorrectly included P2 efficiency and was immediately corrected from the returned error. All numbers are actual simulate_swro_system outputs for this case.</x:v>
      </x:c>
      <x:c r="N4" s="29" t="str">
        <x:v>Reference trajectory: eight PX calls lock both SEC boundaries, followed by two PAT calls for model QA. One initial PAT call incorrectly included P2 efficiency and was immediately corrected from the returned error. All numbers are actual simulate_swro_system outputs for this case.</x:v>
      </x:c>
      <x:c r="O4" s="29" t="str">
        <x:v>Reference trajectory: eight PX calls lock both SEC boundaries, followed by two PAT calls for model QA. One initial PAT call incorrectly included P2 efficiency and was immediately corrected from the returned error. All numbers are actual simulate_swro_system outputs for this case.</x:v>
      </x:c>
      <x:c r="P4" s="29" t="str">
        <x:v>Reference trajectory: eight PX calls lock both SEC boundaries, followed by two PAT calls for model QA. One initial PAT call incorrectly included P2 efficiency and was immediately corrected from the returned error. All numbers are actual simulate_swro_system outputs for this case.</x:v>
      </x:c>
      <x:c r="Q4" s="29" t="str">
        <x:v>Reference trajectory: eight PX calls lock both SEC boundaries, followed by two PAT calls for model QA. One initial PAT call incorrectly included P2 efficiency and was immediately corrected from the returned error. All numbers are actual simulate_swro_system outputs for this case.</x:v>
      </x:c>
      <x:c r="R4" s="29" t="str">
        <x:v>Reference trajectory: eight PX calls lock both SEC boundaries, followed by two PAT calls for model QA. One initial PAT call incorrectly included P2 efficiency and was immediately corrected from the returned error. All numbers are actual simulate_swro_system outputs for this case.</x:v>
      </x:c>
      <x:c r="S4" s="29" t="str">
        <x:v>Reference trajectory: eight PX calls lock both SEC boundaries, followed by two PAT calls for model QA. One initial PAT call incorrectly included P2 efficiency and was immediately corrected from the returned error. All numbers are actual simulate_swro_system outputs for this case.</x:v>
      </x:c>
    </x:row>
    <x:row r="5">
      <x:c r="A5" s="29" t="str">
        <x:v>Reference trajectory: eight PX calls lock both SEC boundaries, followed by two PAT calls for model QA. One initial PAT call incorrectly included P2 efficiency and was immediately corrected from the returned error. All numbers are actual simulate_swro_system outputs for this case.</x:v>
      </x:c>
      <x:c r="B5" s="29" t="str">
        <x:v>Reference trajectory: eight PX calls lock both SEC boundaries, followed by two PAT calls for model QA. One initial PAT call incorrectly included P2 efficiency and was immediately corrected from the returned error. All numbers are actual simulate_swro_system outputs for this case.</x:v>
      </x:c>
      <x:c r="C5" s="29" t="str">
        <x:v>Reference trajectory: eight PX calls lock both SEC boundaries, followed by two PAT calls for model QA. One initial PAT call incorrectly included P2 efficiency and was immediately corrected from the returned error. All numbers are actual simulate_swro_system outputs for this case.</x:v>
      </x:c>
      <x:c r="D5" s="29" t="str">
        <x:v>Reference trajectory: eight PX calls lock both SEC boundaries, followed by two PAT calls for model QA. One initial PAT call incorrectly included P2 efficiency and was immediately corrected from the returned error. All numbers are actual simulate_swro_system outputs for this case.</x:v>
      </x:c>
      <x:c r="E5" s="29" t="str">
        <x:v>Reference trajectory: eight PX calls lock both SEC boundaries, followed by two PAT calls for model QA. One initial PAT call incorrectly included P2 efficiency and was immediately corrected from the returned error. All numbers are actual simulate_swro_system outputs for this case.</x:v>
      </x:c>
      <x:c r="F5" s="29" t="str">
        <x:v>Reference trajectory: eight PX calls lock both SEC boundaries, followed by two PAT calls for model QA. One initial PAT call incorrectly included P2 efficiency and was immediately corrected from the returned error. All numbers are actual simulate_swro_system outputs for this case.</x:v>
      </x:c>
      <x:c r="G5" s="29" t="str">
        <x:v>Reference trajectory: eight PX calls lock both SEC boundaries, followed by two PAT calls for model QA. One initial PAT call incorrectly included P2 efficiency and was immediately corrected from the returned error. All numbers are actual simulate_swro_system outputs for this case.</x:v>
      </x:c>
      <x:c r="H5" s="29" t="str">
        <x:v>Reference trajectory: eight PX calls lock both SEC boundaries, followed by two PAT calls for model QA. One initial PAT call incorrectly included P2 efficiency and was immediately corrected from the returned error. All numbers are actual simulate_swro_system outputs for this case.</x:v>
      </x:c>
      <x:c r="I5" s="29" t="str">
        <x:v>Reference trajectory: eight PX calls lock both SEC boundaries, followed by two PAT calls for model QA. One initial PAT call incorrectly included P2 efficiency and was immediately corrected from the returned error. All numbers are actual simulate_swro_system outputs for this case.</x:v>
      </x:c>
      <x:c r="J5" s="29" t="str">
        <x:v>Reference trajectory: eight PX calls lock both SEC boundaries, followed by two PAT calls for model QA. One initial PAT call incorrectly included P2 efficiency and was immediately corrected from the returned error. All numbers are actual simulate_swro_system outputs for this case.</x:v>
      </x:c>
      <x:c r="K5" s="29" t="str">
        <x:v>Reference trajectory: eight PX calls lock both SEC boundaries, followed by two PAT calls for model QA. One initial PAT call incorrectly included P2 efficiency and was immediately corrected from the returned error. All numbers are actual simulate_swro_system outputs for this case.</x:v>
      </x:c>
      <x:c r="L5" s="29" t="str">
        <x:v>Reference trajectory: eight PX calls lock both SEC boundaries, followed by two PAT calls for model QA. One initial PAT call incorrectly included P2 efficiency and was immediately corrected from the returned error. All numbers are actual simulate_swro_system outputs for this case.</x:v>
      </x:c>
      <x:c r="M5" s="29" t="str">
        <x:v>Reference trajectory: eight PX calls lock both SEC boundaries, followed by two PAT calls for model QA. One initial PAT call incorrectly included P2 efficiency and was immediately corrected from the returned error. All numbers are actual simulate_swro_system outputs for this case.</x:v>
      </x:c>
      <x:c r="N5" s="29" t="str">
        <x:v>Reference trajectory: eight PX calls lock both SEC boundaries, followed by two PAT calls for model QA. One initial PAT call incorrectly included P2 efficiency and was immediately corrected from the returned error. All numbers are actual simulate_swro_system outputs for this case.</x:v>
      </x:c>
      <x:c r="O5" s="29" t="str">
        <x:v>Reference trajectory: eight PX calls lock both SEC boundaries, followed by two PAT calls for model QA. One initial PAT call incorrectly included P2 efficiency and was immediately corrected from the returned error. All numbers are actual simulate_swro_system outputs for this case.</x:v>
      </x:c>
      <x:c r="P5" s="29" t="str">
        <x:v>Reference trajectory: eight PX calls lock both SEC boundaries, followed by two PAT calls for model QA. One initial PAT call incorrectly included P2 efficiency and was immediately corrected from the returned error. All numbers are actual simulate_swro_system outputs for this case.</x:v>
      </x:c>
      <x:c r="Q5" s="29" t="str">
        <x:v>Reference trajectory: eight PX calls lock both SEC boundaries, followed by two PAT calls for model QA. One initial PAT call incorrectly included P2 efficiency and was immediately corrected from the returned error. All numbers are actual simulate_swro_system outputs for this case.</x:v>
      </x:c>
      <x:c r="R5" s="29" t="str">
        <x:v>Reference trajectory: eight PX calls lock both SEC boundaries, followed by two PAT calls for model QA. One initial PAT call incorrectly included P2 efficiency and was immediately corrected from the returned error. All numbers are actual simulate_swro_system outputs for this case.</x:v>
      </x:c>
      <x:c r="S5" s="29" t="str">
        <x:v>Reference trajectory: eight PX calls lock both SEC boundaries, followed by two PAT calls for model QA. One initial PAT call incorrectly included P2 efficiency and was immediately corrected from the returned error. All numbers are actual simulate_swro_system outputs for this case.</x:v>
      </x:c>
    </x:row>
    <x:row r="6">
      <x:c r="A6" s="29" t="str">
        <x:v>Reference trajectory: eight PX calls lock both SEC boundaries, followed by two PAT calls for model QA. One initial PAT call incorrectly included P2 efficiency and was immediately corrected from the returned error. All numbers are actual simulate_swro_system outputs for this case.</x:v>
      </x:c>
      <x:c r="B6" s="29" t="str">
        <x:v>Reference trajectory: eight PX calls lock both SEC boundaries, followed by two PAT calls for model QA. One initial PAT call incorrectly included P2 efficiency and was immediately corrected from the returned error. All numbers are actual simulate_swro_system outputs for this case.</x:v>
      </x:c>
      <x:c r="C6" s="29" t="str">
        <x:v>Reference trajectory: eight PX calls lock both SEC boundaries, followed by two PAT calls for model QA. One initial PAT call incorrectly included P2 efficiency and was immediately corrected from the returned error. All numbers are actual simulate_swro_system outputs for this case.</x:v>
      </x:c>
      <x:c r="D6" s="29" t="str">
        <x:v>Reference trajectory: eight PX calls lock both SEC boundaries, followed by two PAT calls for model QA. One initial PAT call incorrectly included P2 efficiency and was immediately corrected from the returned error. All numbers are actual simulate_swro_system outputs for this case.</x:v>
      </x:c>
      <x:c r="E6" s="29" t="str">
        <x:v>Reference trajectory: eight PX calls lock both SEC boundaries, followed by two PAT calls for model QA. One initial PAT call incorrectly included P2 efficiency and was immediately corrected from the returned error. All numbers are actual simulate_swro_system outputs for this case.</x:v>
      </x:c>
      <x:c r="F6" s="29" t="str">
        <x:v>Reference trajectory: eight PX calls lock both SEC boundaries, followed by two PAT calls for model QA. One initial PAT call incorrectly included P2 efficiency and was immediately corrected from the returned error. All numbers are actual simulate_swro_system outputs for this case.</x:v>
      </x:c>
      <x:c r="G6" s="29" t="str">
        <x:v>Reference trajectory: eight PX calls lock both SEC boundaries, followed by two PAT calls for model QA. One initial PAT call incorrectly included P2 efficiency and was immediately corrected from the returned error. All numbers are actual simulate_swro_system outputs for this case.</x:v>
      </x:c>
      <x:c r="H6" s="29" t="str">
        <x:v>Reference trajectory: eight PX calls lock both SEC boundaries, followed by two PAT calls for model QA. One initial PAT call incorrectly included P2 efficiency and was immediately corrected from the returned error. All numbers are actual simulate_swro_system outputs for this case.</x:v>
      </x:c>
      <x:c r="I6" s="29" t="str">
        <x:v>Reference trajectory: eight PX calls lock both SEC boundaries, followed by two PAT calls for model QA. One initial PAT call incorrectly included P2 efficiency and was immediately corrected from the returned error. All numbers are actual simulate_swro_system outputs for this case.</x:v>
      </x:c>
      <x:c r="J6" s="29" t="str">
        <x:v>Reference trajectory: eight PX calls lock both SEC boundaries, followed by two PAT calls for model QA. One initial PAT call incorrectly included P2 efficiency and was immediately corrected from the returned error. All numbers are actual simulate_swro_system outputs for this case.</x:v>
      </x:c>
      <x:c r="K6" s="29" t="str">
        <x:v>Reference trajectory: eight PX calls lock both SEC boundaries, followed by two PAT calls for model QA. One initial PAT call incorrectly included P2 efficiency and was immediately corrected from the returned error. All numbers are actual simulate_swro_system outputs for this case.</x:v>
      </x:c>
      <x:c r="L6" s="29" t="str">
        <x:v>Reference trajectory: eight PX calls lock both SEC boundaries, followed by two PAT calls for model QA. One initial PAT call incorrectly included P2 efficiency and was immediately corrected from the returned error. All numbers are actual simulate_swro_system outputs for this case.</x:v>
      </x:c>
      <x:c r="M6" s="29" t="str">
        <x:v>Reference trajectory: eight PX calls lock both SEC boundaries, followed by two PAT calls for model QA. One initial PAT call incorrectly included P2 efficiency and was immediately corrected from the returned error. All numbers are actual simulate_swro_system outputs for this case.</x:v>
      </x:c>
      <x:c r="N6" s="29" t="str">
        <x:v>Reference trajectory: eight PX calls lock both SEC boundaries, followed by two PAT calls for model QA. One initial PAT call incorrectly included P2 efficiency and was immediately corrected from the returned error. All numbers are actual simulate_swro_system outputs for this case.</x:v>
      </x:c>
      <x:c r="O6" s="29" t="str">
        <x:v>Reference trajectory: eight PX calls lock both SEC boundaries, followed by two PAT calls for model QA. One initial PAT call incorrectly included P2 efficiency and was immediately corrected from the returned error. All numbers are actual simulate_swro_system outputs for this case.</x:v>
      </x:c>
      <x:c r="P6" s="29" t="str">
        <x:v>Reference trajectory: eight PX calls lock both SEC boundaries, followed by two PAT calls for model QA. One initial PAT call incorrectly included P2 efficiency and was immediately corrected from the returned error. All numbers are actual simulate_swro_system outputs for this case.</x:v>
      </x:c>
      <x:c r="Q6" s="29" t="str">
        <x:v>Reference trajectory: eight PX calls lock both SEC boundaries, followed by two PAT calls for model QA. One initial PAT call incorrectly included P2 efficiency and was immediately corrected from the returned error. All numbers are actual simulate_swro_system outputs for this case.</x:v>
      </x:c>
      <x:c r="R6" s="29" t="str">
        <x:v>Reference trajectory: eight PX calls lock both SEC boundaries, followed by two PAT calls for model QA. One initial PAT call incorrectly included P2 efficiency and was immediately corrected from the returned error. All numbers are actual simulate_swro_system outputs for this case.</x:v>
      </x:c>
      <x:c r="S6" s="29" t="str">
        <x:v>Reference trajectory: eight PX calls lock both SEC boundaries, followed by two PAT calls for model QA. One initial PAT call incorrectly included P2 efficiency and was immediately corrected from the returned error. All numbers are actual simulate_swro_system outputs for this case.</x:v>
      </x:c>
    </x:row>
    <x:row r="8">
      <x:c r="A8" s="11" t="str">
        <x:v>Reference agent trajectory</x:v>
      </x:c>
      <x:c r="B8" s="11" t="str">
        <x:v>Reference agent trajectory</x:v>
      </x:c>
      <x:c r="C8" s="11" t="str">
        <x:v>Reference agent trajectory</x:v>
      </x:c>
      <x:c r="D8" s="11" t="str">
        <x:v>Reference agent trajectory</x:v>
      </x:c>
      <x:c r="E8" s="11" t="str">
        <x:v>Reference agent trajectory</x:v>
      </x:c>
      <x:c r="F8" s="11" t="str">
        <x:v>Reference agent trajectory</x:v>
      </x:c>
      <x:c r="G8" s="11" t="str">
        <x:v>Reference agent trajectory</x:v>
      </x:c>
    </x:row>
    <x:row r="9">
      <x:c r="A9" s="17" t="str">
        <x:v>Stage</x:v>
      </x:c>
      <x:c r="B9" s="17" t="str">
        <x:v>Known state</x:v>
      </x:c>
      <x:c r="C9" s="17" t="str">
        <x:v>Action</x:v>
      </x:c>
      <x:c r="D9" s="17" t="str">
        <x:v>Key observation</x:v>
      </x:c>
      <x:c r="E9" s="17" t="str">
        <x:v>State update</x:v>
      </x:c>
      <x:c r="F9" s="17" t="str">
        <x:v>Next step</x:v>
      </x:c>
      <x:c r="G9" s="17" t="str">
        <x:v>Capability</x:v>
      </x:c>
    </x:row>
    <x:row r="10" ht="48" customHeight="1">
      <x:c r="A10" s="20" t="str">
        <x:v>1 Bracket</x:v>
      </x:c>
      <x:c r="B10" s="20" t="str">
        <x:v>PX effect unknown</x:v>
      </x:c>
      <x:c r="C10" s="20" t="str">
        <x:v>η=0.85 and 0.96</x:v>
      </x:c>
      <x:c r="D10" s="20" t="str">
        <x:v>SEC 3.3159→2.9649; product unchanged</x:v>
      </x:c>
      <x:c r="E10" s="20" t="str">
        <x:v>Higher efficiency lowers P2/SEC</x:v>
      </x:c>
      <x:c r="F10" s="20" t="str">
        <x:v>Test midpoints</x:v>
      </x:c>
      <x:c r="G10" s="20" t="str">
        <x:v>State diagnosis</x:v>
      </x:c>
    </x:row>
    <x:row r="11" ht="48" customHeight="1">
      <x:c r="A11" s="20" t="str">
        <x:v>2 Narrow</x:v>
      </x:c>
      <x:c r="B11" s="20" t="str">
        <x:v>Both targets bracketed</x:v>
      </x:c>
      <x:c r="C11" s="20" t="str">
        <x:v>η=0.90 and 0.93</x:v>
      </x:c>
      <x:c r="D11" s="20" t="str">
        <x:v>0.90 fails both; 0.93 passes basic only</x:v>
      </x:c>
      <x:c r="E11" s="20" t="str">
        <x:v>Basic in 0.90–0.93; recommended in 0.93–0.96</x:v>
      </x:c>
      <x:c r="F11" s="20" t="str">
        <x:v>Move to 0.001 resolution</x:v>
      </x:c>
      <x:c r="G11" s="20" t="str">
        <x:v>Adaptive search</x:v>
      </x:c>
    </x:row>
    <x:row r="12" ht="48" customHeight="1">
      <x:c r="A12" s="20" t="str">
        <x:v>3 Basic limit</x:v>
      </x:c>
      <x:c r="B12" s="20" t="str">
        <x:v>Target SEC≤3.10</x:v>
      </x:c>
      <x:c r="C12" s="20" t="str">
        <x:v>0.917↔0.918</x:v>
      </x:c>
      <x:c r="D12" s="20" t="str">
        <x:v>3.102141 fail / 3.098951 pass</x:v>
      </x:c>
      <x:c r="E12" s="20" t="str">
        <x:v>Minimum basic efficiency=0.918</x:v>
      </x:c>
      <x:c r="F12" s="20" t="str">
        <x:v>Switch to recommended target</x:v>
      </x:c>
      <x:c r="G12" s="20" t="str">
        <x:v>Adjacent proof</x:v>
      </x:c>
    </x:row>
    <x:row r="13" ht="48" customHeight="1">
      <x:c r="A13" s="20" t="str">
        <x:v>4 Recommended limit</x:v>
      </x:c>
      <x:c r="B13" s="20" t="str">
        <x:v>Target SEC≤3.00</x:v>
      </x:c>
      <x:c r="C13" s="20" t="str">
        <x:v>0.949↔0.950</x:v>
      </x:c>
      <x:c r="D13" s="20" t="str">
        <x:v>3.000044 fail / 2.996853 pass</x:v>
      </x:c>
      <x:c r="E13" s="20" t="str">
        <x:v>Minimum recommended efficiency=0.950</x:v>
      </x:c>
      <x:c r="F13" s="20" t="str">
        <x:v>Audit brine pressure power</x:v>
      </x:c>
      <x:c r="G13" s="20" t="str">
        <x:v>Strict threshold</x:v>
      </x:c>
    </x:row>
    <x:row r="14" ht="48" customHeight="1">
      <x:c r="A14" s="20" t="str">
        <x:v>5 PAT QA</x:v>
      </x:c>
      <x:c r="B14" s="20" t="str">
        <x:v>Compare another ERD</x:v>
      </x:c>
      <x:c r="C14" s="20" t="str">
        <x:v>Correct invalid P2 input; η=0.85/0.90</x:v>
      </x:c>
      <x:c r="D14" s="20" t="str">
        <x:v>Recovery 1048.76→1110.45 kW, but SEC identical</x:v>
      </x:c>
      <x:c r="E14" s="20" t="str">
        <x:v>Recovery is checkable; PAT SEC sensitivity is not</x:v>
      </x:c>
      <x:c r="F14" s="20" t="str">
        <x:v>State limitation</x:v>
      </x:c>
      <x:c r="G14" s="20" t="str">
        <x:v>Error recovery/model QA</x:v>
      </x:c>
    </x:row>
    <x:row r="15" ht="48" customHeight="1">
      <x:c r="A15" s="20" t="str">
        <x:v>6 Decision</x:v>
      </x:c>
      <x:c r="B15" s="20" t="str">
        <x:v>Limits and model caveat known</x:v>
      </x:c>
      <x:c r="C15" s="20" t="str">
        <x:v>Summarize audit</x:v>
      </x:c>
      <x:c r="D15" s="20" t="str">
        <x:v>0.85→0.95 saves 150.50 kW and 1.192 GWh/y</x:v>
      </x:c>
      <x:c r="E15" s="20" t="str">
        <x:v>Set 95.0% alarm/maintenance floor</x:v>
      </x:c>
      <x:c r="F15" s="20" t="str">
        <x:v>Stop</x:v>
      </x:c>
      <x:c r="G15" s="20" t="str">
        <x:v>Engineering decision</x:v>
      </x:c>
    </x:row>
    <x:row r="18">
      <x:c r="A18" s="11" t="str">
        <x:v>Ten valid simulate_swro_system calls</x:v>
      </x:c>
      <x:c r="B18" s="11" t="str">
        <x:v>Ten valid simulate_swro_system calls</x:v>
      </x:c>
      <x:c r="C18" s="11" t="str">
        <x:v>Ten valid simulate_swro_system calls</x:v>
      </x:c>
      <x:c r="D18" s="11" t="str">
        <x:v>Ten valid simulate_swro_system calls</x:v>
      </x:c>
      <x:c r="E18" s="11" t="str">
        <x:v>Ten valid simulate_swro_system calls</x:v>
      </x:c>
      <x:c r="F18" s="11" t="str">
        <x:v>Ten valid simulate_swro_system calls</x:v>
      </x:c>
      <x:c r="G18" s="11" t="str">
        <x:v>Ten valid simulate_swro_system calls</x:v>
      </x:c>
      <x:c r="H18" s="11" t="str">
        <x:v>Ten valid simulate_swro_system calls</x:v>
      </x:c>
      <x:c r="I18" s="11" t="str">
        <x:v>Ten valid simulate_swro_system calls</x:v>
      </x:c>
      <x:c r="J18" s="11" t="str">
        <x:v>Ten valid simulate_swro_system calls</x:v>
      </x:c>
      <x:c r="K18" s="11" t="str">
        <x:v>Ten valid simulate_swro_system calls</x:v>
      </x:c>
      <x:c r="L18" s="11" t="str">
        <x:v>Ten valid simulate_swro_system calls</x:v>
      </x:c>
      <x:c r="M18" s="11" t="str">
        <x:v>Ten valid simulate_swro_system calls</x:v>
      </x:c>
      <x:c r="N18" s="11" t="str">
        <x:v>Ten valid simulate_swro_system calls</x:v>
      </x:c>
      <x:c r="O18" s="11" t="str">
        <x:v>Ten valid simulate_swro_system calls</x:v>
      </x:c>
    </x:row>
    <x:row r="19">
      <x:c r="A19" s="17" t="str">
        <x:v>Call</x:v>
      </x:c>
      <x:c r="B19" s="17" t="str">
        <x:v>ERD type</x:v>
      </x:c>
      <x:c r="C19" s="17" t="str">
        <x:v>Efficiency</x:v>
      </x:c>
      <x:c r="D19" s="17" t="str">
        <x:v>Product m³/s</x:v>
      </x:c>
      <x:c r="E19" s="17" t="str">
        <x:v>Product m³/d</x:v>
      </x:c>
      <x:c r="F19" s="17" t="str">
        <x:v>Recovery %</x:v>
      </x:c>
      <x:c r="G19" s="17" t="str">
        <x:v>P1 kW</x:v>
      </x:c>
      <x:c r="H19" s="17" t="str">
        <x:v>P2 kW</x:v>
      </x:c>
      <x:c r="I19" s="17" t="str">
        <x:v>ERD recovered kW</x:v>
      </x:c>
      <x:c r="J19" s="17" t="str">
        <x:v>SEC kWh/m³</x:v>
      </x:c>
      <x:c r="K19" s="17" t="str">
        <x:v>Net plant kW</x:v>
      </x:c>
      <x:c r="L19" s="17" t="str">
        <x:v>Daily energy kWh/d</x:v>
      </x:c>
      <x:c r="M19" s="17" t="str">
        <x:v>LCOW $/m³</x:v>
      </x:c>
      <x:c r="N19" s="17" t="str">
        <x:v>Criterion status</x:v>
      </x:c>
      <x:c r="O19" s="17" t="str">
        <x:v>Observation/decision</x:v>
      </x:c>
      <x:c r="Q19" t="str">
        <x:v>PX efficiency</x:v>
      </x:c>
      <x:c r="R19" t="str">
        <x:v>SEC</x:v>
      </x:c>
      <x:c r="S19" t="str">
        <x:v>Recommended limit</x:v>
      </x:c>
    </x:row>
    <x:row r="20" ht="31" customHeight="1">
      <x:c r="A20" s="20" t="n">
        <x:v>1</x:v>
      </x:c>
      <x:c r="B20" s="20" t="str">
        <x:v>pressure_exchanger</x:v>
      </x:c>
      <x:c r="C20" s="21" t="n">
        <x:v>0.85</x:v>
      </x:c>
      <x:c r="D20" s="30" t="n">
        <x:v>0.13102724418495598</x:v>
      </x:c>
      <x:c r="E20" s="31" t="n">
        <x:f>D20*86400</x:f>
        <x:v>11320.753897580196</x:v>
      </x:c>
      <x:c r="F20" s="31" t="n">
        <x:v>40.94601380779874</x:v>
      </x:c>
      <x:c r="G20" s="31" t="n">
        <x:v>1088.2486369527476</x:v>
      </x:c>
      <x:c r="H20" s="31" t="n">
        <x:v>283.36509173353477</x:v>
      </x:c>
      <x:c r="I20" s="31"/>
      <x:c r="J20" s="31" t="n">
        <x:v>3.315907860399351</x:v>
      </x:c>
      <x:c r="K20" s="31" t="n">
        <x:f>E20/24*J20</x:f>
        <x:v>1564.1073681096984</x:v>
      </x:c>
      <x:c r="L20" s="31" t="n">
        <x:f>E20*J20</x:f>
        <x:v>37538.57683463276</x:v>
      </x:c>
      <x:c r="M20" s="31" t="n">
        <x:v>0.874654790969259</x:v>
      </x:c>
      <x:c r="N20" s="20" t="str">
        <x:f>IF(J20&lt;=3,"PASS",IF(J20&lt;=3.1,"BASIC ONLY","FAIL"))</x:f>
        <x:v>FAIL</x:v>
      </x:c>
      <x:c r="O20" s="20" t="str">
        <x:v>Degraded baseline; both SEC criteria fail</x:v>
      </x:c>
      <x:c r="Q20" t="n">
        <x:f>C20</x:f>
        <x:v>0.85</x:v>
      </x:c>
      <x:c r="R20" t="n">
        <x:f>J20</x:f>
        <x:v>3.315907860399351</x:v>
      </x:c>
      <x:c r="S20" t="n">
        <x:f>3</x:f>
        <x:v>3</x:v>
      </x:c>
    </x:row>
    <x:row r="21" ht="31" customHeight="1">
      <x:c r="A21" s="20" t="n">
        <x:v>2</x:v>
      </x:c>
      <x:c r="B21" s="20" t="str">
        <x:v>pressure_exchanger</x:v>
      </x:c>
      <x:c r="C21" s="21" t="n">
        <x:v>0.96</x:v>
      </x:c>
      <x:c r="D21" s="30" t="n">
        <x:v>0.131027244184956</x:v>
      </x:c>
      <x:c r="E21" s="31" t="n">
        <x:f>D21*86400</x:f>
        <x:v>11320.7538975802</x:v>
      </x:c>
      <x:c r="F21" s="31" t="n">
        <x:v>40.94601380779876</x:v>
      </x:c>
      <x:c r="G21" s="31" t="n">
        <x:v>1088.2486369527478</x:v>
      </x:c>
      <x:c r="H21" s="31" t="n">
        <x:v>117.81783215303884</x:v>
      </x:c>
      <x:c r="I21" s="31"/>
      <x:c r="J21" s="31" t="n">
        <x:v>2.964947644686053</x:v>
      </x:c>
      <x:c r="K21" s="31" t="n">
        <x:f>E21/24*J21</x:f>
        <x:v>1398.5601085292028</x:v>
      </x:c>
      <x:c r="L21" s="31" t="n">
        <x:f>E21*J21</x:f>
        <x:v>33565.44260470087</x:v>
      </x:c>
      <x:c r="M21" s="31" t="n">
        <x:v>0.8394020023947164</x:v>
      </x:c>
      <x:c r="N21" s="20" t="str">
        <x:f>IF(J21&lt;=3,"PASS",IF(J21&lt;=3.1,"BASIC ONLY","FAIL"))</x:f>
        <x:v>PASS</x:v>
      </x:c>
      <x:c r="O21" s="20" t="str">
        <x:v>Healthy endpoint; both criteria pass</x:v>
      </x:c>
      <x:c r="Q21" t="n">
        <x:f>C22</x:f>
        <x:v>0.9</x:v>
      </x:c>
      <x:c r="R21" t="n">
        <x:f>J22</x:f>
        <x:v>3.1563804896205787</x:v>
      </x:c>
      <x:c r="S21" t="n">
        <x:f>3</x:f>
        <x:v>3</x:v>
      </x:c>
    </x:row>
    <x:row r="22" ht="31" customHeight="1">
      <x:c r="A22" s="20" t="n">
        <x:v>3</x:v>
      </x:c>
      <x:c r="B22" s="20" t="str">
        <x:v>pressure_exchanger</x:v>
      </x:c>
      <x:c r="C22" s="21" t="n">
        <x:v>0.9</x:v>
      </x:c>
      <x:c r="D22" s="30" t="n">
        <x:v>0.13102724418495604</x:v>
      </x:c>
      <x:c r="E22" s="31" t="n">
        <x:f>D22*86400</x:f>
        <x:v>11320.753897580202</x:v>
      </x:c>
      <x:c r="F22" s="31" t="n">
        <x:v>40.94601380779876</x:v>
      </x:c>
      <x:c r="G22" s="31" t="n">
        <x:v>1088.2486369527476</x:v>
      </x:c>
      <x:c r="H22" s="31" t="n">
        <x:v>208.1163373787639</x:v>
      </x:c>
      <x:c r="I22" s="31"/>
      <x:c r="J22" s="31" t="n">
        <x:v>3.1563804896205787</x:v>
      </x:c>
      <x:c r="K22" s="31" t="n">
        <x:f>E22/24*J22</x:f>
        <x:v>1488.858613754928</x:v>
      </x:c>
      <x:c r="L22" s="31" t="n">
        <x:f>E22*J22</x:f>
        <x:v>35732.60673011827</x:v>
      </x:c>
      <x:c r="M22" s="31" t="n">
        <x:v>0.8586307961626484</x:v>
      </x:c>
      <x:c r="N22" s="20" t="str">
        <x:f>IF(J22&lt;=3,"PASS",IF(J22&lt;=3.1,"BASIC ONLY","FAIL"))</x:f>
        <x:v>FAIL</x:v>
      </x:c>
      <x:c r="O22" s="20" t="str">
        <x:v>Narrow the basic boundary</x:v>
      </x:c>
      <x:c r="Q22" t="n">
        <x:f>C24</x:f>
        <x:v>0.917</x:v>
      </x:c>
      <x:c r="R22" t="n">
        <x:f>J24</x:f>
        <x:v>3.1021411835557973</x:v>
      </x:c>
      <x:c r="S22" t="n">
        <x:f>3</x:f>
        <x:v>3</x:v>
      </x:c>
    </x:row>
    <x:row r="23" ht="31" customHeight="1">
      <x:c r="A23" s="20" t="n">
        <x:v>4</x:v>
      </x:c>
      <x:c r="B23" s="20" t="str">
        <x:v>pressure_exchanger</x:v>
      </x:c>
      <x:c r="C23" s="21" t="n">
        <x:v>0.93</x:v>
      </x:c>
      <x:c r="D23" s="30" t="n">
        <x:v>0.13102724418495607</x:v>
      </x:c>
      <x:c r="E23" s="31" t="n">
        <x:f>D23*86400</x:f>
        <x:v>11320.753897580204</x:v>
      </x:c>
      <x:c r="F23" s="31" t="n">
        <x:v>40.94601380779877</x:v>
      </x:c>
      <x:c r="G23" s="31" t="n">
        <x:v>1088.2486369527473</x:v>
      </x:c>
      <x:c r="H23" s="31" t="n">
        <x:v>162.96708476590118</x:v>
      </x:c>
      <x:c r="I23" s="31"/>
      <x:c r="J23" s="31" t="n">
        <x:v>3.0606640671533145</x:v>
      </x:c>
      <x:c r="K23" s="31" t="n">
        <x:f>E23/24*J23</x:f>
        <x:v>1443.709361142065</x:v>
      </x:c>
      <x:c r="L23" s="31" t="n">
        <x:f>E23*J23</x:f>
        <x:v>34649.02466740956</x:v>
      </x:c>
      <x:c r="M23" s="31" t="n">
        <x:v>0.8490163992786821</x:v>
      </x:c>
      <x:c r="N23" s="20" t="str">
        <x:f>IF(J23&lt;=3,"PASS",IF(J23&lt;=3.1,"BASIC ONLY","FAIL"))</x:f>
        <x:v>BASIC ONLY</x:v>
      </x:c>
      <x:c r="O23" s="20" t="str">
        <x:v>Basic passes; recommended fails</x:v>
      </x:c>
      <x:c r="Q23" t="n">
        <x:f>C25</x:f>
        <x:v>0.918</x:v>
      </x:c>
      <x:c r="R23" t="n">
        <x:f>J25</x:f>
        <x:v>3.0989506361402204</x:v>
      </x:c>
      <x:c r="S23" t="n">
        <x:f>3</x:f>
        <x:v>3</x:v>
      </x:c>
    </x:row>
    <x:row r="24" ht="31" customHeight="1">
      <x:c r="A24" s="20" t="n">
        <x:v>5</x:v>
      </x:c>
      <x:c r="B24" s="20" t="str">
        <x:v>pressure_exchanger</x:v>
      </x:c>
      <x:c r="C24" s="21" t="n">
        <x:v>0.917</x:v>
      </x:c>
      <x:c r="D24" s="30" t="n">
        <x:v>0.13102724418495598</x:v>
      </x:c>
      <x:c r="E24" s="31" t="n">
        <x:f>D24*86400</x:f>
        <x:v>11320.753897580196</x:v>
      </x:c>
      <x:c r="F24" s="31" t="n">
        <x:v>40.94601380779874</x:v>
      </x:c>
      <x:c r="G24" s="31" t="n">
        <x:v>1088.248636952748</x:v>
      </x:c>
      <x:c r="H24" s="31" t="n">
        <x:v>182.53176089814167</x:v>
      </x:c>
      <x:c r="I24" s="31"/>
      <x:c r="J24" s="31" t="n">
        <x:v>3.1021411835557973</x:v>
      </x:c>
      <x:c r="K24" s="31" t="n">
        <x:f>E24/24*J24</x:f>
        <x:v>1463.2740372743056</x:v>
      </x:c>
      <x:c r="L24" s="31" t="n">
        <x:f>E24*J24</x:f>
        <x:v>35118.57689458333</x:v>
      </x:c>
      <x:c r="M24" s="31" t="n">
        <x:v>0.8531826379284014</x:v>
      </x:c>
      <x:c r="N24" s="20" t="str">
        <x:f>IF(J24&lt;=3,"PASS",IF(J24&lt;=3.1,"BASIC ONLY","FAIL"))</x:f>
        <x:v>FAIL</x:v>
      </x:c>
      <x:c r="O24" s="20" t="str">
        <x:v>Basic-boundary fail</x:v>
      </x:c>
      <x:c r="Q24" t="n">
        <x:f>C23</x:f>
        <x:v>0.93</x:v>
      </x:c>
      <x:c r="R24" t="n">
        <x:f>J23</x:f>
        <x:v>3.0606640671533145</x:v>
      </x:c>
      <x:c r="S24" t="n">
        <x:f>3</x:f>
        <x:v>3</x:v>
      </x:c>
    </x:row>
    <x:row r="25" ht="31" customHeight="1">
      <x:c r="A25" s="20" t="n">
        <x:v>6</x:v>
      </x:c>
      <x:c r="B25" s="20" t="str">
        <x:v>pressure_exchanger</x:v>
      </x:c>
      <x:c r="C25" s="21" t="n">
        <x:v>0.918</x:v>
      </x:c>
      <x:c r="D25" s="30" t="n">
        <x:v>0.13102724418495604</x:v>
      </x:c>
      <x:c r="E25" s="31" t="n">
        <x:f>D25*86400</x:f>
        <x:v>11320.753897580202</x:v>
      </x:c>
      <x:c r="F25" s="31" t="n">
        <x:v>40.94601380779876</x:v>
      </x:c>
      <x:c r="G25" s="31" t="n">
        <x:v>1088.2486369527478</x:v>
      </x:c>
      <x:c r="H25" s="31" t="n">
        <x:v>181.02678581104624</x:v>
      </x:c>
      <x:c r="I25" s="31"/>
      <x:c r="J25" s="31" t="n">
        <x:v>3.0989506361402204</x:v>
      </x:c>
      <x:c r="K25" s="31" t="n">
        <x:f>E25/24*J25</x:f>
        <x:v>1461.7690621872102</x:v>
      </x:c>
      <x:c r="L25" s="31" t="n">
        <x:f>E25*J25</x:f>
        <x:v>35082.45749249304</x:v>
      </x:c>
      <x:c r="M25" s="31" t="n">
        <x:v>0.8528621580322687</x:v>
      </x:c>
      <x:c r="N25" s="20" t="str">
        <x:f>IF(J25&lt;=3,"PASS",IF(J25&lt;=3.1,"BASIC ONLY","FAIL"))</x:f>
        <x:v>BASIC ONLY</x:v>
      </x:c>
      <x:c r="O25" s="20" t="str">
        <x:v>Basic-boundary pass</x:v>
      </x:c>
      <x:c r="Q25" t="n">
        <x:f>C26</x:f>
        <x:v>0.949</x:v>
      </x:c>
      <x:c r="R25" t="n">
        <x:f>J26</x:f>
        <x:v>3.0000436662573824</x:v>
      </x:c>
      <x:c r="S25" t="n">
        <x:f>3</x:f>
        <x:v>3</x:v>
      </x:c>
    </x:row>
    <x:row r="26" ht="31" customHeight="1">
      <x:c r="A26" s="20" t="n">
        <x:v>7</x:v>
      </x:c>
      <x:c r="B26" s="20" t="str">
        <x:v>pressure_exchanger</x:v>
      </x:c>
      <x:c r="C26" s="21" t="n">
        <x:v>0.949</x:v>
      </x:c>
      <x:c r="D26" s="30" t="n">
        <x:v>0.131027244184956</x:v>
      </x:c>
      <x:c r="E26" s="31" t="n">
        <x:f>D26*86400</x:f>
        <x:v>11320.7538975802</x:v>
      </x:c>
      <x:c r="F26" s="31" t="n">
        <x:v>40.94601380779876</x:v>
      </x:c>
      <x:c r="G26" s="31" t="n">
        <x:v>1088.2486369527478</x:v>
      </x:c>
      <x:c r="H26" s="31" t="n">
        <x:v>134.37255811108847</x:v>
      </x:c>
      <x:c r="I26" s="31"/>
      <x:c r="J26" s="31" t="n">
        <x:v>3.0000436662573824</x:v>
      </x:c>
      <x:c r="K26" s="31" t="n">
        <x:f>E26/24*J26</x:f>
        <x:v>1415.1148344872522</x:v>
      </x:c>
      <x:c r="L26" s="31" t="n">
        <x:f>E26*J26</x:f>
        <x:v>33962.75602769406</x:v>
      </x:c>
      <x:c r="M26" s="31" t="n">
        <x:v>0.8429272812521706</x:v>
      </x:c>
      <x:c r="N26" s="20" t="str">
        <x:f>IF(J26&lt;=3,"PASS",IF(J26&lt;=3.1,"BASIC ONLY","FAIL"))</x:f>
        <x:v>BASIC ONLY</x:v>
      </x:c>
      <x:c r="O26" s="20" t="str">
        <x:v>Recommended-boundary fail (very close)</x:v>
      </x:c>
      <x:c r="Q26" t="n">
        <x:f>C27</x:f>
        <x:v>0.95</x:v>
      </x:c>
      <x:c r="R26" t="n">
        <x:f>J27</x:f>
        <x:v>2.996853118841807</x:v>
      </x:c>
      <x:c r="S26" t="n">
        <x:f>3</x:f>
        <x:v>3</x:v>
      </x:c>
    </x:row>
    <x:row r="27" ht="31" customHeight="1">
      <x:c r="A27" s="20" t="n">
        <x:v>8</x:v>
      </x:c>
      <x:c r="B27" s="20" t="str">
        <x:v>pressure_exchanger</x:v>
      </x:c>
      <x:c r="C27" s="21" t="n">
        <x:v>0.95</x:v>
      </x:c>
      <x:c r="D27" s="30" t="n">
        <x:v>0.13102724418495607</x:v>
      </x:c>
      <x:c r="E27" s="31" t="n">
        <x:f>D27*86400</x:f>
        <x:v>11320.753897580204</x:v>
      </x:c>
      <x:c r="F27" s="31" t="n">
        <x:v>40.94601380779877</x:v>
      </x:c>
      <x:c r="G27" s="31" t="n">
        <x:v>1088.2486369527478</x:v>
      </x:c>
      <x:c r="H27" s="31" t="n">
        <x:v>132.867583023993</x:v>
      </x:c>
      <x:c r="I27" s="31"/>
      <x:c r="J27" s="31" t="n">
        <x:v>2.996853118841807</x:v>
      </x:c>
      <x:c r="K27" s="31" t="n">
        <x:f>E27/24*J27</x:f>
        <x:v>1413.6098594001571</x:v>
      </x:c>
      <x:c r="L27" s="31" t="n">
        <x:f>E27*J27</x:f>
        <x:v>33926.63662560377</x:v>
      </x:c>
      <x:c r="M27" s="31" t="n">
        <x:v>0.8426068013560382</x:v>
      </x:c>
      <x:c r="N27" s="20" t="str">
        <x:f>IF(J27&lt;=3,"PASS",IF(J27&lt;=3.1,"BASIC ONLY","FAIL"))</x:f>
        <x:v>PASS</x:v>
      </x:c>
      <x:c r="O27" s="20" t="str">
        <x:v>Recommended-boundary pass; recommendation</x:v>
      </x:c>
      <x:c r="Q27" t="n">
        <x:f>C21</x:f>
        <x:v>0.96</x:v>
      </x:c>
      <x:c r="R27" t="n">
        <x:f>J21</x:f>
        <x:v>2.964947644686053</x:v>
      </x:c>
      <x:c r="S27" t="n">
        <x:f>3</x:f>
        <x:v>3</x:v>
      </x:c>
    </x:row>
    <x:row r="28" ht="31" customHeight="1">
      <x:c r="A28" s="20" t="n">
        <x:v>9</x:v>
      </x:c>
      <x:c r="B28" s="20" t="str">
        <x:v>pump_as_turbine</x:v>
      </x:c>
      <x:c r="C28" s="21" t="n">
        <x:v>0.85</x:v>
      </x:c>
      <x:c r="D28" s="30" t="n">
        <x:v>0.13102724418495604</x:v>
      </x:c>
      <x:c r="E28" s="31" t="n">
        <x:f>D28*86400</x:f>
        <x:v>11320.753897580202</x:v>
      </x:c>
      <x:c r="F28" s="31" t="n">
        <x:v>40.94601380779876</x:v>
      </x:c>
      <x:c r="G28" s="31" t="n">
        <x:v>2650.8425527173845</x:v>
      </x:c>
      <x:c r="H28" s="31"/>
      <x:c r="I28" s="31" t="n">
        <x:v>1048.755415919318</x:v>
      </x:c>
      <x:c r="J28" s="31" t="n">
        <x:v>6.027873163638464</x:v>
      </x:c>
      <x:c r="K28" s="31" t="n">
        <x:f>E28/24*J28</x:f>
        <x:v>2843.336192140802</x:v>
      </x:c>
      <x:c r="L28" s="31" t="n">
        <x:f>E28*J28</x:f>
        <x:v>68240.06861137925</x:v>
      </x:c>
      <x:c r="M28" s="31" t="n">
        <x:v>1.125072127043555</x:v>
      </x:c>
      <x:c r="N28" s="20" t="str">
        <x:v>PAT QA</x:v>
      </x:c>
      <x:c r="O28" s="20" t="str">
        <x:v>PAT QA point 1</x:v>
      </x:c>
    </x:row>
    <x:row r="29" ht="31" customHeight="1">
      <x:c r="A29" s="20" t="n">
        <x:v>10</x:v>
      </x:c>
      <x:c r="B29" s="20" t="str">
        <x:v>pump_as_turbine</x:v>
      </x:c>
      <x:c r="C29" s="21" t="n">
        <x:v>0.9</x:v>
      </x:c>
      <x:c r="D29" s="30" t="n">
        <x:v>0.13102724418495604</x:v>
      </x:c>
      <x:c r="E29" s="31" t="n">
        <x:f>D29*86400</x:f>
        <x:v>11320.753897580202</x:v>
      </x:c>
      <x:c r="F29" s="31" t="n">
        <x:v>40.94601380779876</x:v>
      </x:c>
      <x:c r="G29" s="31" t="n">
        <x:v>2650.8425527173845</x:v>
      </x:c>
      <x:c r="H29" s="31"/>
      <x:c r="I29" s="31" t="n">
        <x:v>1110.446910973396</x:v>
      </x:c>
      <x:c r="J29" s="31" t="n">
        <x:v>6.027873163638464</x:v>
      </x:c>
      <x:c r="K29" s="31" t="n">
        <x:f>E29/24*J29</x:f>
        <x:v>2843.336192140802</x:v>
      </x:c>
      <x:c r="L29" s="31" t="n">
        <x:f>E29*J29</x:f>
        <x:v>68240.06861137925</x:v>
      </x:c>
      <x:c r="M29" s="31" t="n">
        <x:v>1.125072127043555</x:v>
      </x:c>
      <x:c r="N29" s="20" t="str">
        <x:v>PAT QA</x:v>
      </x:c>
      <x:c r="O29" s="20" t="str">
        <x:v>PAT QA point 2; recovery changes but SEC does not</x:v>
      </x:c>
    </x:row>
    <x:row r="32">
      <x:c r="A32" s="11" t="str">
        <x:v>Concentrate pressure-energy calculation (recommended PX η=0.950)</x:v>
      </x:c>
      <x:c r="B32" s="11" t="str">
        <x:v>Concentrate pressure-energy calculation (recommended PX η=0.950)</x:v>
      </x:c>
      <x:c r="C32" s="11" t="str">
        <x:v>Concentrate pressure-energy calculation (recommended PX η=0.950)</x:v>
      </x:c>
      <x:c r="D32" s="11" t="str">
        <x:v>Concentrate pressure-energy calculation (recommended PX η=0.950)</x:v>
      </x:c>
      <x:c r="E32" s="11" t="str">
        <x:v>Concentrate pressure-energy calculation (recommended PX η=0.950)</x:v>
      </x:c>
      <x:c r="F32" s="11" t="str">
        <x:v>Concentrate pressure-energy calculation (recommended PX η=0.950)</x:v>
      </x:c>
      <x:c r="G32" s="11" t="str">
        <x:v>Concentrate pressure-energy calculation (recommended PX η=0.950)</x:v>
      </x:c>
      <x:c r="H32" s="11" t="str">
        <x:v>Concentrate pressure-energy calculation (recommended PX η=0.950)</x:v>
      </x:c>
      <x:c r="J32" s="11" t="str">
        <x:v>Efficiency restoration and PAT QA</x:v>
      </x:c>
      <x:c r="K32" s="11" t="str">
        <x:v>Efficiency restoration and PAT QA</x:v>
      </x:c>
      <x:c r="L32" s="11" t="str">
        <x:v>Efficiency restoration and PAT QA</x:v>
      </x:c>
      <x:c r="M32" s="11" t="str">
        <x:v>Efficiency restoration and PAT QA</x:v>
      </x:c>
      <x:c r="N32" s="11" t="str">
        <x:v>Efficiency restoration and PAT QA</x:v>
      </x:c>
      <x:c r="O32" s="11" t="str">
        <x:v>Efficiency restoration and PAT QA</x:v>
      </x:c>
    </x:row>
    <x:row r="33">
      <x:c r="A33" s="17" t="str">
        <x:v>Item</x:v>
      </x:c>
      <x:c r="B33" s="17" t="str">
        <x:v>Formula/source</x:v>
      </x:c>
      <x:c r="C33" s="17" t="str">
        <x:v>Value</x:v>
      </x:c>
      <x:c r="D33" s="17" t="str">
        <x:v>Unit</x:v>
      </x:c>
      <x:c r="E33" s="17" t="str">
        <x:v>Interpretation</x:v>
      </x:c>
      <x:c r="F33" s="17" t="str">
        <x:v>Check</x:v>
      </x:c>
      <x:c r="G33" s="17" t="str">
        <x:v>Status</x:v>
      </x:c>
      <x:c r="H33" s="17" t="str">
        <x:v>Note</x:v>
      </x:c>
      <x:c r="J33" s="17" t="str">
        <x:v>Comparison</x:v>
      </x:c>
      <x:c r="K33" s="17" t="str">
        <x:v>Low/before</x:v>
      </x:c>
      <x:c r="L33" s="17" t="str">
        <x:v>High/after</x:v>
      </x:c>
      <x:c r="M33" s="17" t="str">
        <x:v>Change</x:v>
      </x:c>
      <x:c r="N33" s="17" t="str">
        <x:v>Unit</x:v>
      </x:c>
      <x:c r="O33" s="17" t="str">
        <x:v>Conclusion</x:v>
      </x:c>
    </x:row>
    <x:row r="34" ht="40" customHeight="1">
      <x:c r="A34" s="20" t="str">
        <x:v>Product flow</x:v>
      </x:c>
      <x:c r="B34" s="20" t="str">
        <x:v>Recommended simulation</x:v>
      </x:c>
      <x:c r="C34" s="31" t="n">
        <x:f>E27/86400</x:f>
        <x:v>0.13102724418495607</x:v>
      </x:c>
      <x:c r="D34" s="20" t="str">
        <x:v>m³/s</x:v>
      </x:c>
      <x:c r="E34" s="20" t="str">
        <x:v>PX efficiency does not alter membrane hydraulics</x:v>
      </x:c>
      <x:c r="F34" s="20" t="n">
        <x:f>E27/86400</x:f>
        <x:v>0.13102724418495607</x:v>
      </x:c>
      <x:c r="G34" s="20" t="str">
        <x:v>PASS</x:v>
      </x:c>
      <x:c r="H34" s="20" t="str">
        <x:v>Call 8</x:v>
      </x:c>
      <x:c r="J34" s="20" t="str">
        <x:v>PX SEC: 0.85→0.95</x:v>
      </x:c>
      <x:c r="K34" s="31" t="n">
        <x:f>J20</x:f>
        <x:v>3.315907860399351</x:v>
      </x:c>
      <x:c r="L34" s="31" t="n">
        <x:f>J27</x:f>
        <x:v>2.996853118841807</x:v>
      </x:c>
      <x:c r="M34" s="31" t="n">
        <x:f>J20-J27</x:f>
        <x:v>0.3190547415575442</x:v>
      </x:c>
      <x:c r="N34" s="20" t="str">
        <x:v>kWh/m³</x:v>
      </x:c>
      <x:c r="O34" s="20" t="str">
        <x:v>Recommended efficiency lowers unit energy</x:v>
      </x:c>
    </x:row>
    <x:row r="35" ht="40" customHeight="1">
      <x:c r="A35" s="20" t="str">
        <x:v>Brine flow</x:v>
      </x:c>
      <x:c r="B35" s="20" t="str">
        <x:v>Qfeed−Qproduct</x:v>
      </x:c>
      <x:c r="C35" s="31" t="n">
        <x:f>0.32-C34</x:f>
        <x:v>0.18897275581504394</x:v>
      </x:c>
      <x:c r="D35" s="20" t="str">
        <x:v>m³/s</x:v>
      </x:c>
      <x:c r="E35" s="20" t="str">
        <x:v>High-pressure concentrate entering ERD</x:v>
      </x:c>
      <x:c r="F35" s="20" t="n">
        <x:f>0.32-C34</x:f>
        <x:v>0.18897275581504394</x:v>
      </x:c>
      <x:c r="G35" s="20" t="str">
        <x:v>PASS</x:v>
      </x:c>
      <x:c r="H35" s="20" t="str">
        <x:v>Steady volumetric approximation</x:v>
      </x:c>
      <x:c r="J35" s="20" t="str">
        <x:v>PX P2: 0.85→0.95</x:v>
      </x:c>
      <x:c r="K35" s="31" t="n">
        <x:f>H20</x:f>
        <x:v>283.36509173353477</x:v>
      </x:c>
      <x:c r="L35" s="31" t="n">
        <x:f>H27</x:f>
        <x:v>132.867583023993</x:v>
      </x:c>
      <x:c r="M35" s="31" t="n">
        <x:f>H20-H27</x:f>
        <x:v>150.49750870954176</x:v>
      </x:c>
      <x:c r="N35" s="20" t="str">
        <x:v>kW</x:v>
      </x:c>
      <x:c r="O35" s="20" t="str">
        <x:v>Efficiency loss mainly appears as booster load</x:v>
      </x:c>
    </x:row>
    <x:row r="36" ht="40" customHeight="1">
      <x:c r="A36" s="20" t="str">
        <x:v>ERD differential pressure</x:v>
      </x:c>
      <x:c r="B36" s="20" t="str">
        <x:v>66.3−1.0</x:v>
      </x:c>
      <x:c r="C36" s="31" t="n">
        <x:f>66.3-1</x:f>
        <x:v>65.3</x:v>
      </x:c>
      <x:c r="D36" s="20" t="str">
        <x:v>bar</x:v>
      </x:c>
      <x:c r="E36" s="20" t="str">
        <x:v>Measured releasable differential</x:v>
      </x:c>
      <x:c r="F36" s="20" t="n">
        <x:f>66.3-1</x:f>
        <x:v>65.3</x:v>
      </x:c>
      <x:c r="G36" s="20" t="str">
        <x:v>PASS</x:v>
      </x:c>
      <x:c r="H36" s="20" t="str">
        <x:v>Difference of absolute pressures</x:v>
      </x:c>
      <x:c r="J36" s="20" t="str">
        <x:v>Net plant power: 0.85→0.95</x:v>
      </x:c>
      <x:c r="K36" s="31" t="n">
        <x:f>K20</x:f>
        <x:v>1564.1073681096984</x:v>
      </x:c>
      <x:c r="L36" s="31" t="n">
        <x:f>K27</x:f>
        <x:v>1413.6098594001571</x:v>
      </x:c>
      <x:c r="M36" s="31" t="n">
        <x:f>K20-K27</x:f>
        <x:v>150.4975087095413</x:v>
      </x:c>
      <x:c r="N36" s="20" t="str">
        <x:v>kW</x:v>
      </x:c>
      <x:c r="O36" s="20" t="str">
        <x:v>Net power decreases</x:v>
      </x:c>
    </x:row>
    <x:row r="37" ht="40" customHeight="1">
      <x:c r="A37" s="20" t="str">
        <x:v>Available brine hydraulic power</x:v>
      </x:c>
      <x:c r="B37" s="20" t="str">
        <x:v>Qbrine×ΔP</x:v>
      </x:c>
      <x:c r="C37" s="31" t="n">
        <x:f>C35*C36*100000/1000</x:f>
        <x:v>1233.9920954722368</x:v>
      </x:c>
      <x:c r="D37" s="20" t="str">
        <x:v>kW</x:v>
      </x:c>
      <x:c r="E37" s="20" t="str">
        <x:v>Hydraulic upper bound at 100% efficiency</x:v>
      </x:c>
      <x:c r="F37" s="20" t="n">
        <x:f>C35*C36*100000/1000</x:f>
        <x:v>1233.9920954722368</x:v>
      </x:c>
      <x:c r="G37" s="20" t="str">
        <x:v>PASS</x:v>
      </x:c>
      <x:c r="H37" s="20" t="str">
        <x:v>P=QΔP</x:v>
      </x:c>
      <x:c r="J37" s="20" t="str">
        <x:v>Daily energy: 0.85→0.95</x:v>
      </x:c>
      <x:c r="K37" s="31" t="n">
        <x:f>L20</x:f>
        <x:v>37538.57683463276</x:v>
      </x:c>
      <x:c r="L37" s="31" t="n">
        <x:f>L27</x:f>
        <x:v>33926.63662560377</x:v>
      </x:c>
      <x:c r="M37" s="31" t="n">
        <x:f>L20-L27</x:f>
        <x:v>3611.9402090289877</x:v>
      </x:c>
      <x:c r="N37" s="20" t="str">
        <x:v>kWh/d</x:v>
      </x:c>
      <x:c r="O37" s="20" t="str">
        <x:v>Daily electricity saving</x:v>
      </x:c>
    </x:row>
    <x:row r="38" ht="40" customHeight="1">
      <x:c r="A38" s="20" t="str">
        <x:v>Equivalent recoverable power</x:v>
      </x:c>
      <x:c r="B38" s="20" t="str">
        <x:v>ηPX×Pavailable</x:v>
      </x:c>
      <x:c r="C38" s="31" t="n">
        <x:f>0.95*C37</x:f>
        <x:v>1172.292490698625</x:v>
      </x:c>
      <x:c r="D38" s="20" t="str">
        <x:v>kW</x:v>
      </x:c>
      <x:c r="E38" s="20" t="str">
        <x:v>Audit equivalent, not PX shaft power</x:v>
      </x:c>
      <x:c r="F38" s="20" t="n">
        <x:f>0.95*C37</x:f>
        <x:v>1172.292490698625</x:v>
      </x:c>
      <x:c r="G38" s="20" t="str">
        <x:v>PASS</x:v>
      </x:c>
      <x:c r="H38" s="20" t="str">
        <x:v>PX transfers pressure isobarically</x:v>
      </x:c>
      <x:c r="J38" s="20" t="str">
        <x:v>Annual energy: 330 d/y</x:v>
      </x:c>
      <x:c r="K38" s="31" t="n">
        <x:f>L20*330</x:f>
        <x:v>12387730.355428811</x:v>
      </x:c>
      <x:c r="L38" s="31" t="n">
        <x:f>L27*330</x:f>
        <x:v>11195790.086449245</x:v>
      </x:c>
      <x:c r="M38" s="31" t="n">
        <x:f>(L20-L27)*330</x:f>
        <x:v>1191940.268979566</x:v>
      </x:c>
      <x:c r="N38" s="20" t="str">
        <x:v>kWh/y</x:v>
      </x:c>
      <x:c r="O38" s="20" t="str">
        <x:v>About 1.192 GWh/y saved</x:v>
      </x:c>
    </x:row>
    <x:row r="39" ht="40" customHeight="1">
      <x:c r="A39" s="20" t="str">
        <x:v>Unrecovered loss</x:v>
      </x:c>
      <x:c r="B39" s="20" t="str">
        <x:v>(1−ηPX)×Pavailable</x:v>
      </x:c>
      <x:c r="C39" s="31" t="n">
        <x:f>(1-0.95)*C37</x:f>
        <x:v>61.699604773611895</x:v>
      </x:c>
      <x:c r="D39" s="20" t="str">
        <x:v>kW</x:v>
      </x:c>
      <x:c r="E39" s="20" t="str">
        <x:v>Equivalent internal PX loss</x:v>
      </x:c>
      <x:c r="F39" s="20" t="n">
        <x:f>(1-0.95)*C37</x:f>
        <x:v>61.699604773611895</x:v>
      </x:c>
      <x:c r="G39" s="20" t="str">
        <x:v>PASS</x:v>
      </x:c>
      <x:c r="H39" s="20" t="str">
        <x:v>About 5%</x:v>
      </x:c>
      <x:c r="J39" s="20" t="str">
        <x:v>PAT recovered power: 0.85→0.90</x:v>
      </x:c>
      <x:c r="K39" s="31" t="n">
        <x:f>I28</x:f>
        <x:v>1048.755415919318</x:v>
      </x:c>
      <x:c r="L39" s="31" t="n">
        <x:f>I29</x:f>
        <x:v>1110.446910973396</x:v>
      </x:c>
      <x:c r="M39" s="31" t="n">
        <x:f>I29-I28</x:f>
        <x:v>61.691495054077905</x:v>
      </x:c>
      <x:c r="N39" s="20" t="str">
        <x:v>kW</x:v>
      </x:c>
      <x:c r="O39" s="20" t="str">
        <x:v>Rises 61.69 kW, consistent with hydraulic estimate</x:v>
      </x:c>
    </x:row>
    <x:row r="40" ht="40" customHeight="1">
      <x:c r="A40" s="20" t="str">
        <x:v>P1+P2 pump-train power</x:v>
      </x:c>
      <x:c r="B40" s="20" t="str">
        <x:v>Simulated P1+P2</x:v>
      </x:c>
      <x:c r="C40" s="31" t="n">
        <x:f>G27+H27</x:f>
        <x:v>1221.116219976741</x:v>
      </x:c>
      <x:c r="D40" s="20" t="str">
        <x:v>kW</x:v>
      </x:c>
      <x:c r="E40" s="20" t="str">
        <x:v>Two pumps only; excludes auxiliaries</x:v>
      </x:c>
      <x:c r="F40" s="20" t="n">
        <x:f>G27+H27</x:f>
        <x:v>1221.116219976741</x:v>
      </x:c>
      <x:c r="G40" s="20" t="str">
        <x:v>PASS</x:v>
      </x:c>
      <x:c r="H40" s="20" t="str">
        <x:v>Call 8</x:v>
      </x:c>
      <x:c r="J40" s="20" t="str">
        <x:v>PAT SEC: 0.85→0.90</x:v>
      </x:c>
      <x:c r="K40" s="31" t="n">
        <x:f>J28</x:f>
        <x:v>6.027873163638464</x:v>
      </x:c>
      <x:c r="L40" s="31" t="n">
        <x:f>J29</x:f>
        <x:v>6.027873163638464</x:v>
      </x:c>
      <x:c r="M40" s="31" t="n">
        <x:f>J29-J28</x:f>
        <x:v>0</x:v>
      </x:c>
      <x:c r="N40" s="20" t="str">
        <x:v>kWh/m³</x:v>
      </x:c>
      <x:c r="O40" s="20" t="str">
        <x:v>No output change; unsuitable for PAT SEC sensitivity</x:v>
      </x:c>
    </x:row>
    <x:row r="41" ht="38" customHeight="1">
      <x:c r="A41" s="20" t="str">
        <x:v>Net plant power</x:v>
      </x:c>
      <x:c r="B41" s="20" t="str">
        <x:v>SEC×product</x:v>
      </x:c>
      <x:c r="C41" s="31" t="n">
        <x:f>K27</x:f>
        <x:v>1413.6098594001571</x:v>
      </x:c>
      <x:c r="D41" s="20" t="str">
        <x:v>kW</x:v>
      </x:c>
      <x:c r="E41" s="20" t="str">
        <x:v>Whole-plant net-electric basis</x:v>
      </x:c>
      <x:c r="F41" s="20" t="n">
        <x:f>K27</x:f>
        <x:v>1413.6098594001571</x:v>
      </x:c>
      <x:c r="G41" s="20" t="str">
        <x:v>PASS</x:v>
      </x:c>
      <x:c r="H41" s="20" t="str">
        <x:v>Do not confuse with pump train</x:v>
      </x:c>
    </x:row>
    <x:row r="44" ht="28" customHeight="1">
      <x:c r="A44" s="29" t="str">
        <x:v>Final conclusion
The minimum basic PX efficiency is 0.918 (SEC=3.102141 at 0.917, fail; SEC=3.098951 at 0.918, pass). The minimum recommended efficiency is 0.950 (SEC=3.000044 at 0.949, strict fail; SEC=2.996853 at 0.950, pass). At the recommendation, product=11,320.75 m³/d, brine=0.188973 m³/s, P1=1,088.25 kW, P2=132.87 kW, pump train=1,221.12 kW, net plant power=1,413.61 kW and daily energy=33,926.64 kWh/d. The measured 65.3-bar differential gives 1,233.99 kW available brine hydraulic power; at 95% efficiency the equivalent recoverable power is 1,172.29 kW and the unrecovered loss is 61.70 kW. Restoring PX efficiency from 0.85 to 0.95 lowers net power by 150.50 kW and saves 1,191,940 kWh/y at 330 d/y. PAT recovery rises by 61.69 kW from efficiencies 0.85 to 0.90, but both runs return SEC=6.027873 kWh/m³; therefore this simulator version can check PAT recovered power but should not be used to interpolate PAT efficiency–SEC sensitivity. Set 95.0% as the PX energy-alarm/maintenance floor.</x:v>
      </x:c>
      <x:c r="B44" s="29" t="str">
        <x:v>Final conclusion
The minimum basic PX efficiency is 0.918 (SEC=3.102141 at 0.917, fail; SEC=3.098951 at 0.918, pass). The minimum recommended efficiency is 0.950 (SEC=3.000044 at 0.949, strict fail; SEC=2.996853 at 0.950, pass). At the recommendation, product=11,320.75 m³/d, brine=0.188973 m³/s, P1=1,088.25 kW, P2=132.87 kW, pump train=1,221.12 kW, net plant power=1,413.61 kW and daily energy=33,926.64 kWh/d. The measured 65.3-bar differential gives 1,233.99 kW available brine hydraulic power; at 95% efficiency the equivalent recoverable power is 1,172.29 kW and the unrecovered loss is 61.70 kW. Restoring PX efficiency from 0.85 to 0.95 lowers net power by 150.50 kW and saves 1,191,940 kWh/y at 330 d/y. PAT recovery rises by 61.69 kW from efficiencies 0.85 to 0.90, but both runs return SEC=6.027873 kWh/m³; therefore this simulator version can check PAT recovered power but should not be used to interpolate PAT efficiency–SEC sensitivity. Set 95.0% as the PX energy-alarm/maintenance floor.</x:v>
      </x:c>
      <x:c r="C44" s="29" t="str">
        <x:v>Final conclusion
The minimum basic PX efficiency is 0.918 (SEC=3.102141 at 0.917, fail; SEC=3.098951 at 0.918, pass). The minimum recommended efficiency is 0.950 (SEC=3.000044 at 0.949, strict fail; SEC=2.996853 at 0.950, pass). At the recommendation, product=11,320.75 m³/d, brine=0.188973 m³/s, P1=1,088.25 kW, P2=132.87 kW, pump train=1,221.12 kW, net plant power=1,413.61 kW and daily energy=33,926.64 kWh/d. The measured 65.3-bar differential gives 1,233.99 kW available brine hydraulic power; at 95% efficiency the equivalent recoverable power is 1,172.29 kW and the unrecovered loss is 61.70 kW. Restoring PX efficiency from 0.85 to 0.95 lowers net power by 150.50 kW and saves 1,191,940 kWh/y at 330 d/y. PAT recovery rises by 61.69 kW from efficiencies 0.85 to 0.90, but both runs return SEC=6.027873 kWh/m³; therefore this simulator version can check PAT recovered power but should not be used to interpolate PAT efficiency–SEC sensitivity. Set 95.0% as the PX energy-alarm/maintenance floor.</x:v>
      </x:c>
      <x:c r="D44" s="29" t="str">
        <x:v>Final conclusion
The minimum basic PX efficiency is 0.918 (SEC=3.102141 at 0.917, fail; SEC=3.098951 at 0.918, pass). The minimum recommended efficiency is 0.950 (SEC=3.000044 at 0.949, strict fail; SEC=2.996853 at 0.950, pass). At the recommendation, product=11,320.75 m³/d, brine=0.188973 m³/s, P1=1,088.25 kW, P2=132.87 kW, pump train=1,221.12 kW, net plant power=1,413.61 kW and daily energy=33,926.64 kWh/d. The measured 65.3-bar differential gives 1,233.99 kW available brine hydraulic power; at 95% efficiency the equivalent recoverable power is 1,172.29 kW and the unrecovered loss is 61.70 kW. Restoring PX efficiency from 0.85 to 0.95 lowers net power by 150.50 kW and saves 1,191,940 kWh/y at 330 d/y. PAT recovery rises by 61.69 kW from efficiencies 0.85 to 0.90, but both runs return SEC=6.027873 kWh/m³; therefore this simulator version can check PAT recovered power but should not be used to interpolate PAT efficiency–SEC sensitivity. Set 95.0% as the PX energy-alarm/maintenance floor.</x:v>
      </x:c>
      <x:c r="E44" s="29" t="str">
        <x:v>Final conclusion
The minimum basic PX efficiency is 0.918 (SEC=3.102141 at 0.917, fail; SEC=3.098951 at 0.918, pass). The minimum recommended efficiency is 0.950 (SEC=3.000044 at 0.949, strict fail; SEC=2.996853 at 0.950, pass). At the recommendation, product=11,320.75 m³/d, brine=0.188973 m³/s, P1=1,088.25 kW, P2=132.87 kW, pump train=1,221.12 kW, net plant power=1,413.61 kW and daily energy=33,926.64 kWh/d. The measured 65.3-bar differential gives 1,233.99 kW available brine hydraulic power; at 95% efficiency the equivalent recoverable power is 1,172.29 kW and the unrecovered loss is 61.70 kW. Restoring PX efficiency from 0.85 to 0.95 lowers net power by 150.50 kW and saves 1,191,940 kWh/y at 330 d/y. PAT recovery rises by 61.69 kW from efficiencies 0.85 to 0.90, but both runs return SEC=6.027873 kWh/m³; therefore this simulator version can check PAT recovered power but should not be used to interpolate PAT efficiency–SEC sensitivity. Set 95.0% as the PX energy-alarm/maintenance floor.</x:v>
      </x:c>
      <x:c r="F44" s="29" t="str">
        <x:v>Final conclusion
The minimum basic PX efficiency is 0.918 (SEC=3.102141 at 0.917, fail; SEC=3.098951 at 0.918, pass). The minimum recommended efficiency is 0.950 (SEC=3.000044 at 0.949, strict fail; SEC=2.996853 at 0.950, pass). At the recommendation, product=11,320.75 m³/d, brine=0.188973 m³/s, P1=1,088.25 kW, P2=132.87 kW, pump train=1,221.12 kW, net plant power=1,413.61 kW and daily energy=33,926.64 kWh/d. The measured 65.3-bar differential gives 1,233.99 kW available brine hydraulic power; at 95% efficiency the equivalent recoverable power is 1,172.29 kW and the unrecovered loss is 61.70 kW. Restoring PX efficiency from 0.85 to 0.95 lowers net power by 150.50 kW and saves 1,191,940 kWh/y at 330 d/y. PAT recovery rises by 61.69 kW from efficiencies 0.85 to 0.90, but both runs return SEC=6.027873 kWh/m³; therefore this simulator version can check PAT recovered power but should not be used to interpolate PAT efficiency–SEC sensitivity. Set 95.0% as the PX energy-alarm/maintenance floor.</x:v>
      </x:c>
      <x:c r="G44" s="29" t="str">
        <x:v>Final conclusion
The minimum basic PX efficiency is 0.918 (SEC=3.102141 at 0.917, fail; SEC=3.098951 at 0.918, pass). The minimum recommended efficiency is 0.950 (SEC=3.000044 at 0.949, strict fail; SEC=2.996853 at 0.950, pass). At the recommendation, product=11,320.75 m³/d, brine=0.188973 m³/s, P1=1,088.25 kW, P2=132.87 kW, pump train=1,221.12 kW, net plant power=1,413.61 kW and daily energy=33,926.64 kWh/d. The measured 65.3-bar differential gives 1,233.99 kW available brine hydraulic power; at 95% efficiency the equivalent recoverable power is 1,172.29 kW and the unrecovered loss is 61.70 kW. Restoring PX efficiency from 0.85 to 0.95 lowers net power by 150.50 kW and saves 1,191,940 kWh/y at 330 d/y. PAT recovery rises by 61.69 kW from efficiencies 0.85 to 0.90, but both runs return SEC=6.027873 kWh/m³; therefore this simulator version can check PAT recovered power but should not be used to interpolate PAT efficiency–SEC sensitivity. Set 95.0% as the PX energy-alarm/maintenance floor.</x:v>
      </x:c>
      <x:c r="H44" s="29" t="str">
        <x:v>Final conclusion
The minimum basic PX efficiency is 0.918 (SEC=3.102141 at 0.917, fail; SEC=3.098951 at 0.918, pass). The minimum recommended efficiency is 0.950 (SEC=3.000044 at 0.949, strict fail; SEC=2.996853 at 0.950, pass). At the recommendation, product=11,320.75 m³/d, brine=0.188973 m³/s, P1=1,088.25 kW, P2=132.87 kW, pump train=1,221.12 kW, net plant power=1,413.61 kW and daily energy=33,926.64 kWh/d. The measured 65.3-bar differential gives 1,233.99 kW available brine hydraulic power; at 95% efficiency the equivalent recoverable power is 1,172.29 kW and the unrecovered loss is 61.70 kW. Restoring PX efficiency from 0.85 to 0.95 lowers net power by 150.50 kW and saves 1,191,940 kWh/y at 330 d/y. PAT recovery rises by 61.69 kW from efficiencies 0.85 to 0.90, but both runs return SEC=6.027873 kWh/m³; therefore this simulator version can check PAT recovered power but should not be used to interpolate PAT efficiency–SEC sensitivity. Set 95.0% as the PX energy-alarm/maintenance floor.</x:v>
      </x:c>
      <x:c r="I44" s="29" t="str">
        <x:v>Final conclusion
The minimum basic PX efficiency is 0.918 (SEC=3.102141 at 0.917, fail; SEC=3.098951 at 0.918, pass). The minimum recommended efficiency is 0.950 (SEC=3.000044 at 0.949, strict fail; SEC=2.996853 at 0.950, pass). At the recommendation, product=11,320.75 m³/d, brine=0.188973 m³/s, P1=1,088.25 kW, P2=132.87 kW, pump train=1,221.12 kW, net plant power=1,413.61 kW and daily energy=33,926.64 kWh/d. The measured 65.3-bar differential gives 1,233.99 kW available brine hydraulic power; at 95% efficiency the equivalent recoverable power is 1,172.29 kW and the unrecovered loss is 61.70 kW. Restoring PX efficiency from 0.85 to 0.95 lowers net power by 150.50 kW and saves 1,191,940 kWh/y at 330 d/y. PAT recovery rises by 61.69 kW from efficiencies 0.85 to 0.90, but both runs return SEC=6.027873 kWh/m³; therefore this simulator version can check PAT recovered power but should not be used to interpolate PAT efficiency–SEC sensitivity. Set 95.0% as the PX energy-alarm/maintenance floor.</x:v>
      </x:c>
      <x:c r="J44" s="29" t="str">
        <x:v>Final conclusion
The minimum basic PX efficiency is 0.918 (SEC=3.102141 at 0.917, fail; SEC=3.098951 at 0.918, pass). The minimum recommended efficiency is 0.950 (SEC=3.000044 at 0.949, strict fail; SEC=2.996853 at 0.950, pass). At the recommendation, product=11,320.75 m³/d, brine=0.188973 m³/s, P1=1,088.25 kW, P2=132.87 kW, pump train=1,221.12 kW, net plant power=1,413.61 kW and daily energy=33,926.64 kWh/d. The measured 65.3-bar differential gives 1,233.99 kW available brine hydraulic power; at 95% efficiency the equivalent recoverable power is 1,172.29 kW and the unrecovered loss is 61.70 kW. Restoring PX efficiency from 0.85 to 0.95 lowers net power by 150.50 kW and saves 1,191,940 kWh/y at 330 d/y. PAT recovery rises by 61.69 kW from efficiencies 0.85 to 0.90, but both runs return SEC=6.027873 kWh/m³; therefore this simulator version can check PAT recovered power but should not be used to interpolate PAT efficiency–SEC sensitivity. Set 95.0% as the PX energy-alarm/maintenance floor.</x:v>
      </x:c>
      <x:c r="K44" s="29" t="str">
        <x:v>Final conclusion
The minimum basic PX efficiency is 0.918 (SEC=3.102141 at 0.917, fail; SEC=3.098951 at 0.918, pass). The minimum recommended efficiency is 0.950 (SEC=3.000044 at 0.949, strict fail; SEC=2.996853 at 0.950, pass). At the recommendation, product=11,320.75 m³/d, brine=0.188973 m³/s, P1=1,088.25 kW, P2=132.87 kW, pump train=1,221.12 kW, net plant power=1,413.61 kW and daily energy=33,926.64 kWh/d. The measured 65.3-bar differential gives 1,233.99 kW available brine hydraulic power; at 95% efficiency the equivalent recoverable power is 1,172.29 kW and the unrecovered loss is 61.70 kW. Restoring PX efficiency from 0.85 to 0.95 lowers net power by 150.50 kW and saves 1,191,940 kWh/y at 330 d/y. PAT recovery rises by 61.69 kW from efficiencies 0.85 to 0.90, but both runs return SEC=6.027873 kWh/m³; therefore this simulator version can check PAT recovered power but should not be used to interpolate PAT efficiency–SEC sensitivity. Set 95.0% as the PX energy-alarm/maintenance floor.</x:v>
      </x:c>
      <x:c r="L44" s="29" t="str">
        <x:v>Final conclusion
The minimum basic PX efficiency is 0.918 (SEC=3.102141 at 0.917, fail; SEC=3.098951 at 0.918, pass). The minimum recommended efficiency is 0.950 (SEC=3.000044 at 0.949, strict fail; SEC=2.996853 at 0.950, pass). At the recommendation, product=11,320.75 m³/d, brine=0.188973 m³/s, P1=1,088.25 kW, P2=132.87 kW, pump train=1,221.12 kW, net plant power=1,413.61 kW and daily energy=33,926.64 kWh/d. The measured 65.3-bar differential gives 1,233.99 kW available brine hydraulic power; at 95% efficiency the equivalent recoverable power is 1,172.29 kW and the unrecovered loss is 61.70 kW. Restoring PX efficiency from 0.85 to 0.95 lowers net power by 150.50 kW and saves 1,191,940 kWh/y at 330 d/y. PAT recovery rises by 61.69 kW from efficiencies 0.85 to 0.90, but both runs return SEC=6.027873 kWh/m³; therefore this simulator version can check PAT recovered power but should not be used to interpolate PAT efficiency–SEC sensitivity. Set 95.0% as the PX energy-alarm/maintenance floor.</x:v>
      </x:c>
      <x:c r="M44" s="29" t="str">
        <x:v>Final conclusion
The minimum basic PX efficiency is 0.918 (SEC=3.102141 at 0.917, fail; SEC=3.098951 at 0.918, pass). The minimum recommended efficiency is 0.950 (SEC=3.000044 at 0.949, strict fail; SEC=2.996853 at 0.950, pass). At the recommendation, product=11,320.75 m³/d, brine=0.188973 m³/s, P1=1,088.25 kW, P2=132.87 kW, pump train=1,221.12 kW, net plant power=1,413.61 kW and daily energy=33,926.64 kWh/d. The measured 65.3-bar differential gives 1,233.99 kW available brine hydraulic power; at 95% efficiency the equivalent recoverable power is 1,172.29 kW and the unrecovered loss is 61.70 kW. Restoring PX efficiency from 0.85 to 0.95 lowers net power by 150.50 kW and saves 1,191,940 kWh/y at 330 d/y. PAT recovery rises by 61.69 kW from efficiencies 0.85 to 0.90, but both runs return SEC=6.027873 kWh/m³; therefore this simulator version can check PAT recovered power but should not be used to interpolate PAT efficiency–SEC sensitivity. Set 95.0% as the PX energy-alarm/maintenance floor.</x:v>
      </x:c>
      <x:c r="N44" s="29" t="str">
        <x:v>Final conclusion
The minimum basic PX efficiency is 0.918 (SEC=3.102141 at 0.917, fail; SEC=3.098951 at 0.918, pass). The minimum recommended efficiency is 0.950 (SEC=3.000044 at 0.949, strict fail; SEC=2.996853 at 0.950, pass). At the recommendation, product=11,320.75 m³/d, brine=0.188973 m³/s, P1=1,088.25 kW, P2=132.87 kW, pump train=1,221.12 kW, net plant power=1,413.61 kW and daily energy=33,926.64 kWh/d. The measured 65.3-bar differential gives 1,233.99 kW available brine hydraulic power; at 95% efficiency the equivalent recoverable power is 1,172.29 kW and the unrecovered loss is 61.70 kW. Restoring PX efficiency from 0.85 to 0.95 lowers net power by 150.50 kW and saves 1,191,940 kWh/y at 330 d/y. PAT recovery rises by 61.69 kW from efficiencies 0.85 to 0.90, but both runs return SEC=6.027873 kWh/m³; therefore this simulator version can check PAT recovered power but should not be used to interpolate PAT efficiency–SEC sensitivity. Set 95.0% as the PX energy-alarm/maintenance floor.</x:v>
      </x:c>
      <x:c r="O44" s="29" t="str">
        <x:v>Final conclusion
The minimum basic PX efficiency is 0.918 (SEC=3.102141 at 0.917, fail; SEC=3.098951 at 0.918, pass). The minimum recommended efficiency is 0.950 (SEC=3.000044 at 0.949, strict fail; SEC=2.996853 at 0.950, pass). At the recommendation, product=11,320.75 m³/d, brine=0.188973 m³/s, P1=1,088.25 kW, P2=132.87 kW, pump train=1,221.12 kW, net plant power=1,413.61 kW and daily energy=33,926.64 kWh/d. The measured 65.3-bar differential gives 1,233.99 kW available brine hydraulic power; at 95% efficiency the equivalent recoverable power is 1,172.29 kW and the unrecovered loss is 61.70 kW. Restoring PX efficiency from 0.85 to 0.95 lowers net power by 150.50 kW and saves 1,191,940 kWh/y at 330 d/y. PAT recovery rises by 61.69 kW from efficiencies 0.85 to 0.90, but both runs return SEC=6.027873 kWh/m³; therefore this simulator version can check PAT recovered power but should not be used to interpolate PAT efficiency–SEC sensitivity. Set 95.0% as the PX energy-alarm/maintenance floor.</x:v>
      </x:c>
    </x:row>
    <x:row r="45" ht="28" customHeight="1">
      <x:c r="A45" s="29" t="str">
        <x:v>Final conclusion
The minimum basic PX efficiency is 0.918 (SEC=3.102141 at 0.917, fail; SEC=3.098951 at 0.918, pass). The minimum recommended efficiency is 0.950 (SEC=3.000044 at 0.949, strict fail; SEC=2.996853 at 0.950, pass). At the recommendation, product=11,320.75 m³/d, brine=0.188973 m³/s, P1=1,088.25 kW, P2=132.87 kW, pump train=1,221.12 kW, net plant power=1,413.61 kW and daily energy=33,926.64 kWh/d. The measured 65.3-bar differential gives 1,233.99 kW available brine hydraulic power; at 95% efficiency the equivalent recoverable power is 1,172.29 kW and the unrecovered loss is 61.70 kW. Restoring PX efficiency from 0.85 to 0.95 lowers net power by 150.50 kW and saves 1,191,940 kWh/y at 330 d/y. PAT recovery rises by 61.69 kW from efficiencies 0.85 to 0.90, but both runs return SEC=6.027873 kWh/m³; therefore this simulator version can check PAT recovered power but should not be used to interpolate PAT efficiency–SEC sensitivity. Set 95.0% as the PX energy-alarm/maintenance floor.</x:v>
      </x:c>
      <x:c r="B45" s="29" t="str">
        <x:v>Final conclusion
The minimum basic PX efficiency is 0.918 (SEC=3.102141 at 0.917, fail; SEC=3.098951 at 0.918, pass). The minimum recommended efficiency is 0.950 (SEC=3.000044 at 0.949, strict fail; SEC=2.996853 at 0.950, pass). At the recommendation, product=11,320.75 m³/d, brine=0.188973 m³/s, P1=1,088.25 kW, P2=132.87 kW, pump train=1,221.12 kW, net plant power=1,413.61 kW and daily energy=33,926.64 kWh/d. The measured 65.3-bar differential gives 1,233.99 kW available brine hydraulic power; at 95% efficiency the equivalent recoverable power is 1,172.29 kW and the unrecovered loss is 61.70 kW. Restoring PX efficiency from 0.85 to 0.95 lowers net power by 150.50 kW and saves 1,191,940 kWh/y at 330 d/y. PAT recovery rises by 61.69 kW from efficiencies 0.85 to 0.90, but both runs return SEC=6.027873 kWh/m³; therefore this simulator version can check PAT recovered power but should not be used to interpolate PAT efficiency–SEC sensitivity. Set 95.0% as the PX energy-alarm/maintenance floor.</x:v>
      </x:c>
      <x:c r="C45" s="29" t="str">
        <x:v>Final conclusion
The minimum basic PX efficiency is 0.918 (SEC=3.102141 at 0.917, fail; SEC=3.098951 at 0.918, pass). The minimum recommended efficiency is 0.950 (SEC=3.000044 at 0.949, strict fail; SEC=2.996853 at 0.950, pass). At the recommendation, product=11,320.75 m³/d, brine=0.188973 m³/s, P1=1,088.25 kW, P2=132.87 kW, pump train=1,221.12 kW, net plant power=1,413.61 kW and daily energy=33,926.64 kWh/d. The measured 65.3-bar differential gives 1,233.99 kW available brine hydraulic power; at 95% efficiency the equivalent recoverable power is 1,172.29 kW and the unrecovered loss is 61.70 kW. Restoring PX efficiency from 0.85 to 0.95 lowers net power by 150.50 kW and saves 1,191,940 kWh/y at 330 d/y. PAT recovery rises by 61.69 kW from efficiencies 0.85 to 0.90, but both runs return SEC=6.027873 kWh/m³; therefore this simulator version can check PAT recovered power but should not be used to interpolate PAT efficiency–SEC sensitivity. Set 95.0% as the PX energy-alarm/maintenance floor.</x:v>
      </x:c>
      <x:c r="D45" s="29" t="str">
        <x:v>Final conclusion
The minimum basic PX efficiency is 0.918 (SEC=3.102141 at 0.917, fail; SEC=3.098951 at 0.918, pass). The minimum recommended efficiency is 0.950 (SEC=3.000044 at 0.949, strict fail; SEC=2.996853 at 0.950, pass). At the recommendation, product=11,320.75 m³/d, brine=0.188973 m³/s, P1=1,088.25 kW, P2=132.87 kW, pump train=1,221.12 kW, net plant power=1,413.61 kW and daily energy=33,926.64 kWh/d. The measured 65.3-bar differential gives 1,233.99 kW available brine hydraulic power; at 95% efficiency the equivalent recoverable power is 1,172.29 kW and the unrecovered loss is 61.70 kW. Restoring PX efficiency from 0.85 to 0.95 lowers net power by 150.50 kW and saves 1,191,940 kWh/y at 330 d/y. PAT recovery rises by 61.69 kW from efficiencies 0.85 to 0.90, but both runs return SEC=6.027873 kWh/m³; therefore this simulator version can check PAT recovered power but should not be used to interpolate PAT efficiency–SEC sensitivity. Set 95.0% as the PX energy-alarm/maintenance floor.</x:v>
      </x:c>
      <x:c r="E45" s="29" t="str">
        <x:v>Final conclusion
The minimum basic PX efficiency is 0.918 (SEC=3.102141 at 0.917, fail; SEC=3.098951 at 0.918, pass). The minimum recommended efficiency is 0.950 (SEC=3.000044 at 0.949, strict fail; SEC=2.996853 at 0.950, pass). At the recommendation, product=11,320.75 m³/d, brine=0.188973 m³/s, P1=1,088.25 kW, P2=132.87 kW, pump train=1,221.12 kW, net plant power=1,413.61 kW and daily energy=33,926.64 kWh/d. The measured 65.3-bar differential gives 1,233.99 kW available brine hydraulic power; at 95% efficiency the equivalent recoverable power is 1,172.29 kW and the unrecovered loss is 61.70 kW. Restoring PX efficiency from 0.85 to 0.95 lowers net power by 150.50 kW and saves 1,191,940 kWh/y at 330 d/y. PAT recovery rises by 61.69 kW from efficiencies 0.85 to 0.90, but both runs return SEC=6.027873 kWh/m³; therefore this simulator version can check PAT recovered power but should not be used to interpolate PAT efficiency–SEC sensitivity. Set 95.0% as the PX energy-alarm/maintenance floor.</x:v>
      </x:c>
      <x:c r="F45" s="29" t="str">
        <x:v>Final conclusion
The minimum basic PX efficiency is 0.918 (SEC=3.102141 at 0.917, fail; SEC=3.098951 at 0.918, pass). The minimum recommended efficiency is 0.950 (SEC=3.000044 at 0.949, strict fail; SEC=2.996853 at 0.950, pass). At the recommendation, product=11,320.75 m³/d, brine=0.188973 m³/s, P1=1,088.25 kW, P2=132.87 kW, pump train=1,221.12 kW, net plant power=1,413.61 kW and daily energy=33,926.64 kWh/d. The measured 65.3-bar differential gives 1,233.99 kW available brine hydraulic power; at 95% efficiency the equivalent recoverable power is 1,172.29 kW and the unrecovered loss is 61.70 kW. Restoring PX efficiency from 0.85 to 0.95 lowers net power by 150.50 kW and saves 1,191,940 kWh/y at 330 d/y. PAT recovery rises by 61.69 kW from efficiencies 0.85 to 0.90, but both runs return SEC=6.027873 kWh/m³; therefore this simulator version can check PAT recovered power but should not be used to interpolate PAT efficiency–SEC sensitivity. Set 95.0% as the PX energy-alarm/maintenance floor.</x:v>
      </x:c>
      <x:c r="G45" s="29" t="str">
        <x:v>Final conclusion
The minimum basic PX efficiency is 0.918 (SEC=3.102141 at 0.917, fail; SEC=3.098951 at 0.918, pass). The minimum recommended efficiency is 0.950 (SEC=3.000044 at 0.949, strict fail; SEC=2.996853 at 0.950, pass). At the recommendation, product=11,320.75 m³/d, brine=0.188973 m³/s, P1=1,088.25 kW, P2=132.87 kW, pump train=1,221.12 kW, net plant power=1,413.61 kW and daily energy=33,926.64 kWh/d. The measured 65.3-bar differential gives 1,233.99 kW available brine hydraulic power; at 95% efficiency the equivalent recoverable power is 1,172.29 kW and the unrecovered loss is 61.70 kW. Restoring PX efficiency from 0.85 to 0.95 lowers net power by 150.50 kW and saves 1,191,940 kWh/y at 330 d/y. PAT recovery rises by 61.69 kW from efficiencies 0.85 to 0.90, but both runs return SEC=6.027873 kWh/m³; therefore this simulator version can check PAT recovered power but should not be used to interpolate PAT efficiency–SEC sensitivity. Set 95.0% as the PX energy-alarm/maintenance floor.</x:v>
      </x:c>
      <x:c r="H45" s="29" t="str">
        <x:v>Final conclusion
The minimum basic PX efficiency is 0.918 (SEC=3.102141 at 0.917, fail; SEC=3.098951 at 0.918, pass). The minimum recommended efficiency is 0.950 (SEC=3.000044 at 0.949, strict fail; SEC=2.996853 at 0.950, pass). At the recommendation, product=11,320.75 m³/d, brine=0.188973 m³/s, P1=1,088.25 kW, P2=132.87 kW, pump train=1,221.12 kW, net plant power=1,413.61 kW and daily energy=33,926.64 kWh/d. The measured 65.3-bar differential gives 1,233.99 kW available brine hydraulic power; at 95% efficiency the equivalent recoverable power is 1,172.29 kW and the unrecovered loss is 61.70 kW. Restoring PX efficiency from 0.85 to 0.95 lowers net power by 150.50 kW and saves 1,191,940 kWh/y at 330 d/y. PAT recovery rises by 61.69 kW from efficiencies 0.85 to 0.90, but both runs return SEC=6.027873 kWh/m³; therefore this simulator version can check PAT recovered power but should not be used to interpolate PAT efficiency–SEC sensitivity. Set 95.0% as the PX energy-alarm/maintenance floor.</x:v>
      </x:c>
      <x:c r="I45" s="29" t="str">
        <x:v>Final conclusion
The minimum basic PX efficiency is 0.918 (SEC=3.102141 at 0.917, fail; SEC=3.098951 at 0.918, pass). The minimum recommended efficiency is 0.950 (SEC=3.000044 at 0.949, strict fail; SEC=2.996853 at 0.950, pass). At the recommendation, product=11,320.75 m³/d, brine=0.188973 m³/s, P1=1,088.25 kW, P2=132.87 kW, pump train=1,221.12 kW, net plant power=1,413.61 kW and daily energy=33,926.64 kWh/d. The measured 65.3-bar differential gives 1,233.99 kW available brine hydraulic power; at 95% efficiency the equivalent recoverable power is 1,172.29 kW and the unrecovered loss is 61.70 kW. Restoring PX efficiency from 0.85 to 0.95 lowers net power by 150.50 kW and saves 1,191,940 kWh/y at 330 d/y. PAT recovery rises by 61.69 kW from efficiencies 0.85 to 0.90, but both runs return SEC=6.027873 kWh/m³; therefore this simulator version can check PAT recovered power but should not be used to interpolate PAT efficiency–SEC sensitivity. Set 95.0% as the PX energy-alarm/maintenance floor.</x:v>
      </x:c>
      <x:c r="J45" s="29" t="str">
        <x:v>Final conclusion
The minimum basic PX efficiency is 0.918 (SEC=3.102141 at 0.917, fail; SEC=3.098951 at 0.918, pass). The minimum recommended efficiency is 0.950 (SEC=3.000044 at 0.949, strict fail; SEC=2.996853 at 0.950, pass). At the recommendation, product=11,320.75 m³/d, brine=0.188973 m³/s, P1=1,088.25 kW, P2=132.87 kW, pump train=1,221.12 kW, net plant power=1,413.61 kW and daily energy=33,926.64 kWh/d. The measured 65.3-bar differential gives 1,233.99 kW available brine hydraulic power; at 95% efficiency the equivalent recoverable power is 1,172.29 kW and the unrecovered loss is 61.70 kW. Restoring PX efficiency from 0.85 to 0.95 lowers net power by 150.50 kW and saves 1,191,940 kWh/y at 330 d/y. PAT recovery rises by 61.69 kW from efficiencies 0.85 to 0.90, but both runs return SEC=6.027873 kWh/m³; therefore this simulator version can check PAT recovered power but should not be used to interpolate PAT efficiency–SEC sensitivity. Set 95.0% as the PX energy-alarm/maintenance floor.</x:v>
      </x:c>
      <x:c r="K45" s="29" t="str">
        <x:v>Final conclusion
The minimum basic PX efficiency is 0.918 (SEC=3.102141 at 0.917, fail; SEC=3.098951 at 0.918, pass). The minimum recommended efficiency is 0.950 (SEC=3.000044 at 0.949, strict fail; SEC=2.996853 at 0.950, pass). At the recommendation, product=11,320.75 m³/d, brine=0.188973 m³/s, P1=1,088.25 kW, P2=132.87 kW, pump train=1,221.12 kW, net plant power=1,413.61 kW and daily energy=33,926.64 kWh/d. The measured 65.3-bar differential gives 1,233.99 kW available brine hydraulic power; at 95% efficiency the equivalent recoverable power is 1,172.29 kW and the unrecovered loss is 61.70 kW. Restoring PX efficiency from 0.85 to 0.95 lowers net power by 150.50 kW and saves 1,191,940 kWh/y at 330 d/y. PAT recovery rises by 61.69 kW from efficiencies 0.85 to 0.90, but both runs return SEC=6.027873 kWh/m³; therefore this simulator version can check PAT recovered power but should not be used to interpolate PAT efficiency–SEC sensitivity. Set 95.0% as the PX energy-alarm/maintenance floor.</x:v>
      </x:c>
      <x:c r="L45" s="29" t="str">
        <x:v>Final conclusion
The minimum basic PX efficiency is 0.918 (SEC=3.102141 at 0.917, fail; SEC=3.098951 at 0.918, pass). The minimum recommended efficiency is 0.950 (SEC=3.000044 at 0.949, strict fail; SEC=2.996853 at 0.950, pass). At the recommendation, product=11,320.75 m³/d, brine=0.188973 m³/s, P1=1,088.25 kW, P2=132.87 kW, pump train=1,221.12 kW, net plant power=1,413.61 kW and daily energy=33,926.64 kWh/d. The measured 65.3-bar differential gives 1,233.99 kW available brine hydraulic power; at 95% efficiency the equivalent recoverable power is 1,172.29 kW and the unrecovered loss is 61.70 kW. Restoring PX efficiency from 0.85 to 0.95 lowers net power by 150.50 kW and saves 1,191,940 kWh/y at 330 d/y. PAT recovery rises by 61.69 kW from efficiencies 0.85 to 0.90, but both runs return SEC=6.027873 kWh/m³; therefore this simulator version can check PAT recovered power but should not be used to interpolate PAT efficiency–SEC sensitivity. Set 95.0% as the PX energy-alarm/maintenance floor.</x:v>
      </x:c>
      <x:c r="M45" s="29" t="str">
        <x:v>Final conclusion
The minimum basic PX efficiency is 0.918 (SEC=3.102141 at 0.917, fail; SEC=3.098951 at 0.918, pass). The minimum recommended efficiency is 0.950 (SEC=3.000044 at 0.949, strict fail; SEC=2.996853 at 0.950, pass). At the recommendation, product=11,320.75 m³/d, brine=0.188973 m³/s, P1=1,088.25 kW, P2=132.87 kW, pump train=1,221.12 kW, net plant power=1,413.61 kW and daily energy=33,926.64 kWh/d. The measured 65.3-bar differential gives 1,233.99 kW available brine hydraulic power; at 95% efficiency the equivalent recoverable power is 1,172.29 kW and the unrecovered loss is 61.70 kW. Restoring PX efficiency from 0.85 to 0.95 lowers net power by 150.50 kW and saves 1,191,940 kWh/y at 330 d/y. PAT recovery rises by 61.69 kW from efficiencies 0.85 to 0.90, but both runs return SEC=6.027873 kWh/m³; therefore this simulator version can check PAT recovered power but should not be used to interpolate PAT efficiency–SEC sensitivity. Set 95.0% as the PX energy-alarm/maintenance floor.</x:v>
      </x:c>
      <x:c r="N45" s="29" t="str">
        <x:v>Final conclusion
The minimum basic PX efficiency is 0.918 (SEC=3.102141 at 0.917, fail; SEC=3.098951 at 0.918, pass). The minimum recommended efficiency is 0.950 (SEC=3.000044 at 0.949, strict fail; SEC=2.996853 at 0.950, pass). At the recommendation, product=11,320.75 m³/d, brine=0.188973 m³/s, P1=1,088.25 kW, P2=132.87 kW, pump train=1,221.12 kW, net plant power=1,413.61 kW and daily energy=33,926.64 kWh/d. The measured 65.3-bar differential gives 1,233.99 kW available brine hydraulic power; at 95% efficiency the equivalent recoverable power is 1,172.29 kW and the unrecovered loss is 61.70 kW. Restoring PX efficiency from 0.85 to 0.95 lowers net power by 150.50 kW and saves 1,191,940 kWh/y at 330 d/y. PAT recovery rises by 61.69 kW from efficiencies 0.85 to 0.90, but both runs return SEC=6.027873 kWh/m³; therefore this simulator version can check PAT recovered power but should not be used to interpolate PAT efficiency–SEC sensitivity. Set 95.0% as the PX energy-alarm/maintenance floor.</x:v>
      </x:c>
      <x:c r="O45" s="29" t="str">
        <x:v>Final conclusion
The minimum basic PX efficiency is 0.918 (SEC=3.102141 at 0.917, fail; SEC=3.098951 at 0.918, pass). The minimum recommended efficiency is 0.950 (SEC=3.000044 at 0.949, strict fail; SEC=2.996853 at 0.950, pass). At the recommendation, product=11,320.75 m³/d, brine=0.188973 m³/s, P1=1,088.25 kW, P2=132.87 kW, pump train=1,221.12 kW, net plant power=1,413.61 kW and daily energy=33,926.64 kWh/d. The measured 65.3-bar differential gives 1,233.99 kW available brine hydraulic power; at 95% efficiency the equivalent recoverable power is 1,172.29 kW and the unrecovered loss is 61.70 kW. Restoring PX efficiency from 0.85 to 0.95 lowers net power by 150.50 kW and saves 1,191,940 kWh/y at 330 d/y. PAT recovery rises by 61.69 kW from efficiencies 0.85 to 0.90, but both runs return SEC=6.027873 kWh/m³; therefore this simulator version can check PAT recovered power but should not be used to interpolate PAT efficiency–SEC sensitivity. Set 95.0% as the PX energy-alarm/maintenance floor.</x:v>
      </x:c>
    </x:row>
    <x:row r="46" ht="28" customHeight="1">
      <x:c r="A46" s="29" t="str">
        <x:v>Final conclusion
The minimum basic PX efficiency is 0.918 (SEC=3.102141 at 0.917, fail; SEC=3.098951 at 0.918, pass). The minimum recommended efficiency is 0.950 (SEC=3.000044 at 0.949, strict fail; SEC=2.996853 at 0.950, pass). At the recommendation, product=11,320.75 m³/d, brine=0.188973 m³/s, P1=1,088.25 kW, P2=132.87 kW, pump train=1,221.12 kW, net plant power=1,413.61 kW and daily energy=33,926.64 kWh/d. The measured 65.3-bar differential gives 1,233.99 kW available brine hydraulic power; at 95% efficiency the equivalent recoverable power is 1,172.29 kW and the unrecovered loss is 61.70 kW. Restoring PX efficiency from 0.85 to 0.95 lowers net power by 150.50 kW and saves 1,191,940 kWh/y at 330 d/y. PAT recovery rises by 61.69 kW from efficiencies 0.85 to 0.90, but both runs return SEC=6.027873 kWh/m³; therefore this simulator version can check PAT recovered power but should not be used to interpolate PAT efficiency–SEC sensitivity. Set 95.0% as the PX energy-alarm/maintenance floor.</x:v>
      </x:c>
      <x:c r="B46" s="29" t="str">
        <x:v>Final conclusion
The minimum basic PX efficiency is 0.918 (SEC=3.102141 at 0.917, fail; SEC=3.098951 at 0.918, pass). The minimum recommended efficiency is 0.950 (SEC=3.000044 at 0.949, strict fail; SEC=2.996853 at 0.950, pass). At the recommendation, product=11,320.75 m³/d, brine=0.188973 m³/s, P1=1,088.25 kW, P2=132.87 kW, pump train=1,221.12 kW, net plant power=1,413.61 kW and daily energy=33,926.64 kWh/d. The measured 65.3-bar differential gives 1,233.99 kW available brine hydraulic power; at 95% efficiency the equivalent recoverable power is 1,172.29 kW and the unrecovered loss is 61.70 kW. Restoring PX efficiency from 0.85 to 0.95 lowers net power by 150.50 kW and saves 1,191,940 kWh/y at 330 d/y. PAT recovery rises by 61.69 kW from efficiencies 0.85 to 0.90, but both runs return SEC=6.027873 kWh/m³; therefore this simulator version can check PAT recovered power but should not be used to interpolate PAT efficiency–SEC sensitivity. Set 95.0% as the PX energy-alarm/maintenance floor.</x:v>
      </x:c>
      <x:c r="C46" s="29" t="str">
        <x:v>Final conclusion
The minimum basic PX efficiency is 0.918 (SEC=3.102141 at 0.917, fail; SEC=3.098951 at 0.918, pass). The minimum recommended efficiency is 0.950 (SEC=3.000044 at 0.949, strict fail; SEC=2.996853 at 0.950, pass). At the recommendation, product=11,320.75 m³/d, brine=0.188973 m³/s, P1=1,088.25 kW, P2=132.87 kW, pump train=1,221.12 kW, net plant power=1,413.61 kW and daily energy=33,926.64 kWh/d. The measured 65.3-bar differential gives 1,233.99 kW available brine hydraulic power; at 95% efficiency the equivalent recoverable power is 1,172.29 kW and the unrecovered loss is 61.70 kW. Restoring PX efficiency from 0.85 to 0.95 lowers net power by 150.50 kW and saves 1,191,940 kWh/y at 330 d/y. PAT recovery rises by 61.69 kW from efficiencies 0.85 to 0.90, but both runs return SEC=6.027873 kWh/m³; therefore this simulator version can check PAT recovered power but should not be used to interpolate PAT efficiency–SEC sensitivity. Set 95.0% as the PX energy-alarm/maintenance floor.</x:v>
      </x:c>
      <x:c r="D46" s="29" t="str">
        <x:v>Final conclusion
The minimum basic PX efficiency is 0.918 (SEC=3.102141 at 0.917, fail; SEC=3.098951 at 0.918, pass). The minimum recommended efficiency is 0.950 (SEC=3.000044 at 0.949, strict fail; SEC=2.996853 at 0.950, pass). At the recommendation, product=11,320.75 m³/d, brine=0.188973 m³/s, P1=1,088.25 kW, P2=132.87 kW, pump train=1,221.12 kW, net plant power=1,413.61 kW and daily energy=33,926.64 kWh/d. The measured 65.3-bar differential gives 1,233.99 kW available brine hydraulic power; at 95% efficiency the equivalent recoverable power is 1,172.29 kW and the unrecovered loss is 61.70 kW. Restoring PX efficiency from 0.85 to 0.95 lowers net power by 150.50 kW and saves 1,191,940 kWh/y at 330 d/y. PAT recovery rises by 61.69 kW from efficiencies 0.85 to 0.90, but both runs return SEC=6.027873 kWh/m³; therefore this simulator version can check PAT recovered power but should not be used to interpolate PAT efficiency–SEC sensitivity. Set 95.0% as the PX energy-alarm/maintenance floor.</x:v>
      </x:c>
      <x:c r="E46" s="29" t="str">
        <x:v>Final conclusion
The minimum basic PX efficiency is 0.918 (SEC=3.102141 at 0.917, fail; SEC=3.098951 at 0.918, pass). The minimum recommended efficiency is 0.950 (SEC=3.000044 at 0.949, strict fail; SEC=2.996853 at 0.950, pass). At the recommendation, product=11,320.75 m³/d, brine=0.188973 m³/s, P1=1,088.25 kW, P2=132.87 kW, pump train=1,221.12 kW, net plant power=1,413.61 kW and daily energy=33,926.64 kWh/d. The measured 65.3-bar differential gives 1,233.99 kW available brine hydraulic power; at 95% efficiency the equivalent recoverable power is 1,172.29 kW and the unrecovered loss is 61.70 kW. Restoring PX efficiency from 0.85 to 0.95 lowers net power by 150.50 kW and saves 1,191,940 kWh/y at 330 d/y. PAT recovery rises by 61.69 kW from efficiencies 0.85 to 0.90, but both runs return SEC=6.027873 kWh/m³; therefore this simulator version can check PAT recovered power but should not be used to interpolate PAT efficiency–SEC sensitivity. Set 95.0% as the PX energy-alarm/maintenance floor.</x:v>
      </x:c>
      <x:c r="F46" s="29" t="str">
        <x:v>Final conclusion
The minimum basic PX efficiency is 0.918 (SEC=3.102141 at 0.917, fail; SEC=3.098951 at 0.918, pass). The minimum recommended efficiency is 0.950 (SEC=3.000044 at 0.949, strict fail; SEC=2.996853 at 0.950, pass). At the recommendation, product=11,320.75 m³/d, brine=0.188973 m³/s, P1=1,088.25 kW, P2=132.87 kW, pump train=1,221.12 kW, net plant power=1,413.61 kW and daily energy=33,926.64 kWh/d. The measured 65.3-bar differential gives 1,233.99 kW available brine hydraulic power; at 95% efficiency the equivalent recoverable power is 1,172.29 kW and the unrecovered loss is 61.70 kW. Restoring PX efficiency from 0.85 to 0.95 lowers net power by 150.50 kW and saves 1,191,940 kWh/y at 330 d/y. PAT recovery rises by 61.69 kW from efficiencies 0.85 to 0.90, but both runs return SEC=6.027873 kWh/m³; therefore this simulator version can check PAT recovered power but should not be used to interpolate PAT efficiency–SEC sensitivity. Set 95.0% as the PX energy-alarm/maintenance floor.</x:v>
      </x:c>
      <x:c r="G46" s="29" t="str">
        <x:v>Final conclusion
The minimum basic PX efficiency is 0.918 (SEC=3.102141 at 0.917, fail; SEC=3.098951 at 0.918, pass). The minimum recommended efficiency is 0.950 (SEC=3.000044 at 0.949, strict fail; SEC=2.996853 at 0.950, pass). At the recommendation, product=11,320.75 m³/d, brine=0.188973 m³/s, P1=1,088.25 kW, P2=132.87 kW, pump train=1,221.12 kW, net plant power=1,413.61 kW and daily energy=33,926.64 kWh/d. The measured 65.3-bar differential gives 1,233.99 kW available brine hydraulic power; at 95% efficiency the equivalent recoverable power is 1,172.29 kW and the unrecovered loss is 61.70 kW. Restoring PX efficiency from 0.85 to 0.95 lowers net power by 150.50 kW and saves 1,191,940 kWh/y at 330 d/y. PAT recovery rises by 61.69 kW from efficiencies 0.85 to 0.90, but both runs return SEC=6.027873 kWh/m³; therefore this simulator version can check PAT recovered power but should not be used to interpolate PAT efficiency–SEC sensitivity. Set 95.0% as the PX energy-alarm/maintenance floor.</x:v>
      </x:c>
      <x:c r="H46" s="29" t="str">
        <x:v>Final conclusion
The minimum basic PX efficiency is 0.918 (SEC=3.102141 at 0.917, fail; SEC=3.098951 at 0.918, pass). The minimum recommended efficiency is 0.950 (SEC=3.000044 at 0.949, strict fail; SEC=2.996853 at 0.950, pass). At the recommendation, product=11,320.75 m³/d, brine=0.188973 m³/s, P1=1,088.25 kW, P2=132.87 kW, pump train=1,221.12 kW, net plant power=1,413.61 kW and daily energy=33,926.64 kWh/d. The measured 65.3-bar differential gives 1,233.99 kW available brine hydraulic power; at 95% efficiency the equivalent recoverable power is 1,172.29 kW and the unrecovered loss is 61.70 kW. Restoring PX efficiency from 0.85 to 0.95 lowers net power by 150.50 kW and saves 1,191,940 kWh/y at 330 d/y. PAT recovery rises by 61.69 kW from efficiencies 0.85 to 0.90, but both runs return SEC=6.027873 kWh/m³; therefore this simulator version can check PAT recovered power but should not be used to interpolate PAT efficiency–SEC sensitivity. Set 95.0% as the PX energy-alarm/maintenance floor.</x:v>
      </x:c>
      <x:c r="I46" s="29" t="str">
        <x:v>Final conclusion
The minimum basic PX efficiency is 0.918 (SEC=3.102141 at 0.917, fail; SEC=3.098951 at 0.918, pass). The minimum recommended efficiency is 0.950 (SEC=3.000044 at 0.949, strict fail; SEC=2.996853 at 0.950, pass). At the recommendation, product=11,320.75 m³/d, brine=0.188973 m³/s, P1=1,088.25 kW, P2=132.87 kW, pump train=1,221.12 kW, net plant power=1,413.61 kW and daily energy=33,926.64 kWh/d. The measured 65.3-bar differential gives 1,233.99 kW available brine hydraulic power; at 95% efficiency the equivalent recoverable power is 1,172.29 kW and the unrecovered loss is 61.70 kW. Restoring PX efficiency from 0.85 to 0.95 lowers net power by 150.50 kW and saves 1,191,940 kWh/y at 330 d/y. PAT recovery rises by 61.69 kW from efficiencies 0.85 to 0.90, but both runs return SEC=6.027873 kWh/m³; therefore this simulator version can check PAT recovered power but should not be used to interpolate PAT efficiency–SEC sensitivity. Set 95.0% as the PX energy-alarm/maintenance floor.</x:v>
      </x:c>
      <x:c r="J46" s="29" t="str">
        <x:v>Final conclusion
The minimum basic PX efficiency is 0.918 (SEC=3.102141 at 0.917, fail; SEC=3.098951 at 0.918, pass). The minimum recommended efficiency is 0.950 (SEC=3.000044 at 0.949, strict fail; SEC=2.996853 at 0.950, pass). At the recommendation, product=11,320.75 m³/d, brine=0.188973 m³/s, P1=1,088.25 kW, P2=132.87 kW, pump train=1,221.12 kW, net plant power=1,413.61 kW and daily energy=33,926.64 kWh/d. The measured 65.3-bar differential gives 1,233.99 kW available brine hydraulic power; at 95% efficiency the equivalent recoverable power is 1,172.29 kW and the unrecovered loss is 61.70 kW. Restoring PX efficiency from 0.85 to 0.95 lowers net power by 150.50 kW and saves 1,191,940 kWh/y at 330 d/y. PAT recovery rises by 61.69 kW from efficiencies 0.85 to 0.90, but both runs return SEC=6.027873 kWh/m³; therefore this simulator version can check PAT recovered power but should not be used to interpolate PAT efficiency–SEC sensitivity. Set 95.0% as the PX energy-alarm/maintenance floor.</x:v>
      </x:c>
      <x:c r="K46" s="29" t="str">
        <x:v>Final conclusion
The minimum basic PX efficiency is 0.918 (SEC=3.102141 at 0.917, fail; SEC=3.098951 at 0.918, pass). The minimum recommended efficiency is 0.950 (SEC=3.000044 at 0.949, strict fail; SEC=2.996853 at 0.950, pass). At the recommendation, product=11,320.75 m³/d, brine=0.188973 m³/s, P1=1,088.25 kW, P2=132.87 kW, pump train=1,221.12 kW, net plant power=1,413.61 kW and daily energy=33,926.64 kWh/d. The measured 65.3-bar differential gives 1,233.99 kW available brine hydraulic power; at 95% efficiency the equivalent recoverable power is 1,172.29 kW and the unrecovered loss is 61.70 kW. Restoring PX efficiency from 0.85 to 0.95 lowers net power by 150.50 kW and saves 1,191,940 kWh/y at 330 d/y. PAT recovery rises by 61.69 kW from efficiencies 0.85 to 0.90, but both runs return SEC=6.027873 kWh/m³; therefore this simulator version can check PAT recovered power but should not be used to interpolate PAT efficiency–SEC sensitivity. Set 95.0% as the PX energy-alarm/maintenance floor.</x:v>
      </x:c>
      <x:c r="L46" s="29" t="str">
        <x:v>Final conclusion
The minimum basic PX efficiency is 0.918 (SEC=3.102141 at 0.917, fail; SEC=3.098951 at 0.918, pass). The minimum recommended efficiency is 0.950 (SEC=3.000044 at 0.949, strict fail; SEC=2.996853 at 0.950, pass). At the recommendation, product=11,320.75 m³/d, brine=0.188973 m³/s, P1=1,088.25 kW, P2=132.87 kW, pump train=1,221.12 kW, net plant power=1,413.61 kW and daily energy=33,926.64 kWh/d. The measured 65.3-bar differential gives 1,233.99 kW available brine hydraulic power; at 95% efficiency the equivalent recoverable power is 1,172.29 kW and the unrecovered loss is 61.70 kW. Restoring PX efficiency from 0.85 to 0.95 lowers net power by 150.50 kW and saves 1,191,940 kWh/y at 330 d/y. PAT recovery rises by 61.69 kW from efficiencies 0.85 to 0.90, but both runs return SEC=6.027873 kWh/m³; therefore this simulator version can check PAT recovered power but should not be used to interpolate PAT efficiency–SEC sensitivity. Set 95.0% as the PX energy-alarm/maintenance floor.</x:v>
      </x:c>
      <x:c r="M46" s="29" t="str">
        <x:v>Final conclusion
The minimum basic PX efficiency is 0.918 (SEC=3.102141 at 0.917, fail; SEC=3.098951 at 0.918, pass). The minimum recommended efficiency is 0.950 (SEC=3.000044 at 0.949, strict fail; SEC=2.996853 at 0.950, pass). At the recommendation, product=11,320.75 m³/d, brine=0.188973 m³/s, P1=1,088.25 kW, P2=132.87 kW, pump train=1,221.12 kW, net plant power=1,413.61 kW and daily energy=33,926.64 kWh/d. The measured 65.3-bar differential gives 1,233.99 kW available brine hydraulic power; at 95% efficiency the equivalent recoverable power is 1,172.29 kW and the unrecovered loss is 61.70 kW. Restoring PX efficiency from 0.85 to 0.95 lowers net power by 150.50 kW and saves 1,191,940 kWh/y at 330 d/y. PAT recovery rises by 61.69 kW from efficiencies 0.85 to 0.90, but both runs return SEC=6.027873 kWh/m³; therefore this simulator version can check PAT recovered power but should not be used to interpolate PAT efficiency–SEC sensitivity. Set 95.0% as the PX energy-alarm/maintenance floor.</x:v>
      </x:c>
      <x:c r="N46" s="29" t="str">
        <x:v>Final conclusion
The minimum basic PX efficiency is 0.918 (SEC=3.102141 at 0.917, fail; SEC=3.098951 at 0.918, pass). The minimum recommended efficiency is 0.950 (SEC=3.000044 at 0.949, strict fail; SEC=2.996853 at 0.950, pass). At the recommendation, product=11,320.75 m³/d, brine=0.188973 m³/s, P1=1,088.25 kW, P2=132.87 kW, pump train=1,221.12 kW, net plant power=1,413.61 kW and daily energy=33,926.64 kWh/d. The measured 65.3-bar differential gives 1,233.99 kW available brine hydraulic power; at 95% efficiency the equivalent recoverable power is 1,172.29 kW and the unrecovered loss is 61.70 kW. Restoring PX efficiency from 0.85 to 0.95 lowers net power by 150.50 kW and saves 1,191,940 kWh/y at 330 d/y. PAT recovery rises by 61.69 kW from efficiencies 0.85 to 0.90, but both runs return SEC=6.027873 kWh/m³; therefore this simulator version can check PAT recovered power but should not be used to interpolate PAT efficiency–SEC sensitivity. Set 95.0% as the PX energy-alarm/maintenance floor.</x:v>
      </x:c>
      <x:c r="O46" s="29" t="str">
        <x:v>Final conclusion
The minimum basic PX efficiency is 0.918 (SEC=3.102141 at 0.917, fail; SEC=3.098951 at 0.918, pass). The minimum recommended efficiency is 0.950 (SEC=3.000044 at 0.949, strict fail; SEC=2.996853 at 0.950, pass). At the recommendation, product=11,320.75 m³/d, brine=0.188973 m³/s, P1=1,088.25 kW, P2=132.87 kW, pump train=1,221.12 kW, net plant power=1,413.61 kW and daily energy=33,926.64 kWh/d. The measured 65.3-bar differential gives 1,233.99 kW available brine hydraulic power; at 95% efficiency the equivalent recoverable power is 1,172.29 kW and the unrecovered loss is 61.70 kW. Restoring PX efficiency from 0.85 to 0.95 lowers net power by 150.50 kW and saves 1,191,940 kWh/y at 330 d/y. PAT recovery rises by 61.69 kW from efficiencies 0.85 to 0.90, but both runs return SEC=6.027873 kWh/m³; therefore this simulator version can check PAT recovered power but should not be used to interpolate PAT efficiency–SEC sensitivity. Set 95.0% as the PX energy-alarm/maintenance floor.</x:v>
      </x:c>
    </x:row>
    <x:row r="47" ht="28" customHeight="1">
      <x:c r="A47" s="29" t="str">
        <x:v>Final conclusion
The minimum basic PX efficiency is 0.918 (SEC=3.102141 at 0.917, fail; SEC=3.098951 at 0.918, pass). The minimum recommended efficiency is 0.950 (SEC=3.000044 at 0.949, strict fail; SEC=2.996853 at 0.950, pass). At the recommendation, product=11,320.75 m³/d, brine=0.188973 m³/s, P1=1,088.25 kW, P2=132.87 kW, pump train=1,221.12 kW, net plant power=1,413.61 kW and daily energy=33,926.64 kWh/d. The measured 65.3-bar differential gives 1,233.99 kW available brine hydraulic power; at 95% efficiency the equivalent recoverable power is 1,172.29 kW and the unrecovered loss is 61.70 kW. Restoring PX efficiency from 0.85 to 0.95 lowers net power by 150.50 kW and saves 1,191,940 kWh/y at 330 d/y. PAT recovery rises by 61.69 kW from efficiencies 0.85 to 0.90, but both runs return SEC=6.027873 kWh/m³; therefore this simulator version can check PAT recovered power but should not be used to interpolate PAT efficiency–SEC sensitivity. Set 95.0% as the PX energy-alarm/maintenance floor.</x:v>
      </x:c>
      <x:c r="B47" s="29" t="str">
        <x:v>Final conclusion
The minimum basic PX efficiency is 0.918 (SEC=3.102141 at 0.917, fail; SEC=3.098951 at 0.918, pass). The minimum recommended efficiency is 0.950 (SEC=3.000044 at 0.949, strict fail; SEC=2.996853 at 0.950, pass). At the recommendation, product=11,320.75 m³/d, brine=0.188973 m³/s, P1=1,088.25 kW, P2=132.87 kW, pump train=1,221.12 kW, net plant power=1,413.61 kW and daily energy=33,926.64 kWh/d. The measured 65.3-bar differential gives 1,233.99 kW available brine hydraulic power; at 95% efficiency the equivalent recoverable power is 1,172.29 kW and the unrecovered loss is 61.70 kW. Restoring PX efficiency from 0.85 to 0.95 lowers net power by 150.50 kW and saves 1,191,940 kWh/y at 330 d/y. PAT recovery rises by 61.69 kW from efficiencies 0.85 to 0.90, but both runs return SEC=6.027873 kWh/m³; therefore this simulator version can check PAT recovered power but should not be used to interpolate PAT efficiency–SEC sensitivity. Set 95.0% as the PX energy-alarm/maintenance floor.</x:v>
      </x:c>
      <x:c r="C47" s="29" t="str">
        <x:v>Final conclusion
The minimum basic PX efficiency is 0.918 (SEC=3.102141 at 0.917, fail; SEC=3.098951 at 0.918, pass). The minimum recommended efficiency is 0.950 (SEC=3.000044 at 0.949, strict fail; SEC=2.996853 at 0.950, pass). At the recommendation, product=11,320.75 m³/d, brine=0.188973 m³/s, P1=1,088.25 kW, P2=132.87 kW, pump train=1,221.12 kW, net plant power=1,413.61 kW and daily energy=33,926.64 kWh/d. The measured 65.3-bar differential gives 1,233.99 kW available brine hydraulic power; at 95% efficiency the equivalent recoverable power is 1,172.29 kW and the unrecovered loss is 61.70 kW. Restoring PX efficiency from 0.85 to 0.95 lowers net power by 150.50 kW and saves 1,191,940 kWh/y at 330 d/y. PAT recovery rises by 61.69 kW from efficiencies 0.85 to 0.90, but both runs return SEC=6.027873 kWh/m³; therefore this simulator version can check PAT recovered power but should not be used to interpolate PAT efficiency–SEC sensitivity. Set 95.0% as the PX energy-alarm/maintenance floor.</x:v>
      </x:c>
      <x:c r="D47" s="29" t="str">
        <x:v>Final conclusion
The minimum basic PX efficiency is 0.918 (SEC=3.102141 at 0.917, fail; SEC=3.098951 at 0.918, pass). The minimum recommended efficiency is 0.950 (SEC=3.000044 at 0.949, strict fail; SEC=2.996853 at 0.950, pass). At the recommendation, product=11,320.75 m³/d, brine=0.188973 m³/s, P1=1,088.25 kW, P2=132.87 kW, pump train=1,221.12 kW, net plant power=1,413.61 kW and daily energy=33,926.64 kWh/d. The measured 65.3-bar differential gives 1,233.99 kW available brine hydraulic power; at 95% efficiency the equivalent recoverable power is 1,172.29 kW and the unrecovered loss is 61.70 kW. Restoring PX efficiency from 0.85 to 0.95 lowers net power by 150.50 kW and saves 1,191,940 kWh/y at 330 d/y. PAT recovery rises by 61.69 kW from efficiencies 0.85 to 0.90, but both runs return SEC=6.027873 kWh/m³; therefore this simulator version can check PAT recovered power but should not be used to interpolate PAT efficiency–SEC sensitivity. Set 95.0% as the PX energy-alarm/maintenance floor.</x:v>
      </x:c>
      <x:c r="E47" s="29" t="str">
        <x:v>Final conclusion
The minimum basic PX efficiency is 0.918 (SEC=3.102141 at 0.917, fail; SEC=3.098951 at 0.918, pass). The minimum recommended efficiency is 0.950 (SEC=3.000044 at 0.949, strict fail; SEC=2.996853 at 0.950, pass). At the recommendation, product=11,320.75 m³/d, brine=0.188973 m³/s, P1=1,088.25 kW, P2=132.87 kW, pump train=1,221.12 kW, net plant power=1,413.61 kW and daily energy=33,926.64 kWh/d. The measured 65.3-bar differential gives 1,233.99 kW available brine hydraulic power; at 95% efficiency the equivalent recoverable power is 1,172.29 kW and the unrecovered loss is 61.70 kW. Restoring PX efficiency from 0.85 to 0.95 lowers net power by 150.50 kW and saves 1,191,940 kWh/y at 330 d/y. PAT recovery rises by 61.69 kW from efficiencies 0.85 to 0.90, but both runs return SEC=6.027873 kWh/m³; therefore this simulator version can check PAT recovered power but should not be used to interpolate PAT efficiency–SEC sensitivity. Set 95.0% as the PX energy-alarm/maintenance floor.</x:v>
      </x:c>
      <x:c r="F47" s="29" t="str">
        <x:v>Final conclusion
The minimum basic PX efficiency is 0.918 (SEC=3.102141 at 0.917, fail; SEC=3.098951 at 0.918, pass). The minimum recommended efficiency is 0.950 (SEC=3.000044 at 0.949, strict fail; SEC=2.996853 at 0.950, pass). At the recommendation, product=11,320.75 m³/d, brine=0.188973 m³/s, P1=1,088.25 kW, P2=132.87 kW, pump train=1,221.12 kW, net plant power=1,413.61 kW and daily energy=33,926.64 kWh/d. The measured 65.3-bar differential gives 1,233.99 kW available brine hydraulic power; at 95% efficiency the equivalent recoverable power is 1,172.29 kW and the unrecovered loss is 61.70 kW. Restoring PX efficiency from 0.85 to 0.95 lowers net power by 150.50 kW and saves 1,191,940 kWh/y at 330 d/y. PAT recovery rises by 61.69 kW from efficiencies 0.85 to 0.90, but both runs return SEC=6.027873 kWh/m³; therefore this simulator version can check PAT recovered power but should not be used to interpolate PAT efficiency–SEC sensitivity. Set 95.0% as the PX energy-alarm/maintenance floor.</x:v>
      </x:c>
      <x:c r="G47" s="29" t="str">
        <x:v>Final conclusion
The minimum basic PX efficiency is 0.918 (SEC=3.102141 at 0.917, fail; SEC=3.098951 at 0.918, pass). The minimum recommended efficiency is 0.950 (SEC=3.000044 at 0.949, strict fail; SEC=2.996853 at 0.950, pass). At the recommendation, product=11,320.75 m³/d, brine=0.188973 m³/s, P1=1,088.25 kW, P2=132.87 kW, pump train=1,221.12 kW, net plant power=1,413.61 kW and daily energy=33,926.64 kWh/d. The measured 65.3-bar differential gives 1,233.99 kW available brine hydraulic power; at 95% efficiency the equivalent recoverable power is 1,172.29 kW and the unrecovered loss is 61.70 kW. Restoring PX efficiency from 0.85 to 0.95 lowers net power by 150.50 kW and saves 1,191,940 kWh/y at 330 d/y. PAT recovery rises by 61.69 kW from efficiencies 0.85 to 0.90, but both runs return SEC=6.027873 kWh/m³; therefore this simulator version can check PAT recovered power but should not be used to interpolate PAT efficiency–SEC sensitivity. Set 95.0% as the PX energy-alarm/maintenance floor.</x:v>
      </x:c>
      <x:c r="H47" s="29" t="str">
        <x:v>Final conclusion
The minimum basic PX efficiency is 0.918 (SEC=3.102141 at 0.917, fail; SEC=3.098951 at 0.918, pass). The minimum recommended efficiency is 0.950 (SEC=3.000044 at 0.949, strict fail; SEC=2.996853 at 0.950, pass). At the recommendation, product=11,320.75 m³/d, brine=0.188973 m³/s, P1=1,088.25 kW, P2=132.87 kW, pump train=1,221.12 kW, net plant power=1,413.61 kW and daily energy=33,926.64 kWh/d. The measured 65.3-bar differential gives 1,233.99 kW available brine hydraulic power; at 95% efficiency the equivalent recoverable power is 1,172.29 kW and the unrecovered loss is 61.70 kW. Restoring PX efficiency from 0.85 to 0.95 lowers net power by 150.50 kW and saves 1,191,940 kWh/y at 330 d/y. PAT recovery rises by 61.69 kW from efficiencies 0.85 to 0.90, but both runs return SEC=6.027873 kWh/m³; therefore this simulator version can check PAT recovered power but should not be used to interpolate PAT efficiency–SEC sensitivity. Set 95.0% as the PX energy-alarm/maintenance floor.</x:v>
      </x:c>
      <x:c r="I47" s="29" t="str">
        <x:v>Final conclusion
The minimum basic PX efficiency is 0.918 (SEC=3.102141 at 0.917, fail; SEC=3.098951 at 0.918, pass). The minimum recommended efficiency is 0.950 (SEC=3.000044 at 0.949, strict fail; SEC=2.996853 at 0.950, pass). At the recommendation, product=11,320.75 m³/d, brine=0.188973 m³/s, P1=1,088.25 kW, P2=132.87 kW, pump train=1,221.12 kW, net plant power=1,413.61 kW and daily energy=33,926.64 kWh/d. The measured 65.3-bar differential gives 1,233.99 kW available brine hydraulic power; at 95% efficiency the equivalent recoverable power is 1,172.29 kW and the unrecovered loss is 61.70 kW. Restoring PX efficiency from 0.85 to 0.95 lowers net power by 150.50 kW and saves 1,191,940 kWh/y at 330 d/y. PAT recovery rises by 61.69 kW from efficiencies 0.85 to 0.90, but both runs return SEC=6.027873 kWh/m³; therefore this simulator version can check PAT recovered power but should not be used to interpolate PAT efficiency–SEC sensitivity. Set 95.0% as the PX energy-alarm/maintenance floor.</x:v>
      </x:c>
      <x:c r="J47" s="29" t="str">
        <x:v>Final conclusion
The minimum basic PX efficiency is 0.918 (SEC=3.102141 at 0.917, fail; SEC=3.098951 at 0.918, pass). The minimum recommended efficiency is 0.950 (SEC=3.000044 at 0.949, strict fail; SEC=2.996853 at 0.950, pass). At the recommendation, product=11,320.75 m³/d, brine=0.188973 m³/s, P1=1,088.25 kW, P2=132.87 kW, pump train=1,221.12 kW, net plant power=1,413.61 kW and daily energy=33,926.64 kWh/d. The measured 65.3-bar differential gives 1,233.99 kW available brine hydraulic power; at 95% efficiency the equivalent recoverable power is 1,172.29 kW and the unrecovered loss is 61.70 kW. Restoring PX efficiency from 0.85 to 0.95 lowers net power by 150.50 kW and saves 1,191,940 kWh/y at 330 d/y. PAT recovery rises by 61.69 kW from efficiencies 0.85 to 0.90, but both runs return SEC=6.027873 kWh/m³; therefore this simulator version can check PAT recovered power but should not be used to interpolate PAT efficiency–SEC sensitivity. Set 95.0% as the PX energy-alarm/maintenance floor.</x:v>
      </x:c>
      <x:c r="K47" s="29" t="str">
        <x:v>Final conclusion
The minimum basic PX efficiency is 0.918 (SEC=3.102141 at 0.917, fail; SEC=3.098951 at 0.918, pass). The minimum recommended efficiency is 0.950 (SEC=3.000044 at 0.949, strict fail; SEC=2.996853 at 0.950, pass). At the recommendation, product=11,320.75 m³/d, brine=0.188973 m³/s, P1=1,088.25 kW, P2=132.87 kW, pump train=1,221.12 kW, net plant power=1,413.61 kW and daily energy=33,926.64 kWh/d. The measured 65.3-bar differential gives 1,233.99 kW available brine hydraulic power; at 95% efficiency the equivalent recoverable power is 1,172.29 kW and the unrecovered loss is 61.70 kW. Restoring PX efficiency from 0.85 to 0.95 lowers net power by 150.50 kW and saves 1,191,940 kWh/y at 330 d/y. PAT recovery rises by 61.69 kW from efficiencies 0.85 to 0.90, but both runs return SEC=6.027873 kWh/m³; therefore this simulator version can check PAT recovered power but should not be used to interpolate PAT efficiency–SEC sensitivity. Set 95.0% as the PX energy-alarm/maintenance floor.</x:v>
      </x:c>
      <x:c r="L47" s="29" t="str">
        <x:v>Final conclusion
The minimum basic PX efficiency is 0.918 (SEC=3.102141 at 0.917, fail; SEC=3.098951 at 0.918, pass). The minimum recommended efficiency is 0.950 (SEC=3.000044 at 0.949, strict fail; SEC=2.996853 at 0.950, pass). At the recommendation, product=11,320.75 m³/d, brine=0.188973 m³/s, P1=1,088.25 kW, P2=132.87 kW, pump train=1,221.12 kW, net plant power=1,413.61 kW and daily energy=33,926.64 kWh/d. The measured 65.3-bar differential gives 1,233.99 kW available brine hydraulic power; at 95% efficiency the equivalent recoverable power is 1,172.29 kW and the unrecovered loss is 61.70 kW. Restoring PX efficiency from 0.85 to 0.95 lowers net power by 150.50 kW and saves 1,191,940 kWh/y at 330 d/y. PAT recovery rises by 61.69 kW from efficiencies 0.85 to 0.90, but both runs return SEC=6.027873 kWh/m³; therefore this simulator version can check PAT recovered power but should not be used to interpolate PAT efficiency–SEC sensitivity. Set 95.0% as the PX energy-alarm/maintenance floor.</x:v>
      </x:c>
      <x:c r="M47" s="29" t="str">
        <x:v>Final conclusion
The minimum basic PX efficiency is 0.918 (SEC=3.102141 at 0.917, fail; SEC=3.098951 at 0.918, pass). The minimum recommended efficiency is 0.950 (SEC=3.000044 at 0.949, strict fail; SEC=2.996853 at 0.950, pass). At the recommendation, product=11,320.75 m³/d, brine=0.188973 m³/s, P1=1,088.25 kW, P2=132.87 kW, pump train=1,221.12 kW, net plant power=1,413.61 kW and daily energy=33,926.64 kWh/d. The measured 65.3-bar differential gives 1,233.99 kW available brine hydraulic power; at 95% efficiency the equivalent recoverable power is 1,172.29 kW and the unrecovered loss is 61.70 kW. Restoring PX efficiency from 0.85 to 0.95 lowers net power by 150.50 kW and saves 1,191,940 kWh/y at 330 d/y. PAT recovery rises by 61.69 kW from efficiencies 0.85 to 0.90, but both runs return SEC=6.027873 kWh/m³; therefore this simulator version can check PAT recovered power but should not be used to interpolate PAT efficiency–SEC sensitivity. Set 95.0% as the PX energy-alarm/maintenance floor.</x:v>
      </x:c>
      <x:c r="N47" s="29" t="str">
        <x:v>Final conclusion
The minimum basic PX efficiency is 0.918 (SEC=3.102141 at 0.917, fail; SEC=3.098951 at 0.918, pass). The minimum recommended efficiency is 0.950 (SEC=3.000044 at 0.949, strict fail; SEC=2.996853 at 0.950, pass). At the recommendation, product=11,320.75 m³/d, brine=0.188973 m³/s, P1=1,088.25 kW, P2=132.87 kW, pump train=1,221.12 kW, net plant power=1,413.61 kW and daily energy=33,926.64 kWh/d. The measured 65.3-bar differential gives 1,233.99 kW available brine hydraulic power; at 95% efficiency the equivalent recoverable power is 1,172.29 kW and the unrecovered loss is 61.70 kW. Restoring PX efficiency from 0.85 to 0.95 lowers net power by 150.50 kW and saves 1,191,940 kWh/y at 330 d/y. PAT recovery rises by 61.69 kW from efficiencies 0.85 to 0.90, but both runs return SEC=6.027873 kWh/m³; therefore this simulator version can check PAT recovered power but should not be used to interpolate PAT efficiency–SEC sensitivity. Set 95.0% as the PX energy-alarm/maintenance floor.</x:v>
      </x:c>
      <x:c r="O47" s="29" t="str">
        <x:v>Final conclusion
The minimum basic PX efficiency is 0.918 (SEC=3.102141 at 0.917, fail; SEC=3.098951 at 0.918, pass). The minimum recommended efficiency is 0.950 (SEC=3.000044 at 0.949, strict fail; SEC=2.996853 at 0.950, pass). At the recommendation, product=11,320.75 m³/d, brine=0.188973 m³/s, P1=1,088.25 kW, P2=132.87 kW, pump train=1,221.12 kW, net plant power=1,413.61 kW and daily energy=33,926.64 kWh/d. The measured 65.3-bar differential gives 1,233.99 kW available brine hydraulic power; at 95% efficiency the equivalent recoverable power is 1,172.29 kW and the unrecovered loss is 61.70 kW. Restoring PX efficiency from 0.85 to 0.95 lowers net power by 150.50 kW and saves 1,191,940 kWh/y at 330 d/y. PAT recovery rises by 61.69 kW from efficiencies 0.85 to 0.90, but both runs return SEC=6.027873 kWh/m³; therefore this simulator version can check PAT recovered power but should not be used to interpolate PAT efficiency–SEC sensitivity. Set 95.0% as the PX energy-alarm/maintenance floor.</x:v>
      </x:c>
    </x:row>
    <x:row r="48" ht="28" customHeight="1">
      <x:c r="A48" s="29" t="str">
        <x:v>Final conclusion
The minimum basic PX efficiency is 0.918 (SEC=3.102141 at 0.917, fail; SEC=3.098951 at 0.918, pass). The minimum recommended efficiency is 0.950 (SEC=3.000044 at 0.949, strict fail; SEC=2.996853 at 0.950, pass). At the recommendation, product=11,320.75 m³/d, brine=0.188973 m³/s, P1=1,088.25 kW, P2=132.87 kW, pump train=1,221.12 kW, net plant power=1,413.61 kW and daily energy=33,926.64 kWh/d. The measured 65.3-bar differential gives 1,233.99 kW available brine hydraulic power; at 95% efficiency the equivalent recoverable power is 1,172.29 kW and the unrecovered loss is 61.70 kW. Restoring PX efficiency from 0.85 to 0.95 lowers net power by 150.50 kW and saves 1,191,940 kWh/y at 330 d/y. PAT recovery rises by 61.69 kW from efficiencies 0.85 to 0.90, but both runs return SEC=6.027873 kWh/m³; therefore this simulator version can check PAT recovered power but should not be used to interpolate PAT efficiency–SEC sensitivity. Set 95.0% as the PX energy-alarm/maintenance floor.</x:v>
      </x:c>
      <x:c r="B48" s="29" t="str">
        <x:v>Final conclusion
The minimum basic PX efficiency is 0.918 (SEC=3.102141 at 0.917, fail; SEC=3.098951 at 0.918, pass). The minimum recommended efficiency is 0.950 (SEC=3.000044 at 0.949, strict fail; SEC=2.996853 at 0.950, pass). At the recommendation, product=11,320.75 m³/d, brine=0.188973 m³/s, P1=1,088.25 kW, P2=132.87 kW, pump train=1,221.12 kW, net plant power=1,413.61 kW and daily energy=33,926.64 kWh/d. The measured 65.3-bar differential gives 1,233.99 kW available brine hydraulic power; at 95% efficiency the equivalent recoverable power is 1,172.29 kW and the unrecovered loss is 61.70 kW. Restoring PX efficiency from 0.85 to 0.95 lowers net power by 150.50 kW and saves 1,191,940 kWh/y at 330 d/y. PAT recovery rises by 61.69 kW from efficiencies 0.85 to 0.90, but both runs return SEC=6.027873 kWh/m³; therefore this simulator version can check PAT recovered power but should not be used to interpolate PAT efficiency–SEC sensitivity. Set 95.0% as the PX energy-alarm/maintenance floor.</x:v>
      </x:c>
      <x:c r="C48" s="29" t="str">
        <x:v>Final conclusion
The minimum basic PX efficiency is 0.918 (SEC=3.102141 at 0.917, fail; SEC=3.098951 at 0.918, pass). The minimum recommended efficiency is 0.950 (SEC=3.000044 at 0.949, strict fail; SEC=2.996853 at 0.950, pass). At the recommendation, product=11,320.75 m³/d, brine=0.188973 m³/s, P1=1,088.25 kW, P2=132.87 kW, pump train=1,221.12 kW, net plant power=1,413.61 kW and daily energy=33,926.64 kWh/d. The measured 65.3-bar differential gives 1,233.99 kW available brine hydraulic power; at 95% efficiency the equivalent recoverable power is 1,172.29 kW and the unrecovered loss is 61.70 kW. Restoring PX efficiency from 0.85 to 0.95 lowers net power by 150.50 kW and saves 1,191,940 kWh/y at 330 d/y. PAT recovery rises by 61.69 kW from efficiencies 0.85 to 0.90, but both runs return SEC=6.027873 kWh/m³; therefore this simulator version can check PAT recovered power but should not be used to interpolate PAT efficiency–SEC sensitivity. Set 95.0% as the PX energy-alarm/maintenance floor.</x:v>
      </x:c>
      <x:c r="D48" s="29" t="str">
        <x:v>Final conclusion
The minimum basic PX efficiency is 0.918 (SEC=3.102141 at 0.917, fail; SEC=3.098951 at 0.918, pass). The minimum recommended efficiency is 0.950 (SEC=3.000044 at 0.949, strict fail; SEC=2.996853 at 0.950, pass). At the recommendation, product=11,320.75 m³/d, brine=0.188973 m³/s, P1=1,088.25 kW, P2=132.87 kW, pump train=1,221.12 kW, net plant power=1,413.61 kW and daily energy=33,926.64 kWh/d. The measured 65.3-bar differential gives 1,233.99 kW available brine hydraulic power; at 95% efficiency the equivalent recoverable power is 1,172.29 kW and the unrecovered loss is 61.70 kW. Restoring PX efficiency from 0.85 to 0.95 lowers net power by 150.50 kW and saves 1,191,940 kWh/y at 330 d/y. PAT recovery rises by 61.69 kW from efficiencies 0.85 to 0.90, but both runs return SEC=6.027873 kWh/m³; therefore this simulator version can check PAT recovered power but should not be used to interpolate PAT efficiency–SEC sensitivity. Set 95.0% as the PX energy-alarm/maintenance floor.</x:v>
      </x:c>
      <x:c r="E48" s="29" t="str">
        <x:v>Final conclusion
The minimum basic PX efficiency is 0.918 (SEC=3.102141 at 0.917, fail; SEC=3.098951 at 0.918, pass). The minimum recommended efficiency is 0.950 (SEC=3.000044 at 0.949, strict fail; SEC=2.996853 at 0.950, pass). At the recommendation, product=11,320.75 m³/d, brine=0.188973 m³/s, P1=1,088.25 kW, P2=132.87 kW, pump train=1,221.12 kW, net plant power=1,413.61 kW and daily energy=33,926.64 kWh/d. The measured 65.3-bar differential gives 1,233.99 kW available brine hydraulic power; at 95% efficiency the equivalent recoverable power is 1,172.29 kW and the unrecovered loss is 61.70 kW. Restoring PX efficiency from 0.85 to 0.95 lowers net power by 150.50 kW and saves 1,191,940 kWh/y at 330 d/y. PAT recovery rises by 61.69 kW from efficiencies 0.85 to 0.90, but both runs return SEC=6.027873 kWh/m³; therefore this simulator version can check PAT recovered power but should not be used to interpolate PAT efficiency–SEC sensitivity. Set 95.0% as the PX energy-alarm/maintenance floor.</x:v>
      </x:c>
      <x:c r="F48" s="29" t="str">
        <x:v>Final conclusion
The minimum basic PX efficiency is 0.918 (SEC=3.102141 at 0.917, fail; SEC=3.098951 at 0.918, pass). The minimum recommended efficiency is 0.950 (SEC=3.000044 at 0.949, strict fail; SEC=2.996853 at 0.950, pass). At the recommendation, product=11,320.75 m³/d, brine=0.188973 m³/s, P1=1,088.25 kW, P2=132.87 kW, pump train=1,221.12 kW, net plant power=1,413.61 kW and daily energy=33,926.64 kWh/d. The measured 65.3-bar differential gives 1,233.99 kW available brine hydraulic power; at 95% efficiency the equivalent recoverable power is 1,172.29 kW and the unrecovered loss is 61.70 kW. Restoring PX efficiency from 0.85 to 0.95 lowers net power by 150.50 kW and saves 1,191,940 kWh/y at 330 d/y. PAT recovery rises by 61.69 kW from efficiencies 0.85 to 0.90, but both runs return SEC=6.027873 kWh/m³; therefore this simulator version can check PAT recovered power but should not be used to interpolate PAT efficiency–SEC sensitivity. Set 95.0% as the PX energy-alarm/maintenance floor.</x:v>
      </x:c>
      <x:c r="G48" s="29" t="str">
        <x:v>Final conclusion
The minimum basic PX efficiency is 0.918 (SEC=3.102141 at 0.917, fail; SEC=3.098951 at 0.918, pass). The minimum recommended efficiency is 0.950 (SEC=3.000044 at 0.949, strict fail; SEC=2.996853 at 0.950, pass). At the recommendation, product=11,320.75 m³/d, brine=0.188973 m³/s, P1=1,088.25 kW, P2=132.87 kW, pump train=1,221.12 kW, net plant power=1,413.61 kW and daily energy=33,926.64 kWh/d. The measured 65.3-bar differential gives 1,233.99 kW available brine hydraulic power; at 95% efficiency the equivalent recoverable power is 1,172.29 kW and the unrecovered loss is 61.70 kW. Restoring PX efficiency from 0.85 to 0.95 lowers net power by 150.50 kW and saves 1,191,940 kWh/y at 330 d/y. PAT recovery rises by 61.69 kW from efficiencies 0.85 to 0.90, but both runs return SEC=6.027873 kWh/m³; therefore this simulator version can check PAT recovered power but should not be used to interpolate PAT efficiency–SEC sensitivity. Set 95.0% as the PX energy-alarm/maintenance floor.</x:v>
      </x:c>
      <x:c r="H48" s="29" t="str">
        <x:v>Final conclusion
The minimum basic PX efficiency is 0.918 (SEC=3.102141 at 0.917, fail; SEC=3.098951 at 0.918, pass). The minimum recommended efficiency is 0.950 (SEC=3.000044 at 0.949, strict fail; SEC=2.996853 at 0.950, pass). At the recommendation, product=11,320.75 m³/d, brine=0.188973 m³/s, P1=1,088.25 kW, P2=132.87 kW, pump train=1,221.12 kW, net plant power=1,413.61 kW and daily energy=33,926.64 kWh/d. The measured 65.3-bar differential gives 1,233.99 kW available brine hydraulic power; at 95% efficiency the equivalent recoverable power is 1,172.29 kW and the unrecovered loss is 61.70 kW. Restoring PX efficiency from 0.85 to 0.95 lowers net power by 150.50 kW and saves 1,191,940 kWh/y at 330 d/y. PAT recovery rises by 61.69 kW from efficiencies 0.85 to 0.90, but both runs return SEC=6.027873 kWh/m³; therefore this simulator version can check PAT recovered power but should not be used to interpolate PAT efficiency–SEC sensitivity. Set 95.0% as the PX energy-alarm/maintenance floor.</x:v>
      </x:c>
      <x:c r="I48" s="29" t="str">
        <x:v>Final conclusion
The minimum basic PX efficiency is 0.918 (SEC=3.102141 at 0.917, fail; SEC=3.098951 at 0.918, pass). The minimum recommended efficiency is 0.950 (SEC=3.000044 at 0.949, strict fail; SEC=2.996853 at 0.950, pass). At the recommendation, product=11,320.75 m³/d, brine=0.188973 m³/s, P1=1,088.25 kW, P2=132.87 kW, pump train=1,221.12 kW, net plant power=1,413.61 kW and daily energy=33,926.64 kWh/d. The measured 65.3-bar differential gives 1,233.99 kW available brine hydraulic power; at 95% efficiency the equivalent recoverable power is 1,172.29 kW and the unrecovered loss is 61.70 kW. Restoring PX efficiency from 0.85 to 0.95 lowers net power by 150.50 kW and saves 1,191,940 kWh/y at 330 d/y. PAT recovery rises by 61.69 kW from efficiencies 0.85 to 0.90, but both runs return SEC=6.027873 kWh/m³; therefore this simulator version can check PAT recovered power but should not be used to interpolate PAT efficiency–SEC sensitivity. Set 95.0% as the PX energy-alarm/maintenance floor.</x:v>
      </x:c>
      <x:c r="J48" s="29" t="str">
        <x:v>Final conclusion
The minimum basic PX efficiency is 0.918 (SEC=3.102141 at 0.917, fail; SEC=3.098951 at 0.918, pass). The minimum recommended efficiency is 0.950 (SEC=3.000044 at 0.949, strict fail; SEC=2.996853 at 0.950, pass). At the recommendation, product=11,320.75 m³/d, brine=0.188973 m³/s, P1=1,088.25 kW, P2=132.87 kW, pump train=1,221.12 kW, net plant power=1,413.61 kW and daily energy=33,926.64 kWh/d. The measured 65.3-bar differential gives 1,233.99 kW available brine hydraulic power; at 95% efficiency the equivalent recoverable power is 1,172.29 kW and the unrecovered loss is 61.70 kW. Restoring PX efficiency from 0.85 to 0.95 lowers net power by 150.50 kW and saves 1,191,940 kWh/y at 330 d/y. PAT recovery rises by 61.69 kW from efficiencies 0.85 to 0.90, but both runs return SEC=6.027873 kWh/m³; therefore this simulator version can check PAT recovered power but should not be used to interpolate PAT efficiency–SEC sensitivity. Set 95.0% as the PX energy-alarm/maintenance floor.</x:v>
      </x:c>
      <x:c r="K48" s="29" t="str">
        <x:v>Final conclusion
The minimum basic PX efficiency is 0.918 (SEC=3.102141 at 0.917, fail; SEC=3.098951 at 0.918, pass). The minimum recommended efficiency is 0.950 (SEC=3.000044 at 0.949, strict fail; SEC=2.996853 at 0.950, pass). At the recommendation, product=11,320.75 m³/d, brine=0.188973 m³/s, P1=1,088.25 kW, P2=132.87 kW, pump train=1,221.12 kW, net plant power=1,413.61 kW and daily energy=33,926.64 kWh/d. The measured 65.3-bar differential gives 1,233.99 kW available brine hydraulic power; at 95% efficiency the equivalent recoverable power is 1,172.29 kW and the unrecovered loss is 61.70 kW. Restoring PX efficiency from 0.85 to 0.95 lowers net power by 150.50 kW and saves 1,191,940 kWh/y at 330 d/y. PAT recovery rises by 61.69 kW from efficiencies 0.85 to 0.90, but both runs return SEC=6.027873 kWh/m³; therefore this simulator version can check PAT recovered power but should not be used to interpolate PAT efficiency–SEC sensitivity. Set 95.0% as the PX energy-alarm/maintenance floor.</x:v>
      </x:c>
      <x:c r="L48" s="29" t="str">
        <x:v>Final conclusion
The minimum basic PX efficiency is 0.918 (SEC=3.102141 at 0.917, fail; SEC=3.098951 at 0.918, pass). The minimum recommended efficiency is 0.950 (SEC=3.000044 at 0.949, strict fail; SEC=2.996853 at 0.950, pass). At the recommendation, product=11,320.75 m³/d, brine=0.188973 m³/s, P1=1,088.25 kW, P2=132.87 kW, pump train=1,221.12 kW, net plant power=1,413.61 kW and daily energy=33,926.64 kWh/d. The measured 65.3-bar differential gives 1,233.99 kW available brine hydraulic power; at 95% efficiency the equivalent recoverable power is 1,172.29 kW and the unrecovered loss is 61.70 kW. Restoring PX efficiency from 0.85 to 0.95 lowers net power by 150.50 kW and saves 1,191,940 kWh/y at 330 d/y. PAT recovery rises by 61.69 kW from efficiencies 0.85 to 0.90, but both runs return SEC=6.027873 kWh/m³; therefore this simulator version can check PAT recovered power but should not be used to interpolate PAT efficiency–SEC sensitivity. Set 95.0% as the PX energy-alarm/maintenance floor.</x:v>
      </x:c>
      <x:c r="M48" s="29" t="str">
        <x:v>Final conclusion
The minimum basic PX efficiency is 0.918 (SEC=3.102141 at 0.917, fail; SEC=3.098951 at 0.918, pass). The minimum recommended efficiency is 0.950 (SEC=3.000044 at 0.949, strict fail; SEC=2.996853 at 0.950, pass). At the recommendation, product=11,320.75 m³/d, brine=0.188973 m³/s, P1=1,088.25 kW, P2=132.87 kW, pump train=1,221.12 kW, net plant power=1,413.61 kW and daily energy=33,926.64 kWh/d. The measured 65.3-bar differential gives 1,233.99 kW available brine hydraulic power; at 95% efficiency the equivalent recoverable power is 1,172.29 kW and the unrecovered loss is 61.70 kW. Restoring PX efficiency from 0.85 to 0.95 lowers net power by 150.50 kW and saves 1,191,940 kWh/y at 330 d/y. PAT recovery rises by 61.69 kW from efficiencies 0.85 to 0.90, but both runs return SEC=6.027873 kWh/m³; therefore this simulator version can check PAT recovered power but should not be used to interpolate PAT efficiency–SEC sensitivity. Set 95.0% as the PX energy-alarm/maintenance floor.</x:v>
      </x:c>
      <x:c r="N48" s="29" t="str">
        <x:v>Final conclusion
The minimum basic PX efficiency is 0.918 (SEC=3.102141 at 0.917, fail; SEC=3.098951 at 0.918, pass). The minimum recommended efficiency is 0.950 (SEC=3.000044 at 0.949, strict fail; SEC=2.996853 at 0.950, pass). At the recommendation, product=11,320.75 m³/d, brine=0.188973 m³/s, P1=1,088.25 kW, P2=132.87 kW, pump train=1,221.12 kW, net plant power=1,413.61 kW and daily energy=33,926.64 kWh/d. The measured 65.3-bar differential gives 1,233.99 kW available brine hydraulic power; at 95% efficiency the equivalent recoverable power is 1,172.29 kW and the unrecovered loss is 61.70 kW. Restoring PX efficiency from 0.85 to 0.95 lowers net power by 150.50 kW and saves 1,191,940 kWh/y at 330 d/y. PAT recovery rises by 61.69 kW from efficiencies 0.85 to 0.90, but both runs return SEC=6.027873 kWh/m³; therefore this simulator version can check PAT recovered power but should not be used to interpolate PAT efficiency–SEC sensitivity. Set 95.0% as the PX energy-alarm/maintenance floor.</x:v>
      </x:c>
      <x:c r="O48" s="29" t="str">
        <x:v>Final conclusion
The minimum basic PX efficiency is 0.918 (SEC=3.102141 at 0.917, fail; SEC=3.098951 at 0.918, pass). The minimum recommended efficiency is 0.950 (SEC=3.000044 at 0.949, strict fail; SEC=2.996853 at 0.950, pass). At the recommendation, product=11,320.75 m³/d, brine=0.188973 m³/s, P1=1,088.25 kW, P2=132.87 kW, pump train=1,221.12 kW, net plant power=1,413.61 kW and daily energy=33,926.64 kWh/d. The measured 65.3-bar differential gives 1,233.99 kW available brine hydraulic power; at 95% efficiency the equivalent recoverable power is 1,172.29 kW and the unrecovered loss is 61.70 kW. Restoring PX efficiency from 0.85 to 0.95 lowers net power by 150.50 kW and saves 1,191,940 kWh/y at 330 d/y. PAT recovery rises by 61.69 kW from efficiencies 0.85 to 0.90, but both runs return SEC=6.027873 kWh/m³; therefore this simulator version can check PAT recovered power but should not be used to interpolate PAT efficiency–SEC sensitivity. Set 95.0% as the PX energy-alarm/maintenance floor.</x:v>
      </x:c>
    </x:row>
    <x:row r="49" ht="28" customHeight="1">
      <x:c r="A49" s="29" t="str">
        <x:v>Final conclusion
The minimum basic PX efficiency is 0.918 (SEC=3.102141 at 0.917, fail; SEC=3.098951 at 0.918, pass). The minimum recommended efficiency is 0.950 (SEC=3.000044 at 0.949, strict fail; SEC=2.996853 at 0.950, pass). At the recommendation, product=11,320.75 m³/d, brine=0.188973 m³/s, P1=1,088.25 kW, P2=132.87 kW, pump train=1,221.12 kW, net plant power=1,413.61 kW and daily energy=33,926.64 kWh/d. The measured 65.3-bar differential gives 1,233.99 kW available brine hydraulic power; at 95% efficiency the equivalent recoverable power is 1,172.29 kW and the unrecovered loss is 61.70 kW. Restoring PX efficiency from 0.85 to 0.95 lowers net power by 150.50 kW and saves 1,191,940 kWh/y at 330 d/y. PAT recovery rises by 61.69 kW from efficiencies 0.85 to 0.90, but both runs return SEC=6.027873 kWh/m³; therefore this simulator version can check PAT recovered power but should not be used to interpolate PAT efficiency–SEC sensitivity. Set 95.0% as the PX energy-alarm/maintenance floor.</x:v>
      </x:c>
      <x:c r="B49" s="29" t="str">
        <x:v>Final conclusion
The minimum basic PX efficiency is 0.918 (SEC=3.102141 at 0.917, fail; SEC=3.098951 at 0.918, pass). The minimum recommended efficiency is 0.950 (SEC=3.000044 at 0.949, strict fail; SEC=2.996853 at 0.950, pass). At the recommendation, product=11,320.75 m³/d, brine=0.188973 m³/s, P1=1,088.25 kW, P2=132.87 kW, pump train=1,221.12 kW, net plant power=1,413.61 kW and daily energy=33,926.64 kWh/d. The measured 65.3-bar differential gives 1,233.99 kW available brine hydraulic power; at 95% efficiency the equivalent recoverable power is 1,172.29 kW and the unrecovered loss is 61.70 kW. Restoring PX efficiency from 0.85 to 0.95 lowers net power by 150.50 kW and saves 1,191,940 kWh/y at 330 d/y. PAT recovery rises by 61.69 kW from efficiencies 0.85 to 0.90, but both runs return SEC=6.027873 kWh/m³; therefore this simulator version can check PAT recovered power but should not be used to interpolate PAT efficiency–SEC sensitivity. Set 95.0% as the PX energy-alarm/maintenance floor.</x:v>
      </x:c>
      <x:c r="C49" s="29" t="str">
        <x:v>Final conclusion
The minimum basic PX efficiency is 0.918 (SEC=3.102141 at 0.917, fail; SEC=3.098951 at 0.918, pass). The minimum recommended efficiency is 0.950 (SEC=3.000044 at 0.949, strict fail; SEC=2.996853 at 0.950, pass). At the recommendation, product=11,320.75 m³/d, brine=0.188973 m³/s, P1=1,088.25 kW, P2=132.87 kW, pump train=1,221.12 kW, net plant power=1,413.61 kW and daily energy=33,926.64 kWh/d. The measured 65.3-bar differential gives 1,233.99 kW available brine hydraulic power; at 95% efficiency the equivalent recoverable power is 1,172.29 kW and the unrecovered loss is 61.70 kW. Restoring PX efficiency from 0.85 to 0.95 lowers net power by 150.50 kW and saves 1,191,940 kWh/y at 330 d/y. PAT recovery rises by 61.69 kW from efficiencies 0.85 to 0.90, but both runs return SEC=6.027873 kWh/m³; therefore this simulator version can check PAT recovered power but should not be used to interpolate PAT efficiency–SEC sensitivity. Set 95.0% as the PX energy-alarm/maintenance floor.</x:v>
      </x:c>
      <x:c r="D49" s="29" t="str">
        <x:v>Final conclusion
The minimum basic PX efficiency is 0.918 (SEC=3.102141 at 0.917, fail; SEC=3.098951 at 0.918, pass). The minimum recommended efficiency is 0.950 (SEC=3.000044 at 0.949, strict fail; SEC=2.996853 at 0.950, pass). At the recommendation, product=11,320.75 m³/d, brine=0.188973 m³/s, P1=1,088.25 kW, P2=132.87 kW, pump train=1,221.12 kW, net plant power=1,413.61 kW and daily energy=33,926.64 kWh/d. The measured 65.3-bar differential gives 1,233.99 kW available brine hydraulic power; at 95% efficiency the equivalent recoverable power is 1,172.29 kW and the unrecovered loss is 61.70 kW. Restoring PX efficiency from 0.85 to 0.95 lowers net power by 150.50 kW and saves 1,191,940 kWh/y at 330 d/y. PAT recovery rises by 61.69 kW from efficiencies 0.85 to 0.90, but both runs return SEC=6.027873 kWh/m³; therefore this simulator version can check PAT recovered power but should not be used to interpolate PAT efficiency–SEC sensitivity. Set 95.0% as the PX energy-alarm/maintenance floor.</x:v>
      </x:c>
      <x:c r="E49" s="29" t="str">
        <x:v>Final conclusion
The minimum basic PX efficiency is 0.918 (SEC=3.102141 at 0.917, fail; SEC=3.098951 at 0.918, pass). The minimum recommended efficiency is 0.950 (SEC=3.000044 at 0.949, strict fail; SEC=2.996853 at 0.950, pass). At the recommendation, product=11,320.75 m³/d, brine=0.188973 m³/s, P1=1,088.25 kW, P2=132.87 kW, pump train=1,221.12 kW, net plant power=1,413.61 kW and daily energy=33,926.64 kWh/d. The measured 65.3-bar differential gives 1,233.99 kW available brine hydraulic power; at 95% efficiency the equivalent recoverable power is 1,172.29 kW and the unrecovered loss is 61.70 kW. Restoring PX efficiency from 0.85 to 0.95 lowers net power by 150.50 kW and saves 1,191,940 kWh/y at 330 d/y. PAT recovery rises by 61.69 kW from efficiencies 0.85 to 0.90, but both runs return SEC=6.027873 kWh/m³; therefore this simulator version can check PAT recovered power but should not be used to interpolate PAT efficiency–SEC sensitivity. Set 95.0% as the PX energy-alarm/maintenance floor.</x:v>
      </x:c>
      <x:c r="F49" s="29" t="str">
        <x:v>Final conclusion
The minimum basic PX efficiency is 0.918 (SEC=3.102141 at 0.917, fail; SEC=3.098951 at 0.918, pass). The minimum recommended efficiency is 0.950 (SEC=3.000044 at 0.949, strict fail; SEC=2.996853 at 0.950, pass). At the recommendation, product=11,320.75 m³/d, brine=0.188973 m³/s, P1=1,088.25 kW, P2=132.87 kW, pump train=1,221.12 kW, net plant power=1,413.61 kW and daily energy=33,926.64 kWh/d. The measured 65.3-bar differential gives 1,233.99 kW available brine hydraulic power; at 95% efficiency the equivalent recoverable power is 1,172.29 kW and the unrecovered loss is 61.70 kW. Restoring PX efficiency from 0.85 to 0.95 lowers net power by 150.50 kW and saves 1,191,940 kWh/y at 330 d/y. PAT recovery rises by 61.69 kW from efficiencies 0.85 to 0.90, but both runs return SEC=6.027873 kWh/m³; therefore this simulator version can check PAT recovered power but should not be used to interpolate PAT efficiency–SEC sensitivity. Set 95.0% as the PX energy-alarm/maintenance floor.</x:v>
      </x:c>
      <x:c r="G49" s="29" t="str">
        <x:v>Final conclusion
The minimum basic PX efficiency is 0.918 (SEC=3.102141 at 0.917, fail; SEC=3.098951 at 0.918, pass). The minimum recommended efficiency is 0.950 (SEC=3.000044 at 0.949, strict fail; SEC=2.996853 at 0.950, pass). At the recommendation, product=11,320.75 m³/d, brine=0.188973 m³/s, P1=1,088.25 kW, P2=132.87 kW, pump train=1,221.12 kW, net plant power=1,413.61 kW and daily energy=33,926.64 kWh/d. The measured 65.3-bar differential gives 1,233.99 kW available brine hydraulic power; at 95% efficiency the equivalent recoverable power is 1,172.29 kW and the unrecovered loss is 61.70 kW. Restoring PX efficiency from 0.85 to 0.95 lowers net power by 150.50 kW and saves 1,191,940 kWh/y at 330 d/y. PAT recovery rises by 61.69 kW from efficiencies 0.85 to 0.90, but both runs return SEC=6.027873 kWh/m³; therefore this simulator version can check PAT recovered power but should not be used to interpolate PAT efficiency–SEC sensitivity. Set 95.0% as the PX energy-alarm/maintenance floor.</x:v>
      </x:c>
      <x:c r="H49" s="29" t="str">
        <x:v>Final conclusion
The minimum basic PX efficiency is 0.918 (SEC=3.102141 at 0.917, fail; SEC=3.098951 at 0.918, pass). The minimum recommended efficiency is 0.950 (SEC=3.000044 at 0.949, strict fail; SEC=2.996853 at 0.950, pass). At the recommendation, product=11,320.75 m³/d, brine=0.188973 m³/s, P1=1,088.25 kW, P2=132.87 kW, pump train=1,221.12 kW, net plant power=1,413.61 kW and daily energy=33,926.64 kWh/d. The measured 65.3-bar differential gives 1,233.99 kW available brine hydraulic power; at 95% efficiency the equivalent recoverable power is 1,172.29 kW and the unrecovered loss is 61.70 kW. Restoring PX efficiency from 0.85 to 0.95 lowers net power by 150.50 kW and saves 1,191,940 kWh/y at 330 d/y. PAT recovery rises by 61.69 kW from efficiencies 0.85 to 0.90, but both runs return SEC=6.027873 kWh/m³; therefore this simulator version can check PAT recovered power but should not be used to interpolate PAT efficiency–SEC sensitivity. Set 95.0% as the PX energy-alarm/maintenance floor.</x:v>
      </x:c>
      <x:c r="I49" s="29" t="str">
        <x:v>Final conclusion
The minimum basic PX efficiency is 0.918 (SEC=3.102141 at 0.917, fail; SEC=3.098951 at 0.918, pass). The minimum recommended efficiency is 0.950 (SEC=3.000044 at 0.949, strict fail; SEC=2.996853 at 0.950, pass). At the recommendation, product=11,320.75 m³/d, brine=0.188973 m³/s, P1=1,088.25 kW, P2=132.87 kW, pump train=1,221.12 kW, net plant power=1,413.61 kW and daily energy=33,926.64 kWh/d. The measured 65.3-bar differential gives 1,233.99 kW available brine hydraulic power; at 95% efficiency the equivalent recoverable power is 1,172.29 kW and the unrecovered loss is 61.70 kW. Restoring PX efficiency from 0.85 to 0.95 lowers net power by 150.50 kW and saves 1,191,940 kWh/y at 330 d/y. PAT recovery rises by 61.69 kW from efficiencies 0.85 to 0.90, but both runs return SEC=6.027873 kWh/m³; therefore this simulator version can check PAT recovered power but should not be used to interpolate PAT efficiency–SEC sensitivity. Set 95.0% as the PX energy-alarm/maintenance floor.</x:v>
      </x:c>
      <x:c r="J49" s="29" t="str">
        <x:v>Final conclusion
The minimum basic PX efficiency is 0.918 (SEC=3.102141 at 0.917, fail; SEC=3.098951 at 0.918, pass). The minimum recommended efficiency is 0.950 (SEC=3.000044 at 0.949, strict fail; SEC=2.996853 at 0.950, pass). At the recommendation, product=11,320.75 m³/d, brine=0.188973 m³/s, P1=1,088.25 kW, P2=132.87 kW, pump train=1,221.12 kW, net plant power=1,413.61 kW and daily energy=33,926.64 kWh/d. The measured 65.3-bar differential gives 1,233.99 kW available brine hydraulic power; at 95% efficiency the equivalent recoverable power is 1,172.29 kW and the unrecovered loss is 61.70 kW. Restoring PX efficiency from 0.85 to 0.95 lowers net power by 150.50 kW and saves 1,191,940 kWh/y at 330 d/y. PAT recovery rises by 61.69 kW from efficiencies 0.85 to 0.90, but both runs return SEC=6.027873 kWh/m³; therefore this simulator version can check PAT recovered power but should not be used to interpolate PAT efficiency–SEC sensitivity. Set 95.0% as the PX energy-alarm/maintenance floor.</x:v>
      </x:c>
      <x:c r="K49" s="29" t="str">
        <x:v>Final conclusion
The minimum basic PX efficiency is 0.918 (SEC=3.102141 at 0.917, fail; SEC=3.098951 at 0.918, pass). The minimum recommended efficiency is 0.950 (SEC=3.000044 at 0.949, strict fail; SEC=2.996853 at 0.950, pass). At the recommendation, product=11,320.75 m³/d, brine=0.188973 m³/s, P1=1,088.25 kW, P2=132.87 kW, pump train=1,221.12 kW, net plant power=1,413.61 kW and daily energy=33,926.64 kWh/d. The measured 65.3-bar differential gives 1,233.99 kW available brine hydraulic power; at 95% efficiency the equivalent recoverable power is 1,172.29 kW and the unrecovered loss is 61.70 kW. Restoring PX efficiency from 0.85 to 0.95 lowers net power by 150.50 kW and saves 1,191,940 kWh/y at 330 d/y. PAT recovery rises by 61.69 kW from efficiencies 0.85 to 0.90, but both runs return SEC=6.027873 kWh/m³; therefore this simulator version can check PAT recovered power but should not be used to interpolate PAT efficiency–SEC sensitivity. Set 95.0% as the PX energy-alarm/maintenance floor.</x:v>
      </x:c>
      <x:c r="L49" s="29" t="str">
        <x:v>Final conclusion
The minimum basic PX efficiency is 0.918 (SEC=3.102141 at 0.917, fail; SEC=3.098951 at 0.918, pass). The minimum recommended efficiency is 0.950 (SEC=3.000044 at 0.949, strict fail; SEC=2.996853 at 0.950, pass). At the recommendation, product=11,320.75 m³/d, brine=0.188973 m³/s, P1=1,088.25 kW, P2=132.87 kW, pump train=1,221.12 kW, net plant power=1,413.61 kW and daily energy=33,926.64 kWh/d. The measured 65.3-bar differential gives 1,233.99 kW available brine hydraulic power; at 95% efficiency the equivalent recoverable power is 1,172.29 kW and the unrecovered loss is 61.70 kW. Restoring PX efficiency from 0.85 to 0.95 lowers net power by 150.50 kW and saves 1,191,940 kWh/y at 330 d/y. PAT recovery rises by 61.69 kW from efficiencies 0.85 to 0.90, but both runs return SEC=6.027873 kWh/m³; therefore this simulator version can check PAT recovered power but should not be used to interpolate PAT efficiency–SEC sensitivity. Set 95.0% as the PX energy-alarm/maintenance floor.</x:v>
      </x:c>
      <x:c r="M49" s="29" t="str">
        <x:v>Final conclusion
The minimum basic PX efficiency is 0.918 (SEC=3.102141 at 0.917, fail; SEC=3.098951 at 0.918, pass). The minimum recommended efficiency is 0.950 (SEC=3.000044 at 0.949, strict fail; SEC=2.996853 at 0.950, pass). At the recommendation, product=11,320.75 m³/d, brine=0.188973 m³/s, P1=1,088.25 kW, P2=132.87 kW, pump train=1,221.12 kW, net plant power=1,413.61 kW and daily energy=33,926.64 kWh/d. The measured 65.3-bar differential gives 1,233.99 kW available brine hydraulic power; at 95% efficiency the equivalent recoverable power is 1,172.29 kW and the unrecovered loss is 61.70 kW. Restoring PX efficiency from 0.85 to 0.95 lowers net power by 150.50 kW and saves 1,191,940 kWh/y at 330 d/y. PAT recovery rises by 61.69 kW from efficiencies 0.85 to 0.90, but both runs return SEC=6.027873 kWh/m³; therefore this simulator version can check PAT recovered power but should not be used to interpolate PAT efficiency–SEC sensitivity. Set 95.0% as the PX energy-alarm/maintenance floor.</x:v>
      </x:c>
      <x:c r="N49" s="29" t="str">
        <x:v>Final conclusion
The minimum basic PX efficiency is 0.918 (SEC=3.102141 at 0.917, fail; SEC=3.098951 at 0.918, pass). The minimum recommended efficiency is 0.950 (SEC=3.000044 at 0.949, strict fail; SEC=2.996853 at 0.950, pass). At the recommendation, product=11,320.75 m³/d, brine=0.188973 m³/s, P1=1,088.25 kW, P2=132.87 kW, pump train=1,221.12 kW, net plant power=1,413.61 kW and daily energy=33,926.64 kWh/d. The measured 65.3-bar differential gives 1,233.99 kW available brine hydraulic power; at 95% efficiency the equivalent recoverable power is 1,172.29 kW and the unrecovered loss is 61.70 kW. Restoring PX efficiency from 0.85 to 0.95 lowers net power by 150.50 kW and saves 1,191,940 kWh/y at 330 d/y. PAT recovery rises by 61.69 kW from efficiencies 0.85 to 0.90, but both runs return SEC=6.027873 kWh/m³; therefore this simulator version can check PAT recovered power but should not be used to interpolate PAT efficiency–SEC sensitivity. Set 95.0% as the PX energy-alarm/maintenance floor.</x:v>
      </x:c>
      <x:c r="O49" s="29" t="str">
        <x:v>Final conclusion
The minimum basic PX efficiency is 0.918 (SEC=3.102141 at 0.917, fail; SEC=3.098951 at 0.918, pass). The minimum recommended efficiency is 0.950 (SEC=3.000044 at 0.949, strict fail; SEC=2.996853 at 0.950, pass). At the recommendation, product=11,320.75 m³/d, brine=0.188973 m³/s, P1=1,088.25 kW, P2=132.87 kW, pump train=1,221.12 kW, net plant power=1,413.61 kW and daily energy=33,926.64 kWh/d. The measured 65.3-bar differential gives 1,233.99 kW available brine hydraulic power; at 95% efficiency the equivalent recoverable power is 1,172.29 kW and the unrecovered loss is 61.70 kW. Restoring PX efficiency from 0.85 to 0.95 lowers net power by 150.50 kW and saves 1,191,940 kWh/y at 330 d/y. PAT recovery rises by 61.69 kW from efficiencies 0.85 to 0.90, but both runs return SEC=6.027873 kWh/m³; therefore this simulator version can check PAT recovered power but should not be used to interpolate PAT efficiency–SEC sensitivity. Set 95.0% as the PX energy-alarm/maintenance floor.</x:v>
      </x:c>
    </x:row>
    <x:row r="50" ht="28" customHeight="1">
      <x:c r="A50" s="29" t="str">
        <x:v>Final conclusion
The minimum basic PX efficiency is 0.918 (SEC=3.102141 at 0.917, fail; SEC=3.098951 at 0.918, pass). The minimum recommended efficiency is 0.950 (SEC=3.000044 at 0.949, strict fail; SEC=2.996853 at 0.950, pass). At the recommendation, product=11,320.75 m³/d, brine=0.188973 m³/s, P1=1,088.25 kW, P2=132.87 kW, pump train=1,221.12 kW, net plant power=1,413.61 kW and daily energy=33,926.64 kWh/d. The measured 65.3-bar differential gives 1,233.99 kW available brine hydraulic power; at 95% efficiency the equivalent recoverable power is 1,172.29 kW and the unrecovered loss is 61.70 kW. Restoring PX efficiency from 0.85 to 0.95 lowers net power by 150.50 kW and saves 1,191,940 kWh/y at 330 d/y. PAT recovery rises by 61.69 kW from efficiencies 0.85 to 0.90, but both runs return SEC=6.027873 kWh/m³; therefore this simulator version can check PAT recovered power but should not be used to interpolate PAT efficiency–SEC sensitivity. Set 95.0% as the PX energy-alarm/maintenance floor.</x:v>
      </x:c>
      <x:c r="B50" s="29" t="str">
        <x:v>Final conclusion
The minimum basic PX efficiency is 0.918 (SEC=3.102141 at 0.917, fail; SEC=3.098951 at 0.918, pass). The minimum recommended efficiency is 0.950 (SEC=3.000044 at 0.949, strict fail; SEC=2.996853 at 0.950, pass). At the recommendation, product=11,320.75 m³/d, brine=0.188973 m³/s, P1=1,088.25 kW, P2=132.87 kW, pump train=1,221.12 kW, net plant power=1,413.61 kW and daily energy=33,926.64 kWh/d. The measured 65.3-bar differential gives 1,233.99 kW available brine hydraulic power; at 95% efficiency the equivalent recoverable power is 1,172.29 kW and the unrecovered loss is 61.70 kW. Restoring PX efficiency from 0.85 to 0.95 lowers net power by 150.50 kW and saves 1,191,940 kWh/y at 330 d/y. PAT recovery rises by 61.69 kW from efficiencies 0.85 to 0.90, but both runs return SEC=6.027873 kWh/m³; therefore this simulator version can check PAT recovered power but should not be used to interpolate PAT efficiency–SEC sensitivity. Set 95.0% as the PX energy-alarm/maintenance floor.</x:v>
      </x:c>
      <x:c r="C50" s="29" t="str">
        <x:v>Final conclusion
The minimum basic PX efficiency is 0.918 (SEC=3.102141 at 0.917, fail; SEC=3.098951 at 0.918, pass). The minimum recommended efficiency is 0.950 (SEC=3.000044 at 0.949, strict fail; SEC=2.996853 at 0.950, pass). At the recommendation, product=11,320.75 m³/d, brine=0.188973 m³/s, P1=1,088.25 kW, P2=132.87 kW, pump train=1,221.12 kW, net plant power=1,413.61 kW and daily energy=33,926.64 kWh/d. The measured 65.3-bar differential gives 1,233.99 kW available brine hydraulic power; at 95% efficiency the equivalent recoverable power is 1,172.29 kW and the unrecovered loss is 61.70 kW. Restoring PX efficiency from 0.85 to 0.95 lowers net power by 150.50 kW and saves 1,191,940 kWh/y at 330 d/y. PAT recovery rises by 61.69 kW from efficiencies 0.85 to 0.90, but both runs return SEC=6.027873 kWh/m³; therefore this simulator version can check PAT recovered power but should not be used to interpolate PAT efficiency–SEC sensitivity. Set 95.0% as the PX energy-alarm/maintenance floor.</x:v>
      </x:c>
      <x:c r="D50" s="29" t="str">
        <x:v>Final conclusion
The minimum basic PX efficiency is 0.918 (SEC=3.102141 at 0.917, fail; SEC=3.098951 at 0.918, pass). The minimum recommended efficiency is 0.950 (SEC=3.000044 at 0.949, strict fail; SEC=2.996853 at 0.950, pass). At the recommendation, product=11,320.75 m³/d, brine=0.188973 m³/s, P1=1,088.25 kW, P2=132.87 kW, pump train=1,221.12 kW, net plant power=1,413.61 kW and daily energy=33,926.64 kWh/d. The measured 65.3-bar differential gives 1,233.99 kW available brine hydraulic power; at 95% efficiency the equivalent recoverable power is 1,172.29 kW and the unrecovered loss is 61.70 kW. Restoring PX efficiency from 0.85 to 0.95 lowers net power by 150.50 kW and saves 1,191,940 kWh/y at 330 d/y. PAT recovery rises by 61.69 kW from efficiencies 0.85 to 0.90, but both runs return SEC=6.027873 kWh/m³; therefore this simulator version can check PAT recovered power but should not be used to interpolate PAT efficiency–SEC sensitivity. Set 95.0% as the PX energy-alarm/maintenance floor.</x:v>
      </x:c>
      <x:c r="E50" s="29" t="str">
        <x:v>Final conclusion
The minimum basic PX efficiency is 0.918 (SEC=3.102141 at 0.917, fail; SEC=3.098951 at 0.918, pass). The minimum recommended efficiency is 0.950 (SEC=3.000044 at 0.949, strict fail; SEC=2.996853 at 0.950, pass). At the recommendation, product=11,320.75 m³/d, brine=0.188973 m³/s, P1=1,088.25 kW, P2=132.87 kW, pump train=1,221.12 kW, net plant power=1,413.61 kW and daily energy=33,926.64 kWh/d. The measured 65.3-bar differential gives 1,233.99 kW available brine hydraulic power; at 95% efficiency the equivalent recoverable power is 1,172.29 kW and the unrecovered loss is 61.70 kW. Restoring PX efficiency from 0.85 to 0.95 lowers net power by 150.50 kW and saves 1,191,940 kWh/y at 330 d/y. PAT recovery rises by 61.69 kW from efficiencies 0.85 to 0.90, but both runs return SEC=6.027873 kWh/m³; therefore this simulator version can check PAT recovered power but should not be used to interpolate PAT efficiency–SEC sensitivity. Set 95.0% as the PX energy-alarm/maintenance floor.</x:v>
      </x:c>
      <x:c r="F50" s="29" t="str">
        <x:v>Final conclusion
The minimum basic PX efficiency is 0.918 (SEC=3.102141 at 0.917, fail; SEC=3.098951 at 0.918, pass). The minimum recommended efficiency is 0.950 (SEC=3.000044 at 0.949, strict fail; SEC=2.996853 at 0.950, pass). At the recommendation, product=11,320.75 m³/d, brine=0.188973 m³/s, P1=1,088.25 kW, P2=132.87 kW, pump train=1,221.12 kW, net plant power=1,413.61 kW and daily energy=33,926.64 kWh/d. The measured 65.3-bar differential gives 1,233.99 kW available brine hydraulic power; at 95% efficiency the equivalent recoverable power is 1,172.29 kW and the unrecovered loss is 61.70 kW. Restoring PX efficiency from 0.85 to 0.95 lowers net power by 150.50 kW and saves 1,191,940 kWh/y at 330 d/y. PAT recovery rises by 61.69 kW from efficiencies 0.85 to 0.90, but both runs return SEC=6.027873 kWh/m³; therefore this simulator version can check PAT recovered power but should not be used to interpolate PAT efficiency–SEC sensitivity. Set 95.0% as the PX energy-alarm/maintenance floor.</x:v>
      </x:c>
      <x:c r="G50" s="29" t="str">
        <x:v>Final conclusion
The minimum basic PX efficiency is 0.918 (SEC=3.102141 at 0.917, fail; SEC=3.098951 at 0.918, pass). The minimum recommended efficiency is 0.950 (SEC=3.000044 at 0.949, strict fail; SEC=2.996853 at 0.950, pass). At the recommendation, product=11,320.75 m³/d, brine=0.188973 m³/s, P1=1,088.25 kW, P2=132.87 kW, pump train=1,221.12 kW, net plant power=1,413.61 kW and daily energy=33,926.64 kWh/d. The measured 65.3-bar differential gives 1,233.99 kW available brine hydraulic power; at 95% efficiency the equivalent recoverable power is 1,172.29 kW and the unrecovered loss is 61.70 kW. Restoring PX efficiency from 0.85 to 0.95 lowers net power by 150.50 kW and saves 1,191,940 kWh/y at 330 d/y. PAT recovery rises by 61.69 kW from efficiencies 0.85 to 0.90, but both runs return SEC=6.027873 kWh/m³; therefore this simulator version can check PAT recovered power but should not be used to interpolate PAT efficiency–SEC sensitivity. Set 95.0% as the PX energy-alarm/maintenance floor.</x:v>
      </x:c>
      <x:c r="H50" s="29" t="str">
        <x:v>Final conclusion
The minimum basic PX efficiency is 0.918 (SEC=3.102141 at 0.917, fail; SEC=3.098951 at 0.918, pass). The minimum recommended efficiency is 0.950 (SEC=3.000044 at 0.949, strict fail; SEC=2.996853 at 0.950, pass). At the recommendation, product=11,320.75 m³/d, brine=0.188973 m³/s, P1=1,088.25 kW, P2=132.87 kW, pump train=1,221.12 kW, net plant power=1,413.61 kW and daily energy=33,926.64 kWh/d. The measured 65.3-bar differential gives 1,233.99 kW available brine hydraulic power; at 95% efficiency the equivalent recoverable power is 1,172.29 kW and the unrecovered loss is 61.70 kW. Restoring PX efficiency from 0.85 to 0.95 lowers net power by 150.50 kW and saves 1,191,940 kWh/y at 330 d/y. PAT recovery rises by 61.69 kW from efficiencies 0.85 to 0.90, but both runs return SEC=6.027873 kWh/m³; therefore this simulator version can check PAT recovered power but should not be used to interpolate PAT efficiency–SEC sensitivity. Set 95.0% as the PX energy-alarm/maintenance floor.</x:v>
      </x:c>
      <x:c r="I50" s="29" t="str">
        <x:v>Final conclusion
The minimum basic PX efficiency is 0.918 (SEC=3.102141 at 0.917, fail; SEC=3.098951 at 0.918, pass). The minimum recommended efficiency is 0.950 (SEC=3.000044 at 0.949, strict fail; SEC=2.996853 at 0.950, pass). At the recommendation, product=11,320.75 m³/d, brine=0.188973 m³/s, P1=1,088.25 kW, P2=132.87 kW, pump train=1,221.12 kW, net plant power=1,413.61 kW and daily energy=33,926.64 kWh/d. The measured 65.3-bar differential gives 1,233.99 kW available brine hydraulic power; at 95% efficiency the equivalent recoverable power is 1,172.29 kW and the unrecovered loss is 61.70 kW. Restoring PX efficiency from 0.85 to 0.95 lowers net power by 150.50 kW and saves 1,191,940 kWh/y at 330 d/y. PAT recovery rises by 61.69 kW from efficiencies 0.85 to 0.90, but both runs return SEC=6.027873 kWh/m³; therefore this simulator version can check PAT recovered power but should not be used to interpolate PAT efficiency–SEC sensitivity. Set 95.0% as the PX energy-alarm/maintenance floor.</x:v>
      </x:c>
      <x:c r="J50" s="29" t="str">
        <x:v>Final conclusion
The minimum basic PX efficiency is 0.918 (SEC=3.102141 at 0.917, fail; SEC=3.098951 at 0.918, pass). The minimum recommended efficiency is 0.950 (SEC=3.000044 at 0.949, strict fail; SEC=2.996853 at 0.950, pass). At the recommendation, product=11,320.75 m³/d, brine=0.188973 m³/s, P1=1,088.25 kW, P2=132.87 kW, pump train=1,221.12 kW, net plant power=1,413.61 kW and daily energy=33,926.64 kWh/d. The measured 65.3-bar differential gives 1,233.99 kW available brine hydraulic power; at 95% efficiency the equivalent recoverable power is 1,172.29 kW and the unrecovered loss is 61.70 kW. Restoring PX efficiency from 0.85 to 0.95 lowers net power by 150.50 kW and saves 1,191,940 kWh/y at 330 d/y. PAT recovery rises by 61.69 kW from efficiencies 0.85 to 0.90, but both runs return SEC=6.027873 kWh/m³; therefore this simulator version can check PAT recovered power but should not be used to interpolate PAT efficiency–SEC sensitivity. Set 95.0% as the PX energy-alarm/maintenance floor.</x:v>
      </x:c>
      <x:c r="K50" s="29" t="str">
        <x:v>Final conclusion
The minimum basic PX efficiency is 0.918 (SEC=3.102141 at 0.917, fail; SEC=3.098951 at 0.918, pass). The minimum recommended efficiency is 0.950 (SEC=3.000044 at 0.949, strict fail; SEC=2.996853 at 0.950, pass). At the recommendation, product=11,320.75 m³/d, brine=0.188973 m³/s, P1=1,088.25 kW, P2=132.87 kW, pump train=1,221.12 kW, net plant power=1,413.61 kW and daily energy=33,926.64 kWh/d. The measured 65.3-bar differential gives 1,233.99 kW available brine hydraulic power; at 95% efficiency the equivalent recoverable power is 1,172.29 kW and the unrecovered loss is 61.70 kW. Restoring PX efficiency from 0.85 to 0.95 lowers net power by 150.50 kW and saves 1,191,940 kWh/y at 330 d/y. PAT recovery rises by 61.69 kW from efficiencies 0.85 to 0.90, but both runs return SEC=6.027873 kWh/m³; therefore this simulator version can check PAT recovered power but should not be used to interpolate PAT efficiency–SEC sensitivity. Set 95.0% as the PX energy-alarm/maintenance floor.</x:v>
      </x:c>
      <x:c r="L50" s="29" t="str">
        <x:v>Final conclusion
The minimum basic PX efficiency is 0.918 (SEC=3.102141 at 0.917, fail; SEC=3.098951 at 0.918, pass). The minimum recommended efficiency is 0.950 (SEC=3.000044 at 0.949, strict fail; SEC=2.996853 at 0.950, pass). At the recommendation, product=11,320.75 m³/d, brine=0.188973 m³/s, P1=1,088.25 kW, P2=132.87 kW, pump train=1,221.12 kW, net plant power=1,413.61 kW and daily energy=33,926.64 kWh/d. The measured 65.3-bar differential gives 1,233.99 kW available brine hydraulic power; at 95% efficiency the equivalent recoverable power is 1,172.29 kW and the unrecovered loss is 61.70 kW. Restoring PX efficiency from 0.85 to 0.95 lowers net power by 150.50 kW and saves 1,191,940 kWh/y at 330 d/y. PAT recovery rises by 61.69 kW from efficiencies 0.85 to 0.90, but both runs return SEC=6.027873 kWh/m³; therefore this simulator version can check PAT recovered power but should not be used to interpolate PAT efficiency–SEC sensitivity. Set 95.0% as the PX energy-alarm/maintenance floor.</x:v>
      </x:c>
      <x:c r="M50" s="29" t="str">
        <x:v>Final conclusion
The minimum basic PX efficiency is 0.918 (SEC=3.102141 at 0.917, fail; SEC=3.098951 at 0.918, pass). The minimum recommended efficiency is 0.950 (SEC=3.000044 at 0.949, strict fail; SEC=2.996853 at 0.950, pass). At the recommendation, product=11,320.75 m³/d, brine=0.188973 m³/s, P1=1,088.25 kW, P2=132.87 kW, pump train=1,221.12 kW, net plant power=1,413.61 kW and daily energy=33,926.64 kWh/d. The measured 65.3-bar differential gives 1,233.99 kW available brine hydraulic power; at 95% efficiency the equivalent recoverable power is 1,172.29 kW and the unrecovered loss is 61.70 kW. Restoring PX efficiency from 0.85 to 0.95 lowers net power by 150.50 kW and saves 1,191,940 kWh/y at 330 d/y. PAT recovery rises by 61.69 kW from efficiencies 0.85 to 0.90, but both runs return SEC=6.027873 kWh/m³; therefore this simulator version can check PAT recovered power but should not be used to interpolate PAT efficiency–SEC sensitivity. Set 95.0% as the PX energy-alarm/maintenance floor.</x:v>
      </x:c>
      <x:c r="N50" s="29" t="str">
        <x:v>Final conclusion
The minimum basic PX efficiency is 0.918 (SEC=3.102141 at 0.917, fail; SEC=3.098951 at 0.918, pass). The minimum recommended efficiency is 0.950 (SEC=3.000044 at 0.949, strict fail; SEC=2.996853 at 0.950, pass). At the recommendation, product=11,320.75 m³/d, brine=0.188973 m³/s, P1=1,088.25 kW, P2=132.87 kW, pump train=1,221.12 kW, net plant power=1,413.61 kW and daily energy=33,926.64 kWh/d. The measured 65.3-bar differential gives 1,233.99 kW available brine hydraulic power; at 95% efficiency the equivalent recoverable power is 1,172.29 kW and the unrecovered loss is 61.70 kW. Restoring PX efficiency from 0.85 to 0.95 lowers net power by 150.50 kW and saves 1,191,940 kWh/y at 330 d/y. PAT recovery rises by 61.69 kW from efficiencies 0.85 to 0.90, but both runs return SEC=6.027873 kWh/m³; therefore this simulator version can check PAT recovered power but should not be used to interpolate PAT efficiency–SEC sensitivity. Set 95.0% as the PX energy-alarm/maintenance floor.</x:v>
      </x:c>
      <x:c r="O50" s="29" t="str">
        <x:v>Final conclusion
The minimum basic PX efficiency is 0.918 (SEC=3.102141 at 0.917, fail; SEC=3.098951 at 0.918, pass). The minimum recommended efficiency is 0.950 (SEC=3.000044 at 0.949, strict fail; SEC=2.996853 at 0.950, pass). At the recommendation, product=11,320.75 m³/d, brine=0.188973 m³/s, P1=1,088.25 kW, P2=132.87 kW, pump train=1,221.12 kW, net plant power=1,413.61 kW and daily energy=33,926.64 kWh/d. The measured 65.3-bar differential gives 1,233.99 kW available brine hydraulic power; at 95% efficiency the equivalent recoverable power is 1,172.29 kW and the unrecovered loss is 61.70 kW. Restoring PX efficiency from 0.85 to 0.95 lowers net power by 150.50 kW and saves 1,191,940 kWh/y at 330 d/y. PAT recovery rises by 61.69 kW from efficiencies 0.85 to 0.90, but both runs return SEC=6.027873 kWh/m³; therefore this simulator version can check PAT recovered power but should not be used to interpolate PAT efficiency–SEC sensitivity. Set 95.0% as the PX energy-alarm/maintenance floor.</x:v>
      </x:c>
    </x:row>
  </x:sheetData>
  <x:mergeCells>
    <x:mergeCell ref="A1:S2"/>
    <x:mergeCell ref="A4:S6"/>
    <x:mergeCell ref="A8:G8"/>
    <x:mergeCell ref="A18:O18"/>
    <x:mergeCell ref="A32:H32"/>
    <x:mergeCell ref="J32:O32"/>
    <x:mergeCell ref="A44:O50"/>
  </x:mergeCells>
  <x:conditionalFormatting sqref="N20:N27">
    <x:cfRule type="expression" dxfId="0" priority="1">
      <x:formula>N20="PASS"</x:formula>
    </x:cfRule>
    <x:cfRule type="expression" dxfId="1" priority="2">
      <x:formula>N20="FAIL"</x:formula>
    </x:cfRule>
    <x:cfRule type="expression" dxfId="2" priority="3">
      <x:formula>N20="BASIC ONLY"</x:formula>
    </x:cfRule>
  </x:conditionalFormatting>
  <x:pageMargins left="0.7" right="0.7" top="0.75" bottom="0.75" header="0.3" footer="0.3"/>
  <x:drawing xmlns:r="http://schemas.openxmlformats.org/officeDocument/2006/relationships" r:id="R7cdf2850eed44466"/>
</x:worksheet>
</file>

<file path=xl/worksheets/sheet3.xml><?xml version="1.0" encoding="utf-8"?>
<x:worksheet xmlns:x="http://schemas.openxmlformats.org/spreadsheetml/2006/main">
  <x:sheetViews>
    <x:sheetView showGridLines="0" workbookViewId="0"/>
  </x:sheetViews>
  <x:sheetFormatPr defaultRowHeight="15"/>
  <x:cols>
    <x:col min="1" max="1" width="27" hidden="0" customWidth="1"/>
    <x:col min="2" max="2" width="34" hidden="0" customWidth="1"/>
    <x:col min="3" max="3" width="54" hidden="0" customWidth="1"/>
    <x:col min="4" max="4" width="46" hidden="0" customWidth="1"/>
    <x:col min="5" max="5" width="46" hidden="0" customWidth="1"/>
    <x:col min="6" max="6" width="10" hidden="0" customWidth="1"/>
    <x:col min="7" max="7" width="10" hidden="0" customWidth="1"/>
  </x:cols>
  <x:sheetData>
    <x:row r="1" ht="26" customHeight="1">
      <x:c r="A1" s="4" t="str">
        <x:v>D3-3a: Trajectory Rubric (100 points)</x:v>
      </x:c>
      <x:c r="B1" s="4" t="str">
        <x:v>D3-3a: Trajectory Rubric (100 points)</x:v>
      </x:c>
      <x:c r="C1" s="4" t="str">
        <x:v>D3-3a: Trajectory Rubric (100 points)</x:v>
      </x:c>
      <x:c r="D1" s="4" t="str">
        <x:v>D3-3a: Trajectory Rubric (100 points)</x:v>
      </x:c>
      <x:c r="E1" s="4" t="str">
        <x:v>D3-3a: Trajectory Rubric (100 points)</x:v>
      </x:c>
      <x:c r="F1" s="4" t="str">
        <x:v>D3-3a: Trajectory Rubric (100 points)</x:v>
      </x:c>
      <x:c r="G1" s="4" t="str">
        <x:v>D3-3a: Trajectory Rubric (100 points)</x:v>
      </x:c>
    </x:row>
    <x:row r="2" ht="26" customHeight="1">
      <x:c r="A2" s="4" t="str">
        <x:v>D3-3a: Trajectory Rubric (100 points)</x:v>
      </x:c>
      <x:c r="B2" s="4" t="str">
        <x:v>D3-3a: Trajectory Rubric (100 points)</x:v>
      </x:c>
      <x:c r="C2" s="4" t="str">
        <x:v>D3-3a: Trajectory Rubric (100 points)</x:v>
      </x:c>
      <x:c r="D2" s="4" t="str">
        <x:v>D3-3a: Trajectory Rubric (100 points)</x:v>
      </x:c>
      <x:c r="E2" s="4" t="str">
        <x:v>D3-3a: Trajectory Rubric (100 points)</x:v>
      </x:c>
      <x:c r="F2" s="4" t="str">
        <x:v>D3-3a: Trajectory Rubric (100 points)</x:v>
      </x:c>
      <x:c r="G2" s="4" t="str">
        <x:v>D3-3a: Trajectory Rubric (100 points)</x:v>
      </x:c>
    </x:row>
    <x:row r="4">
      <x:c r="A4" s="25" t="str">
        <x:v>Evaluate whether the agent decomposes concentrate-energy recovery into a full-plant PX-efficiency boundary, an independent hydraulic-power audit and PAT model QA, while limiting conclusions when tool-output coupling is anomalous.</x:v>
      </x:c>
      <x:c r="B4" s="25" t="str">
        <x:v>Evaluate whether the agent decomposes concentrate-energy recovery into a full-plant PX-efficiency boundary, an independent hydraulic-power audit and PAT model QA, while limiting conclusions when tool-output coupling is anomalous.</x:v>
      </x:c>
      <x:c r="C4" s="25" t="str">
        <x:v>Evaluate whether the agent decomposes concentrate-energy recovery into a full-plant PX-efficiency boundary, an independent hydraulic-power audit and PAT model QA, while limiting conclusions when tool-output coupling is anomalous.</x:v>
      </x:c>
      <x:c r="D4" s="25" t="str">
        <x:v>Evaluate whether the agent decomposes concentrate-energy recovery into a full-plant PX-efficiency boundary, an independent hydraulic-power audit and PAT model QA, while limiting conclusions when tool-output coupling is anomalous.</x:v>
      </x:c>
      <x:c r="E4" s="25" t="str">
        <x:v>Evaluate whether the agent decomposes concentrate-energy recovery into a full-plant PX-efficiency boundary, an independent hydraulic-power audit and PAT model QA, while limiting conclusions when tool-output coupling is anomalous.</x:v>
      </x:c>
      <x:c r="F4" s="25" t="str">
        <x:v>Evaluate whether the agent decomposes concentrate-energy recovery into a full-plant PX-efficiency boundary, an independent hydraulic-power audit and PAT model QA, while limiting conclusions when tool-output coupling is anomalous.</x:v>
      </x:c>
      <x:c r="G4" s="25" t="str">
        <x:v>Evaluate whether the agent decomposes concentrate-energy recovery into a full-plant PX-efficiency boundary, an independent hydraulic-power audit and PAT model QA, while limiting conclusions when tool-output coupling is anomalous.</x:v>
      </x:c>
    </x:row>
    <x:row r="5">
      <x:c r="A5" s="25" t="str">
        <x:v>Evaluate whether the agent decomposes concentrate-energy recovery into a full-plant PX-efficiency boundary, an independent hydraulic-power audit and PAT model QA, while limiting conclusions when tool-output coupling is anomalous.</x:v>
      </x:c>
      <x:c r="B5" s="25" t="str">
        <x:v>Evaluate whether the agent decomposes concentrate-energy recovery into a full-plant PX-efficiency boundary, an independent hydraulic-power audit and PAT model QA, while limiting conclusions when tool-output coupling is anomalous.</x:v>
      </x:c>
      <x:c r="C5" s="25" t="str">
        <x:v>Evaluate whether the agent decomposes concentrate-energy recovery into a full-plant PX-efficiency boundary, an independent hydraulic-power audit and PAT model QA, while limiting conclusions when tool-output coupling is anomalous.</x:v>
      </x:c>
      <x:c r="D5" s="25" t="str">
        <x:v>Evaluate whether the agent decomposes concentrate-energy recovery into a full-plant PX-efficiency boundary, an independent hydraulic-power audit and PAT model QA, while limiting conclusions when tool-output coupling is anomalous.</x:v>
      </x:c>
      <x:c r="E5" s="25" t="str">
        <x:v>Evaluate whether the agent decomposes concentrate-energy recovery into a full-plant PX-efficiency boundary, an independent hydraulic-power audit and PAT model QA, while limiting conclusions when tool-output coupling is anomalous.</x:v>
      </x:c>
      <x:c r="F5" s="25" t="str">
        <x:v>Evaluate whether the agent decomposes concentrate-energy recovery into a full-plant PX-efficiency boundary, an independent hydraulic-power audit and PAT model QA, while limiting conclusions when tool-output coupling is anomalous.</x:v>
      </x:c>
      <x:c r="G5" s="25" t="str">
        <x:v>Evaluate whether the agent decomposes concentrate-energy recovery into a full-plant PX-efficiency boundary, an independent hydraulic-power audit and PAT model QA, while limiting conclusions when tool-output coupling is anomalous.</x:v>
      </x:c>
    </x:row>
    <x:row r="6">
      <x:c r="A6" s="25" t="str">
        <x:v>Evaluate whether the agent decomposes concentrate-energy recovery into a full-plant PX-efficiency boundary, an independent hydraulic-power audit and PAT model QA, while limiting conclusions when tool-output coupling is anomalous.</x:v>
      </x:c>
      <x:c r="B6" s="25" t="str">
        <x:v>Evaluate whether the agent decomposes concentrate-energy recovery into a full-plant PX-efficiency boundary, an independent hydraulic-power audit and PAT model QA, while limiting conclusions when tool-output coupling is anomalous.</x:v>
      </x:c>
      <x:c r="C6" s="25" t="str">
        <x:v>Evaluate whether the agent decomposes concentrate-energy recovery into a full-plant PX-efficiency boundary, an independent hydraulic-power audit and PAT model QA, while limiting conclusions when tool-output coupling is anomalous.</x:v>
      </x:c>
      <x:c r="D6" s="25" t="str">
        <x:v>Evaluate whether the agent decomposes concentrate-energy recovery into a full-plant PX-efficiency boundary, an independent hydraulic-power audit and PAT model QA, while limiting conclusions when tool-output coupling is anomalous.</x:v>
      </x:c>
      <x:c r="E6" s="25" t="str">
        <x:v>Evaluate whether the agent decomposes concentrate-energy recovery into a full-plant PX-efficiency boundary, an independent hydraulic-power audit and PAT model QA, while limiting conclusions when tool-output coupling is anomalous.</x:v>
      </x:c>
      <x:c r="F6" s="25" t="str">
        <x:v>Evaluate whether the agent decomposes concentrate-energy recovery into a full-plant PX-efficiency boundary, an independent hydraulic-power audit and PAT model QA, while limiting conclusions when tool-output coupling is anomalous.</x:v>
      </x:c>
      <x:c r="G6" s="25" t="str">
        <x:v>Evaluate whether the agent decomposes concentrate-energy recovery into a full-plant PX-efficiency boundary, an independent hydraulic-power audit and PAT model QA, while limiting conclusions when tool-output coupling is anomalous.</x:v>
      </x:c>
    </x:row>
    <x:row r="8">
      <x:c r="A8" s="17" t="str">
        <x:v>Dimension</x:v>
      </x:c>
      <x:c r="B8" s="17" t="str">
        <x:v>Evaluation question</x:v>
      </x:c>
      <x:c r="C8" s="17" t="str">
        <x:v>Full-credit behavior</x:v>
      </x:c>
      <x:c r="D8" s="17" t="str">
        <x:v>Partial credit</x:v>
      </x:c>
      <x:c r="E8" s="17" t="str">
        <x:v>Zero/major error</x:v>
      </x:c>
      <x:c r="F8" s="17" t="str">
        <x:v>Points</x:v>
      </x:c>
      <x:c r="G8" s="17" t="str">
        <x:v>Score</x:v>
      </x:c>
    </x:row>
    <x:row r="9" ht="70" customHeight="1">
      <x:c r="A9" s="20" t="str">
        <x:v>TQ1 State representation</x:v>
      </x:c>
      <x:c r="B9" s="20" t="str">
        <x:v>Identify three accounting bases</x:v>
      </x:c>
      <x:c r="C9" s="20" t="str">
        <x:v>Separate PX boundary, brine hydraulic power, whole-plant SEC and PAT QA</x:v>
      </x:c>
      <x:c r="D9" s="20" t="str">
        <x:v>Separates only two</x:v>
      </x:c>
      <x:c r="E9" s="20" t="str">
        <x:v>Treats ηQΔP as net plant saving or PX shaft power</x:v>
      </x:c>
      <x:c r="F9" s="20" t="n">
        <x:v>15</x:v>
      </x:c>
      <x:c r="G9" s="20"/>
    </x:row>
    <x:row r="10" ht="70" customHeight="1">
      <x:c r="A10" s="20" t="str">
        <x:v>TQ2 Planning</x:v>
      </x:c>
      <x:c r="B10" s="20" t="str">
        <x:v>Bracket then lock two limits</x:v>
      </x:c>
      <x:c r="C10" s="20" t="str">
        <x:v>0.85/0.96 bracket, 0.90/0.93 narrow, prove 0.917/0.918 and 0.949/0.950</x:v>
      </x:c>
      <x:c r="D10" s="20" t="str">
        <x:v>Limits correct but one adjacent pair missing</x:v>
      </x:c>
      <x:c r="E10" s="20" t="str">
        <x:v>Guess or dense full-grid scan</x:v>
      </x:c>
      <x:c r="F10" s="20" t="n">
        <x:v>15</x:v>
      </x:c>
      <x:c r="G10" s="20"/>
    </x:row>
    <x:row r="11" ht="70" customHeight="1">
      <x:c r="A11" s="20" t="str">
        <x:v>TQ3 Tool-call correctness</x:v>
      </x:c>
      <x:c r="B11" s="20" t="str">
        <x:v>Correct plant tool and ERD-specific inputs</x:v>
      </x:c>
      <x:c r="C11" s="20" t="str">
        <x:v>PX uses pxr/p2; PAT uses erd_efficiency only; invariants fixed</x:v>
      </x:c>
      <x:c r="D11" s="20" t="str">
        <x:v>One invalid call corrected from error</x:v>
      </x:c>
      <x:c r="E11" s="20" t="str">
        <x:v>Uses simulate_ro for SEC or repeats invalid PAT inputs</x:v>
      </x:c>
      <x:c r="F11" s="20" t="n">
        <x:v>20</x:v>
      </x:c>
      <x:c r="G11" s="20"/>
    </x:row>
    <x:row r="12" ht="70" customHeight="1">
      <x:c r="A12" s="20" t="str">
        <x:v>TQ4 Hydraulic/energy audit</x:v>
      </x:c>
      <x:c r="B12" s="20" t="str">
        <x:v>Correct formula, flow and units</x:v>
      </x:c>
      <x:c r="C12" s="20" t="str">
        <x:v>Qbrine=0.188973 m³/s, ΔP=65.3 bar, Pavailable=1233.99 kW, η95%=1172.29 kW</x:v>
      </x:c>
      <x:c r="D12" s="20" t="str">
        <x:v>Approximately correct but power bases mixed</x:v>
      </x:c>
      <x:c r="E12" s="20" t="str">
        <x:v>Misses 1e5/1000, uses feed instead of brine, or wrong units</x:v>
      </x:c>
      <x:c r="F12" s="20" t="n">
        <x:v>20</x:v>
      </x:c>
      <x:c r="G12" s="20"/>
    </x:row>
    <x:row r="13" ht="70" customHeight="1">
      <x:c r="A13" s="20" t="str">
        <x:v>TQ5 Observation/model QA</x:v>
      </x:c>
      <x:c r="B13" s="20" t="str">
        <x:v>Explain P2/SEC and detect PAT anomaly</x:v>
      </x:c>
      <x:c r="C13" s="20" t="str">
        <x:v>PX product fixed and P2 falls; PAT recovery changes while SEC does not; prohibit PAT SEC interpolation</x:v>
      </x:c>
      <x:c r="D13" s="20" t="str">
        <x:v>Detects anomaly without limiting conclusion</x:v>
      </x:c>
      <x:c r="E13" s="20" t="str">
        <x:v>Claims PAT efficiency physically has no SEC effect or invents trend</x:v>
      </x:c>
      <x:c r="F13" s="20" t="n">
        <x:v>20</x:v>
      </x:c>
      <x:c r="G13" s="20"/>
    </x:row>
    <x:row r="14" ht="70" customHeight="1">
      <x:c r="A14" s="20" t="str">
        <x:v>TQ6 Engineering decision</x:v>
      </x:c>
      <x:c r="B14" s="20" t="str">
        <x:v>Give limits and savings</x:v>
      </x:c>
      <x:c r="C14" s="20" t="str">
        <x:v>Basic 0.918, recommended 0.950, 150.50 kW and 1.192 GWh/y; set maintenance floor</x:v>
      </x:c>
      <x:c r="D14" s="20" t="str">
        <x:v>Main values right but one missing</x:v>
      </x:c>
      <x:c r="E14" s="20" t="str">
        <x:v>Wrong recommended efficiency or no proof</x:v>
      </x:c>
      <x:c r="F14" s="20" t="n">
        <x:v>10</x:v>
      </x:c>
      <x:c r="G14" s="20"/>
    </x:row>
    <x:row r="17">
      <x:c r="A17" s="11" t="str">
        <x:v>Scoring basis and tolerances</x:v>
      </x:c>
      <x:c r="B17" s="11" t="str">
        <x:v>Scoring basis and tolerances</x:v>
      </x:c>
      <x:c r="C17" s="11" t="str">
        <x:v>Scoring basis and tolerances</x:v>
      </x:c>
      <x:c r="D17" s="11" t="str">
        <x:v>Scoring basis and tolerances</x:v>
      </x:c>
      <x:c r="E17" s="11" t="str">
        <x:v>Scoring basis and tolerances</x:v>
      </x:c>
      <x:c r="F17" s="11" t="str">
        <x:v>Scoring basis and tolerances</x:v>
      </x:c>
      <x:c r="G17" s="11" t="str">
        <x:v>Scoring basis and tolerances</x:v>
      </x:c>
    </x:row>
    <x:row r="18" ht="45" customHeight="1">
      <x:c r="A18" s="20" t="str">
        <x:v>Boundary resolution</x:v>
      </x:c>
      <x:c r="B18" s="20" t="str">
        <x:v>Efficiency 0.001</x:v>
      </x:c>
      <x:c r="C18" s="20" t="str">
        <x:v>0.949 at SEC 3.0000437 is a strict fail</x:v>
      </x:c>
      <x:c r="D18" s="20" t="str">
        <x:v>Do not misclassify from two-decimal display</x:v>
      </x:c>
      <x:c r="E18" s="20"/>
      <x:c r="F18" s="20"/>
      <x:c r="G18" s="20"/>
    </x:row>
    <x:row r="19" ht="45" customHeight="1">
      <x:c r="A19" s="20" t="str">
        <x:v>Power tolerance</x:v>
      </x:c>
      <x:c r="B19" s="20" t="str">
        <x:v>±0.5 kW</x:v>
      </x:c>
      <x:c r="C19" s="20" t="str">
        <x:v>Hydraulic power uses the stated measured differential</x:v>
      </x:c>
      <x:c r="D19" s="20" t="str">
        <x:v>Reasonable rounding</x:v>
      </x:c>
      <x:c r="E19" s="20"/>
      <x:c r="F19" s="20"/>
      <x:c r="G19" s="20"/>
    </x:row>
    <x:row r="20" ht="45" customHeight="1">
      <x:c r="A20" s="20" t="str">
        <x:v>Energy tolerance</x:v>
      </x:c>
      <x:c r="B20" s="20" t="str">
        <x:v>±0.002 kWh/m³; annual energy ±0.5%</x:v>
      </x:c>
      <x:c r="C20" s="20" t="str">
        <x:v>Use actual tool outputs and formulas</x:v>
      </x:c>
      <x:c r="D20" s="20" t="str">
        <x:v>English version is translation only</x:v>
      </x:c>
      <x:c r="E20" s="20"/>
      <x:c r="F20" s="20"/>
      <x:c r="G20" s="20"/>
    </x:row>
    <x:row r="21" ht="45" customHeight="1">
      <x:c r="A21" s="20" t="str">
        <x:v>Model limitation</x:v>
      </x:c>
      <x:c r="B21" s="20" t="str">
        <x:v>Identical PAT SEC is this version's output</x:v>
      </x:c>
      <x:c r="C21" s="20" t="str">
        <x:v>Report it and restrict use</x:v>
      </x:c>
      <x:c r="D21" s="20" t="str">
        <x:v>Do not present anomaly as physical law</x:v>
      </x:c>
      <x:c r="E21" s="20"/>
      <x:c r="F21" s="20"/>
      <x:c r="G21" s="20"/>
    </x:row>
  </x:sheetData>
  <x:mergeCells>
    <x:mergeCell ref="A1:G2"/>
    <x:mergeCell ref="A4:G6"/>
    <x:mergeCell ref="A17:G17"/>
  </x:mergeCells>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28" hidden="0" customWidth="1"/>
    <x:col min="2" max="2" width="35" hidden="0" customWidth="1"/>
    <x:col min="3" max="3" width="50" hidden="0" customWidth="1"/>
    <x:col min="4" max="4" width="43" hidden="0" customWidth="1"/>
    <x:col min="5" max="5" width="43" hidden="0" customWidth="1"/>
    <x:col min="6" max="6" width="48" hidden="0" customWidth="1"/>
    <x:col min="7" max="7" width="10" hidden="0" customWidth="1"/>
  </x:cols>
  <x:sheetData>
    <x:row r="1" ht="26" customHeight="1">
      <x:c r="A1" s="4" t="str">
        <x:v>D3-3a: Tool-Efficiency Rubric (100 points)</x:v>
      </x:c>
      <x:c r="B1" s="4" t="str">
        <x:v>D3-3a: Tool-Efficiency Rubric (100 points)</x:v>
      </x:c>
      <x:c r="C1" s="4" t="str">
        <x:v>D3-3a: Tool-Efficiency Rubric (100 points)</x:v>
      </x:c>
      <x:c r="D1" s="4" t="str">
        <x:v>D3-3a: Tool-Efficiency Rubric (100 points)</x:v>
      </x:c>
      <x:c r="E1" s="4" t="str">
        <x:v>D3-3a: Tool-Efficiency Rubric (100 points)</x:v>
      </x:c>
      <x:c r="F1" s="4" t="str">
        <x:v>D3-3a: Tool-Efficiency Rubric (100 points)</x:v>
      </x:c>
      <x:c r="G1" s="4" t="str">
        <x:v>D3-3a: Tool-Efficiency Rubric (100 points)</x:v>
      </x:c>
    </x:row>
    <x:row r="2" ht="26" customHeight="1">
      <x:c r="A2" s="4" t="str">
        <x:v>D3-3a: Tool-Efficiency Rubric (100 points)</x:v>
      </x:c>
      <x:c r="B2" s="4" t="str">
        <x:v>D3-3a: Tool-Efficiency Rubric (100 points)</x:v>
      </x:c>
      <x:c r="C2" s="4" t="str">
        <x:v>D3-3a: Tool-Efficiency Rubric (100 points)</x:v>
      </x:c>
      <x:c r="D2" s="4" t="str">
        <x:v>D3-3a: Tool-Efficiency Rubric (100 points)</x:v>
      </x:c>
      <x:c r="E2" s="4" t="str">
        <x:v>D3-3a: Tool-Efficiency Rubric (100 points)</x:v>
      </x:c>
      <x:c r="F2" s="4" t="str">
        <x:v>D3-3a: Tool-Efficiency Rubric (100 points)</x:v>
      </x:c>
      <x:c r="G2" s="4" t="str">
        <x:v>D3-3a: Tool-Efficiency Rubric (100 points)</x:v>
      </x:c>
    </x:row>
    <x:row r="4">
      <x:c r="A4" s="25" t="str">
        <x:v>The reference valid path is eight PX-boundary calls plus two PAT-QA calls. One invalid parameter call is not penalized if immediately corrected from the error and not repeated; repeated invalid calls, full-grid scanning or blind PAT sweeps after the anomaly should lose points.</x:v>
      </x:c>
      <x:c r="B4" s="25" t="str">
        <x:v>The reference valid path is eight PX-boundary calls plus two PAT-QA calls. One invalid parameter call is not penalized if immediately corrected from the error and not repeated; repeated invalid calls, full-grid scanning or blind PAT sweeps after the anomaly should lose points.</x:v>
      </x:c>
      <x:c r="C4" s="25" t="str">
        <x:v>The reference valid path is eight PX-boundary calls plus two PAT-QA calls. One invalid parameter call is not penalized if immediately corrected from the error and not repeated; repeated invalid calls, full-grid scanning or blind PAT sweeps after the anomaly should lose points.</x:v>
      </x:c>
      <x:c r="D4" s="25" t="str">
        <x:v>The reference valid path is eight PX-boundary calls plus two PAT-QA calls. One invalid parameter call is not penalized if immediately corrected from the error and not repeated; repeated invalid calls, full-grid scanning or blind PAT sweeps after the anomaly should lose points.</x:v>
      </x:c>
      <x:c r="E4" s="25" t="str">
        <x:v>The reference valid path is eight PX-boundary calls plus two PAT-QA calls. One invalid parameter call is not penalized if immediately corrected from the error and not repeated; repeated invalid calls, full-grid scanning or blind PAT sweeps after the anomaly should lose points.</x:v>
      </x:c>
      <x:c r="F4" s="25" t="str">
        <x:v>The reference valid path is eight PX-boundary calls plus two PAT-QA calls. One invalid parameter call is not penalized if immediately corrected from the error and not repeated; repeated invalid calls, full-grid scanning or blind PAT sweeps after the anomaly should lose points.</x:v>
      </x:c>
      <x:c r="G4" s="25" t="str">
        <x:v>The reference valid path is eight PX-boundary calls plus two PAT-QA calls. One invalid parameter call is not penalized if immediately corrected from the error and not repeated; repeated invalid calls, full-grid scanning or blind PAT sweeps after the anomaly should lose points.</x:v>
      </x:c>
    </x:row>
    <x:row r="5">
      <x:c r="A5" s="25" t="str">
        <x:v>The reference valid path is eight PX-boundary calls plus two PAT-QA calls. One invalid parameter call is not penalized if immediately corrected from the error and not repeated; repeated invalid calls, full-grid scanning or blind PAT sweeps after the anomaly should lose points.</x:v>
      </x:c>
      <x:c r="B5" s="25" t="str">
        <x:v>The reference valid path is eight PX-boundary calls plus two PAT-QA calls. One invalid parameter call is not penalized if immediately corrected from the error and not repeated; repeated invalid calls, full-grid scanning or blind PAT sweeps after the anomaly should lose points.</x:v>
      </x:c>
      <x:c r="C5" s="25" t="str">
        <x:v>The reference valid path is eight PX-boundary calls plus two PAT-QA calls. One invalid parameter call is not penalized if immediately corrected from the error and not repeated; repeated invalid calls, full-grid scanning or blind PAT sweeps after the anomaly should lose points.</x:v>
      </x:c>
      <x:c r="D5" s="25" t="str">
        <x:v>The reference valid path is eight PX-boundary calls plus two PAT-QA calls. One invalid parameter call is not penalized if immediately corrected from the error and not repeated; repeated invalid calls, full-grid scanning or blind PAT sweeps after the anomaly should lose points.</x:v>
      </x:c>
      <x:c r="E5" s="25" t="str">
        <x:v>The reference valid path is eight PX-boundary calls plus two PAT-QA calls. One invalid parameter call is not penalized if immediately corrected from the error and not repeated; repeated invalid calls, full-grid scanning or blind PAT sweeps after the anomaly should lose points.</x:v>
      </x:c>
      <x:c r="F5" s="25" t="str">
        <x:v>The reference valid path is eight PX-boundary calls plus two PAT-QA calls. One invalid parameter call is not penalized if immediately corrected from the error and not repeated; repeated invalid calls, full-grid scanning or blind PAT sweeps after the anomaly should lose points.</x:v>
      </x:c>
      <x:c r="G5" s="25" t="str">
        <x:v>The reference valid path is eight PX-boundary calls plus two PAT-QA calls. One invalid parameter call is not penalized if immediately corrected from the error and not repeated; repeated invalid calls, full-grid scanning or blind PAT sweeps after the anomaly should lose points.</x:v>
      </x:c>
    </x:row>
    <x:row r="6">
      <x:c r="A6" s="25" t="str">
        <x:v>The reference valid path is eight PX-boundary calls plus two PAT-QA calls. One invalid parameter call is not penalized if immediately corrected from the error and not repeated; repeated invalid calls, full-grid scanning or blind PAT sweeps after the anomaly should lose points.</x:v>
      </x:c>
      <x:c r="B6" s="25" t="str">
        <x:v>The reference valid path is eight PX-boundary calls plus two PAT-QA calls. One invalid parameter call is not penalized if immediately corrected from the error and not repeated; repeated invalid calls, full-grid scanning or blind PAT sweeps after the anomaly should lose points.</x:v>
      </x:c>
      <x:c r="C6" s="25" t="str">
        <x:v>The reference valid path is eight PX-boundary calls plus two PAT-QA calls. One invalid parameter call is not penalized if immediately corrected from the error and not repeated; repeated invalid calls, full-grid scanning or blind PAT sweeps after the anomaly should lose points.</x:v>
      </x:c>
      <x:c r="D6" s="25" t="str">
        <x:v>The reference valid path is eight PX-boundary calls plus two PAT-QA calls. One invalid parameter call is not penalized if immediately corrected from the error and not repeated; repeated invalid calls, full-grid scanning or blind PAT sweeps after the anomaly should lose points.</x:v>
      </x:c>
      <x:c r="E6" s="25" t="str">
        <x:v>The reference valid path is eight PX-boundary calls plus two PAT-QA calls. One invalid parameter call is not penalized if immediately corrected from the error and not repeated; repeated invalid calls, full-grid scanning or blind PAT sweeps after the anomaly should lose points.</x:v>
      </x:c>
      <x:c r="F6" s="25" t="str">
        <x:v>The reference valid path is eight PX-boundary calls plus two PAT-QA calls. One invalid parameter call is not penalized if immediately corrected from the error and not repeated; repeated invalid calls, full-grid scanning or blind PAT sweeps after the anomaly should lose points.</x:v>
      </x:c>
      <x:c r="G6" s="25" t="str">
        <x:v>The reference valid path is eight PX-boundary calls plus two PAT-QA calls. One invalid parameter call is not penalized if immediately corrected from the error and not repeated; repeated invalid calls, full-grid scanning or blind PAT sweeps after the anomaly should lose points.</x:v>
      </x:c>
    </x:row>
    <x:row r="8">
      <x:c r="A8" s="17" t="str">
        <x:v>Dimension</x:v>
      </x:c>
      <x:c r="B8" s="17" t="str">
        <x:v>Evaluation question</x:v>
      </x:c>
      <x:c r="C8" s="17" t="str">
        <x:v>Full credit</x:v>
      </x:c>
      <x:c r="D8" s="17" t="str">
        <x:v>Partial credit</x:v>
      </x:c>
      <x:c r="E8" s="17" t="str">
        <x:v>Low/zero</x:v>
      </x:c>
      <x:c r="F8" s="17" t="str">
        <x:v>Reference evidence</x:v>
      </x:c>
      <x:c r="G8" s="17" t="str">
        <x:v>Points</x:v>
      </x:c>
    </x:row>
    <x:row r="9" ht="72" customHeight="1">
      <x:c r="A9" s="20" t="str">
        <x:v>E1 Tool choice</x:v>
      </x:c>
      <x:c r="B9" s="20" t="str">
        <x:v>Use the full-plant energy tool</x:v>
      </x:c>
      <x:c r="C9" s="20" t="str">
        <x:v>Use simulate_swro_system for both PX and PAT; describe only if parameters are uncertain</x:v>
      </x:c>
      <x:c r="D9" s="20" t="str">
        <x:v>A few irrelevant metadata calls</x:v>
      </x:c>
      <x:c r="E9" s="20" t="str">
        <x:v>Use simulate_ro or external assumptions instead of plant SEC</x:v>
      </x:c>
      <x:c r="F9" s="20" t="str">
        <x:v>Need P1/P2, ERD recovery, SEC and LCOW</x:v>
      </x:c>
      <x:c r="G9" s="20" t="n">
        <x:v>20</x:v>
      </x:c>
    </x:row>
    <x:row r="10" ht="72" customHeight="1">
      <x:c r="A10" s="20" t="str">
        <x:v>E2 Information gain</x:v>
      </x:c>
      <x:c r="B10" s="20" t="str">
        <x:v>Bracket PX before refinement</x:v>
      </x:c>
      <x:c r="C10" s="20" t="str">
        <x:v>0.85/0.96→0.90/0.93→two adjacent 0.001 pairs</x:v>
      </x:c>
      <x:c r="D10" s="20" t="str">
        <x:v>One or two low-information points</x:v>
      </x:c>
      <x:c r="E10" s="20" t="str">
        <x:v>Scan every point from 0.85 to 0.96</x:v>
      </x:c>
      <x:c r="F10" s="20" t="str">
        <x:v>Eight PX calls</x:v>
      </x:c>
      <x:c r="G10" s="20" t="n">
        <x:v>20</x:v>
      </x:c>
    </x:row>
    <x:row r="11" ht="72" customHeight="1">
      <x:c r="A11" s="20" t="str">
        <x:v>E3 Parameter-domain handling</x:v>
      </x:c>
      <x:c r="B11" s="20" t="str">
        <x:v>Use ERD-specific inputs and learn from error</x:v>
      </x:c>
      <x:c r="C11" s="20" t="str">
        <x:v>Remove inapplicable p2_efficiency after PAT error</x:v>
      </x:c>
      <x:c r="D11" s="20" t="str">
        <x:v>Correction is delayed once</x:v>
      </x:c>
      <x:c r="E11" s="20" t="str">
        <x:v>Repeat same error or change multiple case inputs</x:v>
      </x:c>
      <x:c r="F11" s="20" t="str">
        <x:v>PAT uses erd_efficiency only</x:v>
      </x:c>
      <x:c r="G11" s="20" t="n">
        <x:v>20</x:v>
      </x:c>
    </x:row>
    <x:row r="12" ht="72" customHeight="1">
      <x:c r="A12" s="20" t="str">
        <x:v>E4 Anomaly pruning</x:v>
      </x:c>
      <x:c r="B12" s="20" t="str">
        <x:v>Stop ineffective PAT search after invariant SEC</x:v>
      </x:c>
      <x:c r="C12" s="20" t="str">
        <x:v>Two points establish QA anomaly; stop and state limitation</x:v>
      </x:c>
      <x:c r="D12" s="20" t="str">
        <x:v>One or two extra confirmations</x:v>
      </x:c>
      <x:c r="E12" s="20" t="str">
        <x:v>Continue a large sweep and fit a false trend</x:v>
      </x:c>
      <x:c r="F12" s="20" t="str">
        <x:v>Recovery changes at 0.85/0.90; SEC identical</x:v>
      </x:c>
      <x:c r="G12" s="20" t="n">
        <x:v>20</x:v>
      </x:c>
    </x:row>
    <x:row r="13" ht="72" customHeight="1">
      <x:c r="A13" s="20" t="str">
        <x:v>E5 Convergence/stopping</x:v>
      </x:c>
      <x:c r="B13" s="20" t="str">
        <x:v>Complete evidence within rational budget</x:v>
      </x:c>
      <x:c r="C13" s="20" t="str">
        <x:v>About ten valid calls with both limits, pressure audit and PAT QA</x:v>
      </x:c>
      <x:c r="D13" s="20" t="str">
        <x:v>11–13 with minor redundancy</x:v>
      </x:c>
      <x:c r="E13" s="20" t="str">
        <x:v>&gt;13 enumerative or too few to prove result</x:v>
      </x:c>
      <x:c r="F13" s="20" t="str">
        <x:v>Reference: 8 PX + 2 PAT</x:v>
      </x:c>
      <x:c r="G13" s="20" t="n">
        <x:v>20</x:v>
      </x:c>
    </x:row>
    <x:row r="15">
      <x:c r="F15" s="32" t="str">
        <x:v>Tool-efficiency total</x:v>
      </x:c>
      <x:c r="G15" s="32" t="n">
        <x:f>SUM(G9:G13)</x:f>
        <x:v>100</x:v>
      </x:c>
    </x:row>
  </x:sheetData>
  <x:mergeCells>
    <x:mergeCell ref="A1:G2"/>
    <x:mergeCell ref="A4:G6"/>
  </x:mergeCells>
  <x:pageMargins left="0.7" right="0.7" top="0.75" bottom="0.75" header="0.3" footer="0.3"/>
</x:worksheet>
</file>