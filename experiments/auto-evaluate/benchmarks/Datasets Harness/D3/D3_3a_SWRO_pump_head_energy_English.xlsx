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5cbac8873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85a531d21d424d3b"/>
    <x:sheet xmlns:r="http://schemas.openxmlformats.org/officeDocument/2006/relationships" name="Gold_Answer_A" sheetId="2" r:id="Rb1d1b8633cfc448d"/>
    <x:sheet xmlns:r="http://schemas.openxmlformats.org/officeDocument/2006/relationships" name="Trajectory_Rubric" sheetId="3" r:id="R527da1babd6848f3"/>
    <x:sheet xmlns:r="http://schemas.openxmlformats.org/officeDocument/2006/relationships" name="Tool_Efficiency" sheetId="4" r:id="R79fc82d4d2b2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.0"/>
    <x:numFmt numFmtId="202" formatCode="0.000000"/>
    <x:numFmt numFmtId="203" formatCode="#,##0.00"/>
    <x:numFmt numFmtId="204" formatCode="#,##0.000"/>
    <x:numFmt numFmtId="205" formatCode="0.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380c33d0344235" /><Relationship Type="http://schemas.openxmlformats.org/officeDocument/2006/relationships/theme" Target="/xl/theme/theme1.xml" Id="R388e37f72c5e48c1" /><Relationship Type="http://schemas.openxmlformats.org/officeDocument/2006/relationships/sharedStrings" Target="/xl/sharedStrings.xml" Id="R4689d1fcc0cf469e" /><Relationship Type="http://schemas.openxmlformats.org/officeDocument/2006/relationships/worksheet" Target="/xl/worksheets/sheet1.xml" Id="R85a531d21d424d3b" /><Relationship Type="http://schemas.openxmlformats.org/officeDocument/2006/relationships/worksheet" Target="/xl/worksheets/sheet2.xml" Id="Rb1d1b8633cfc448d" /><Relationship Type="http://schemas.openxmlformats.org/officeDocument/2006/relationships/worksheet" Target="/xl/worksheets/sheet3.xml" Id="R527da1babd6848f3" /><Relationship Type="http://schemas.openxmlformats.org/officeDocument/2006/relationships/worksheet" Target="/xl/worksheets/sheet4.xml" Id="R79fc82d4d2b24d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79c4406cc34c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Pressure–product flow and 5% margin target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 m³/d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'Gold_Answer_A'!$R$20:$R$27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Margin target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'Gold_Answer_A'!$S$20:$S$27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9c4406cc34c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bde93e2a3ac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4" hidden="0" customWidth="1"/>
    <x:col min="5" max="5" width="4" hidden="0" customWidth="1"/>
    <x:col min="6" max="6" width="29" hidden="0" customWidth="1"/>
    <x:col min="7" max="7" width="34" hidden="0" customWidth="1"/>
    <x:col min="8" max="8" width="41" hidden="0" customWidth="1"/>
  </x:cols>
  <x:sheetData>
    <x:row r="1" ht="26" customHeight="1">
      <x:c r="A1" s="4" t="str">
        <x:v>D5-5a: Minimum Pump Pressure, Head and Energy Input for Winter High-Salinity SWRO</x:v>
      </x:c>
      <x:c r="B1" s="4" t="str">
        <x:v>D5-5a: Minimum Pump Pressure, Head and Energy Input for Winter High-Salinity SWRO</x:v>
      </x:c>
      <x:c r="C1" s="4" t="str">
        <x:v>D5-5a: Minimum Pump Pressure, Head and Energy Input for Winter High-Salinity SWRO</x:v>
      </x:c>
      <x:c r="D1" s="4" t="str">
        <x:v>D5-5a: Minimum Pump Pressure, Head and Energy Input for Winter High-Salinity SWRO</x:v>
      </x:c>
      <x:c r="E1" s="4" t="str">
        <x:v>D5-5a: Minimum Pump Pressure, Head and Energy Input for Winter High-Salinity SWRO</x:v>
      </x:c>
      <x:c r="F1" s="4" t="str">
        <x:v>D5-5a: Minimum Pump Pressure, Head and Energy Input for Winter High-Salinity SWRO</x:v>
      </x:c>
      <x:c r="G1" s="4" t="str">
        <x:v>D5-5a: Minimum Pump Pressure, Head and Energy Input for Winter High-Salinity SWRO</x:v>
      </x:c>
      <x:c r="H1" s="4" t="str">
        <x:v>D5-5a: Minimum Pump Pressure, Head and Energy Input for Winter High-Salinity SWRO</x:v>
      </x:c>
    </x:row>
    <x:row r="2" ht="26" customHeight="1">
      <x:c r="A2" s="4" t="str">
        <x:v>D5-5a: Minimum Pump Pressure, Head and Energy Input for Winter High-Salinity SWRO</x:v>
      </x:c>
      <x:c r="B2" s="4" t="str">
        <x:v>D5-5a: Minimum Pump Pressure, Head and Energy Input for Winter High-Salinity SWRO</x:v>
      </x:c>
      <x:c r="C2" s="4" t="str">
        <x:v>D5-5a: Minimum Pump Pressure, Head and Energy Input for Winter High-Salinity SWRO</x:v>
      </x:c>
      <x:c r="D2" s="4" t="str">
        <x:v>D5-5a: Minimum Pump Pressure, Head and Energy Input for Winter High-Salinity SWRO</x:v>
      </x:c>
      <x:c r="E2" s="4" t="str">
        <x:v>D5-5a: Minimum Pump Pressure, Head and Energy Input for Winter High-Salinity SWRO</x:v>
      </x:c>
      <x:c r="F2" s="4" t="str">
        <x:v>D5-5a: Minimum Pump Pressure, Head and Energy Input for Winter High-Salinity SWRO</x:v>
      </x:c>
      <x:c r="G2" s="4" t="str">
        <x:v>D5-5a: Minimum Pump Pressure, Head and Energy Input for Winter High-Salinity SWRO</x:v>
      </x:c>
      <x:c r="H2" s="4" t="str">
        <x:v>D5-5a: Minimum Pump Pressure, Head and Energy Input for Winter High-Salinity SWRO</x:v>
      </x:c>
    </x:row>
    <x:row r="4" ht="26" customHeight="1">
      <x:c r="A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B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C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D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E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F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G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H4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</x:row>
    <x:row r="5" ht="26" customHeight="1">
      <x:c r="A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B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C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D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E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F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G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H5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</x:row>
    <x:row r="6" ht="26" customHeight="1">
      <x:c r="A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B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C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D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E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F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G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H6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</x:row>
    <x:row r="7" ht="26" customHeight="1">
      <x:c r="A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B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C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D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E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F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G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  <x:c r="H7" s="8" t="str">
        <x:v>A single-pass SWRO plant with a pressure exchanger (PX) must confirm whether its high-pressure pump can meet contracted winter production under high salinity. Call simulate_swro_system, vary only p1_pressure_bar, and adaptively find (1) the minimum pressure giving net product flow ≥10,000 m³/d and (2) the minimum recommended pressure giving a 5% production margin, ≥10,500 m³/d. Prove each boundary with adjacent fail/pass points at 0.1 bar. Then convert pressure to pump head; report P1 high-pressure-pump power, P2 PX-booster power, combined pump-train power, net plant power, SEC and daily energy; and select the HPP motor rating with a 10% continuous-duty margin.</x:v>
      </x:c>
    </x:row>
    <x:row r="9">
      <x:c r="A9" s="11" t="str">
        <x:v>Fixed operating case (do not change)</x:v>
      </x:c>
      <x:c r="B9" s="11" t="str">
        <x:v>Fixed operating case (do not change)</x:v>
      </x:c>
      <x:c r="C9" s="11" t="str">
        <x:v>Fixed operating case (do not change)</x:v>
      </x:c>
      <x:c r="D9" s="11" t="str">
        <x:v>Fixed operating case (do not change)</x:v>
      </x:c>
      <x:c r="F9" s="11" t="str">
        <x:v>Constraints and criteria</x:v>
      </x:c>
      <x:c r="G9" s="11" t="str">
        <x:v>Constraints and criteria</x:v>
      </x:c>
      <x:c r="H9" s="11" t="str">
        <x:v>Constraints and criteria</x:v>
      </x:c>
    </x:row>
    <x:row r="10">
      <x:c r="A10" s="17" t="str">
        <x:v>Parameter</x:v>
      </x:c>
      <x:c r="B10" s="17" t="str">
        <x:v>Value</x:v>
      </x:c>
      <x:c r="C10" s="17" t="str">
        <x:v>Unit</x:v>
      </x:c>
      <x:c r="D10" s="17" t="str">
        <x:v>Note</x:v>
      </x:c>
      <x:c r="F10" s="17" t="str">
        <x:v>Level</x:v>
      </x:c>
      <x:c r="G10" s="17" t="str">
        <x:v>Criterion</x:v>
      </x:c>
      <x:c r="H10" s="17" t="str">
        <x:v>Evidence required</x:v>
      </x:c>
    </x:row>
    <x:row r="11">
      <x:c r="A11" s="20" t="str">
        <x:v>Feed flow</x:v>
      </x:c>
      <x:c r="B11" s="21" t="n">
        <x:v>0.3</x:v>
      </x:c>
      <x:c r="C11" s="20" t="str">
        <x:v>m³/s</x:v>
      </x:c>
      <x:c r="D11" s="20" t="str">
        <x:v>25,920 m³/d</x:v>
      </x:c>
      <x:c r="F11" s="20" t="str">
        <x:v>Basic</x:v>
      </x:c>
      <x:c r="G11" s="20" t="str">
        <x:v>Product ≥10,000 m³/d</x:v>
      </x:c>
      <x:c r="H11" s="20" t="str">
        <x:v>Adjacent 0.1-bar fail/pass</x:v>
      </x:c>
    </x:row>
    <x:row r="12">
      <x:c r="A12" s="20" t="str">
        <x:v>TDS</x:v>
      </x:c>
      <x:c r="B12" s="21" t="n">
        <x:v>38</x:v>
      </x:c>
      <x:c r="C12" s="20" t="str">
        <x:v>g/L</x:v>
      </x:c>
      <x:c r="D12" s="20" t="str">
        <x:v>Winter high-salinity seawater</x:v>
      </x:c>
      <x:c r="F12" s="20" t="str">
        <x:v>Recommended margin</x:v>
      </x:c>
      <x:c r="G12" s="20" t="str">
        <x:v>Product ≥10,500 m³/d</x:v>
      </x:c>
      <x:c r="H12" s="20" t="str">
        <x:v>Adjacent 0.1-bar fail/pass</x:v>
      </x:c>
    </x:row>
    <x:row r="13">
      <x:c r="A13" s="20" t="str">
        <x:v>TSS</x:v>
      </x:c>
      <x:c r="B13" s="21" t="n">
        <x:v>0.03</x:v>
      </x:c>
      <x:c r="C13" s="20" t="str">
        <x:v>g/L</x:v>
      </x:c>
      <x:c r="D13" s="20" t="str">
        <x:v>Pretreatment design value</x:v>
      </x:c>
      <x:c r="F13" s="20" t="str">
        <x:v>Decision variable</x:v>
      </x:c>
      <x:c r="G13" s="20" t="str">
        <x:v>p1_pressure_bar only</x:v>
      </x:c>
      <x:c r="H13" s="20" t="str">
        <x:v>Do not alter flow, area, temperature or efficiencies</x:v>
      </x:c>
    </x:row>
    <x:row r="14">
      <x:c r="A14" s="20" t="str">
        <x:v>Temperature</x:v>
      </x:c>
      <x:c r="B14" s="21" t="n">
        <x:v>22</x:v>
      </x:c>
      <x:c r="C14" s="20" t="str">
        <x:v>°C</x:v>
      </x:c>
      <x:c r="D14" s="20" t="str">
        <x:v>Winter design temperature</x:v>
      </x:c>
      <x:c r="F14" s="20" t="str">
        <x:v>Search method</x:v>
      </x:c>
      <x:c r="G14" s="20" t="str">
        <x:v>Coarse bracket then local refinement</x:v>
      </x:c>
      <x:c r="H14" s="20" t="str">
        <x:v>Efficient reference trajectory: about 8 calls</x:v>
      </x:c>
    </x:row>
    <x:row r="15">
      <x:c r="A15" s="20" t="str">
        <x:v>RO membrane area</x:v>
      </x:c>
      <x:c r="B15" s="21" t="n">
        <x:v>13500</x:v>
      </x:c>
      <x:c r="C15" s="20" t="str">
        <x:v>m²</x:v>
      </x:c>
      <x:c r="D15" s="20" t="str">
        <x:v>Fixed</x:v>
      </x:c>
    </x:row>
    <x:row r="16">
      <x:c r="A16" s="20" t="str">
        <x:v>P1 efficiency</x:v>
      </x:c>
      <x:c r="B16" s="21" t="n">
        <x:v>0.82</x:v>
      </x:c>
      <x:c r="C16" s="20" t="str">
        <x:v>-</x:v>
      </x:c>
      <x:c r="D16" s="20" t="str">
        <x:v>High-pressure pump</x:v>
      </x:c>
      <x:c r="F16" s="11" t="str">
        <x:v>Required deliverables</x:v>
      </x:c>
      <x:c r="G16" s="11" t="str">
        <x:v>Required deliverables</x:v>
      </x:c>
      <x:c r="H16" s="11" t="str">
        <x:v>Required deliverables</x:v>
      </x:c>
    </x:row>
    <x:row r="17" ht="36" customHeight="1">
      <x:c r="A17" s="20" t="str">
        <x:v>PX efficiency</x:v>
      </x:c>
      <x:c r="B17" s="21" t="n">
        <x:v>0.96</x:v>
      </x:c>
      <x:c r="C17" s="20" t="str">
        <x:v>-</x:v>
      </x:c>
      <x:c r="D17" s="20" t="str">
        <x:v>Pressure exchanger</x:v>
      </x:c>
      <x:c r="F17" s="20" t="str">
        <x:v>1. Minimum basic pressure and adjacent proof.</x:v>
      </x:c>
      <x:c r="G17" s="20" t="str">
        <x:v>1. Minimum basic pressure and adjacent proof.</x:v>
      </x:c>
      <x:c r="H17" s="20" t="str">
        <x:v>1. Minimum basic pressure and adjacent proof.</x:v>
      </x:c>
    </x:row>
    <x:row r="18" ht="36" customHeight="1">
      <x:c r="A18" s="20" t="str">
        <x:v>P2 efficiency</x:v>
      </x:c>
      <x:c r="B18" s="21" t="n">
        <x:v>0.82</x:v>
      </x:c>
      <x:c r="C18" s="20" t="str">
        <x:v>-</x:v>
      </x:c>
      <x:c r="D18" s="20" t="str">
        <x:v>Booster pump</x:v>
      </x:c>
      <x:c r="F18" s="20" t="str">
        <x:v>2. Minimum recommended pressure and adjacent 5%-margin proof.</x:v>
      </x:c>
      <x:c r="G18" s="20" t="str">
        <x:v>2. Minimum recommended pressure and adjacent 5%-margin proof.</x:v>
      </x:c>
      <x:c r="H18" s="20" t="str">
        <x:v>2. Minimum recommended pressure and adjacent 5%-margin proof.</x:v>
      </x:c>
    </x:row>
    <x:row r="19" ht="36" customHeight="1">
      <x:c r="A19" s="20" t="str">
        <x:v>P1 suction pressure</x:v>
      </x:c>
      <x:c r="B19" s="21" t="n">
        <x:v>2</x:v>
      </x:c>
      <x:c r="C19" s="20" t="str">
        <x:v>bar(a)</x:v>
      </x:c>
      <x:c r="D19" s="20" t="str">
        <x:v>For head conversion</x:v>
      </x:c>
      <x:c r="F19" s="20" t="str">
        <x:v>3. Differential pressure and equivalent seawater head H=ΔP/(ρg) at both points.</x:v>
      </x:c>
      <x:c r="G19" s="20" t="str">
        <x:v>3. Differential pressure and equivalent seawater head H=ΔP/(ρg) at both points.</x:v>
      </x:c>
      <x:c r="H19" s="20" t="str">
        <x:v>3. Differential pressure and equivalent seawater head H=ΔP/(ρg) at both points.</x:v>
      </x:c>
    </x:row>
    <x:row r="20" ht="36" customHeight="1">
      <x:c r="A20" s="20" t="str">
        <x:v>Seawater density</x:v>
      </x:c>
      <x:c r="B20" s="21" t="n">
        <x:v>1025</x:v>
      </x:c>
      <x:c r="C20" s="20" t="str">
        <x:v>kg/m³</x:v>
      </x:c>
      <x:c r="D20" s="20" t="str">
        <x:v>Head-conversion assumption</x:v>
      </x:c>
      <x:c r="F20" s="20" t="str">
        <x:v>4. P1, P2, combined pump power and HPP motor rating at the recommended point.</x:v>
      </x:c>
      <x:c r="G20" s="20" t="str">
        <x:v>4. P1, P2, combined pump power and HPP motor rating at the recommended point.</x:v>
      </x:c>
      <x:c r="H20" s="20" t="str">
        <x:v>4. P1, P2, combined pump power and HPP motor rating at the recommended point.</x:v>
      </x:c>
    </x:row>
    <x:row r="21" ht="36" customHeight="1">
      <x:c r="A21" s="20" t="str">
        <x:v>Gravity</x:v>
      </x:c>
      <x:c r="B21" s="21" t="n">
        <x:v>9.80665</x:v>
      </x:c>
      <x:c r="C21" s="20" t="str">
        <x:v>m/s²</x:v>
      </x:c>
      <x:c r="D21" s="20" t="str">
        <x:v>Head conversion</x:v>
      </x:c>
      <x:c r="F21" s="20" t="str">
        <x:v>5. Net plant power, SEC, daily energy and engineering conclusion at the recommended point.</x:v>
      </x:c>
      <x:c r="G21" s="20" t="str">
        <x:v>5. Net plant power, SEC, daily energy and engineering conclusion at the recommended point.</x:v>
      </x:c>
      <x:c r="H21" s="20" t="str">
        <x:v>5. Net plant power, SEC, daily energy and engineering conclusion at the recommended point.</x:v>
      </x:c>
    </x:row>
    <x:row r="22">
      <x:c r="A22" s="20" t="str">
        <x:v>Membrane A/B</x:v>
      </x:c>
      <x:c r="B22" s="21" t="str">
        <x:v>4.2e-12 / 3.5e-8</x:v>
      </x:c>
      <x:c r="C22" s="20" t="str">
        <x:v>SI</x:v>
      </x:c>
      <x:c r="D22" s="20" t="str">
        <x:v>Tool defaults</x:v>
      </x:c>
    </x:row>
    <x:row r="25">
      <x:c r="A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B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C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D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E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F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G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H25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</x:row>
    <x:row r="26">
      <x:c r="A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B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C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D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E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F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G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H26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</x:row>
    <x:row r="27">
      <x:c r="A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B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C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D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E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F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G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H27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</x:row>
    <x:row r="28">
      <x:c r="A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B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C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D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E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F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G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  <x:c r="H28" s="25" t="str">
        <x:v>Scope: steady-state benchmark. Head uses P1 outlet absolute pressure minus 2.0 bar(a) suction pressure. P1 and P2 power come from the simulation; net plant power = SEC × product flow. The stated 10% motor margin does not replace NPSH, transient, water-hammer, materials, VFD-range or vendor-curve checks.</x:v>
      </x:c>
    </x:row>
  </x:sheetData>
  <x:mergeCells>
    <x:mergeCell ref="A1:H2"/>
    <x:mergeCell ref="A4:H7"/>
    <x:mergeCell ref="A9:D9"/>
    <x:mergeCell ref="F9:H9"/>
    <x:mergeCell ref="F16:H16"/>
    <x:mergeCell ref="F17:H17"/>
    <x:mergeCell ref="F18:H18"/>
    <x:mergeCell ref="F19:H19"/>
    <x:mergeCell ref="F20:H20"/>
    <x:mergeCell ref="F21:H21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6" hidden="0" customWidth="1"/>
    <x:col min="4" max="4" width="17" hidden="0" customWidth="1"/>
    <x:col min="5" max="5" width="16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29" hidden="0" customWidth="1"/>
    <x:col min="16" max="16" width="3" hidden="0" customWidth="1"/>
    <x:col min="17" max="17" width="13" hidden="0" customWidth="1"/>
    <x:col min="18" max="18" width="16" hidden="0" customWidth="1"/>
    <x:col min="19" max="19" width="16" hidden="0" customWidth="1"/>
  </x:cols>
  <x:sheetData>
    <x:row r="1" ht="26" customHeight="1">
      <x:c r="A1" s="4" t="str">
        <x:v>D5-5a Stepwise Gold Answer: Pump Pressure–Head–Power–Energy Boundary</x:v>
      </x:c>
      <x:c r="B1" s="4" t="str">
        <x:v>D5-5a Stepwise Gold Answer: Pump Pressure–Head–Power–Energy Boundary</x:v>
      </x:c>
      <x:c r="C1" s="4" t="str">
        <x:v>D5-5a Stepwise Gold Answer: Pump Pressure–Head–Power–Energy Boundary</x:v>
      </x:c>
      <x:c r="D1" s="4" t="str">
        <x:v>D5-5a Stepwise Gold Answer: Pump Pressure–Head–Power–Energy Boundary</x:v>
      </x:c>
      <x:c r="E1" s="4" t="str">
        <x:v>D5-5a Stepwise Gold Answer: Pump Pressure–Head–Power–Energy Boundary</x:v>
      </x:c>
      <x:c r="F1" s="4" t="str">
        <x:v>D5-5a Stepwise Gold Answer: Pump Pressure–Head–Power–Energy Boundary</x:v>
      </x:c>
      <x:c r="G1" s="4" t="str">
        <x:v>D5-5a Stepwise Gold Answer: Pump Pressure–Head–Power–Energy Boundary</x:v>
      </x:c>
      <x:c r="H1" s="4" t="str">
        <x:v>D5-5a Stepwise Gold Answer: Pump Pressure–Head–Power–Energy Boundary</x:v>
      </x:c>
      <x:c r="I1" s="4" t="str">
        <x:v>D5-5a Stepwise Gold Answer: Pump Pressure–Head–Power–Energy Boundary</x:v>
      </x:c>
      <x:c r="J1" s="4" t="str">
        <x:v>D5-5a Stepwise Gold Answer: Pump Pressure–Head–Power–Energy Boundary</x:v>
      </x:c>
      <x:c r="K1" s="4" t="str">
        <x:v>D5-5a Stepwise Gold Answer: Pump Pressure–Head–Power–Energy Boundary</x:v>
      </x:c>
      <x:c r="L1" s="4" t="str">
        <x:v>D5-5a Stepwise Gold Answer: Pump Pressure–Head–Power–Energy Boundary</x:v>
      </x:c>
      <x:c r="M1" s="4" t="str">
        <x:v>D5-5a Stepwise Gold Answer: Pump Pressure–Head–Power–Energy Boundary</x:v>
      </x:c>
      <x:c r="N1" s="4" t="str">
        <x:v>D5-5a Stepwise Gold Answer: Pump Pressure–Head–Power–Energy Boundary</x:v>
      </x:c>
      <x:c r="O1" s="4" t="str">
        <x:v>D5-5a Stepwise Gold Answer: Pump Pressure–Head–Power–Energy Boundary</x:v>
      </x:c>
      <x:c r="P1" s="4" t="str">
        <x:v>D5-5a Stepwise Gold Answer: Pump Pressure–Head–Power–Energy Boundary</x:v>
      </x:c>
      <x:c r="Q1" s="4" t="str">
        <x:v>D5-5a Stepwise Gold Answer: Pump Pressure–Head–Power–Energy Boundary</x:v>
      </x:c>
      <x:c r="R1" s="4" t="str">
        <x:v>D5-5a Stepwise Gold Answer: Pump Pressure–Head–Power–Energy Boundary</x:v>
      </x:c>
      <x:c r="S1" s="4" t="str">
        <x:v>D5-5a Stepwise Gold Answer: Pump Pressure–Head–Power–Energy Boundary</x:v>
      </x:c>
    </x:row>
    <x:row r="2" ht="26" customHeight="1">
      <x:c r="A2" s="4" t="str">
        <x:v>D5-5a Stepwise Gold Answer: Pump Pressure–Head–Power–Energy Boundary</x:v>
      </x:c>
      <x:c r="B2" s="4" t="str">
        <x:v>D5-5a Stepwise Gold Answer: Pump Pressure–Head–Power–Energy Boundary</x:v>
      </x:c>
      <x:c r="C2" s="4" t="str">
        <x:v>D5-5a Stepwise Gold Answer: Pump Pressure–Head–Power–Energy Boundary</x:v>
      </x:c>
      <x:c r="D2" s="4" t="str">
        <x:v>D5-5a Stepwise Gold Answer: Pump Pressure–Head–Power–Energy Boundary</x:v>
      </x:c>
      <x:c r="E2" s="4" t="str">
        <x:v>D5-5a Stepwise Gold Answer: Pump Pressure–Head–Power–Energy Boundary</x:v>
      </x:c>
      <x:c r="F2" s="4" t="str">
        <x:v>D5-5a Stepwise Gold Answer: Pump Pressure–Head–Power–Energy Boundary</x:v>
      </x:c>
      <x:c r="G2" s="4" t="str">
        <x:v>D5-5a Stepwise Gold Answer: Pump Pressure–Head–Power–Energy Boundary</x:v>
      </x:c>
      <x:c r="H2" s="4" t="str">
        <x:v>D5-5a Stepwise Gold Answer: Pump Pressure–Head–Power–Energy Boundary</x:v>
      </x:c>
      <x:c r="I2" s="4" t="str">
        <x:v>D5-5a Stepwise Gold Answer: Pump Pressure–Head–Power–Energy Boundary</x:v>
      </x:c>
      <x:c r="J2" s="4" t="str">
        <x:v>D5-5a Stepwise Gold Answer: Pump Pressure–Head–Power–Energy Boundary</x:v>
      </x:c>
      <x:c r="K2" s="4" t="str">
        <x:v>D5-5a Stepwise Gold Answer: Pump Pressure–Head–Power–Energy Boundary</x:v>
      </x:c>
      <x:c r="L2" s="4" t="str">
        <x:v>D5-5a Stepwise Gold Answer: Pump Pressure–Head–Power–Energy Boundary</x:v>
      </x:c>
      <x:c r="M2" s="4" t="str">
        <x:v>D5-5a Stepwise Gold Answer: Pump Pressure–Head–Power–Energy Boundary</x:v>
      </x:c>
      <x:c r="N2" s="4" t="str">
        <x:v>D5-5a Stepwise Gold Answer: Pump Pressure–Head–Power–Energy Boundary</x:v>
      </x:c>
      <x:c r="O2" s="4" t="str">
        <x:v>D5-5a Stepwise Gold Answer: Pump Pressure–Head–Power–Energy Boundary</x:v>
      </x:c>
      <x:c r="P2" s="4" t="str">
        <x:v>D5-5a Stepwise Gold Answer: Pump Pressure–Head–Power–Energy Boundary</x:v>
      </x:c>
      <x:c r="Q2" s="4" t="str">
        <x:v>D5-5a Stepwise Gold Answer: Pump Pressure–Head–Power–Energy Boundary</x:v>
      </x:c>
      <x:c r="R2" s="4" t="str">
        <x:v>D5-5a Stepwise Gold Answer: Pump Pressure–Head–Power–Energy Boundary</x:v>
      </x:c>
      <x:c r="S2" s="4" t="str">
        <x:v>D5-5a Stepwise Gold Answer: Pump Pressure–Head–Power–Energy Boundary</x:v>
      </x:c>
    </x:row>
    <x:row r="4" ht="25" customHeight="1">
      <x:c r="A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B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C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D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E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F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G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H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I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J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K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L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M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N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O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P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Q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R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S4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</x:row>
    <x:row r="5" ht="25" customHeight="1">
      <x:c r="A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B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C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D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E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F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G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H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I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J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K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L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M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N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O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P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Q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R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S5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</x:row>
    <x:row r="6" ht="25" customHeight="1">
      <x:c r="A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B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C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D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E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F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G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H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I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J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K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L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M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N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O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P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Q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R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  <x:c r="S6" s="29" t="str">
        <x:v>Reference efficient trajectory: eight simulate_swro_system calls at 55.0 → 70.0 → 65.0 → 67.5 → 67.7 → 67.8 → 70.2 → 70.3 bar. Other rational adaptive orders are acceptable, but both adjacent 0.1-bar fail/pass pairs and simulation-based energy calculations are required.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5" customHeight="1">
      <x:c r="A10" s="20" t="str">
        <x:v>1 Baseline</x:v>
      </x:c>
      <x:c r="B10" s="20" t="str">
        <x:v>Pressure requirement unknown</x:v>
      </x:c>
      <x:c r="C10" s="20" t="str">
        <x:v>55 bar</x:v>
      </x:c>
      <x:c r="D10" s="20" t="str">
        <x:v>Product 7,162.5 m³/d</x:v>
      </x:c>
      <x:c r="E10" s="20" t="str">
        <x:v>Clearly fails</x:v>
      </x:c>
      <x:c r="F10" s="20" t="str">
        <x:v>Test higher pressure</x:v>
      </x:c>
      <x:c r="G10" s="20" t="str">
        <x:v>Problem diagnosis</x:v>
      </x:c>
    </x:row>
    <x:row r="11" ht="45" customHeight="1">
      <x:c r="A11" s="20" t="str">
        <x:v>2 Bracket</x:v>
      </x:c>
      <x:c r="B11" s="20" t="str">
        <x:v>Lower point fails</x:v>
      </x:c>
      <x:c r="C11" s="20" t="str">
        <x:v>70 bar</x:v>
      </x:c>
      <x:c r="D11" s="20" t="str">
        <x:v>10,448.99 m³/d</x:v>
      </x:c>
      <x:c r="E11" s="20" t="str">
        <x:v>Basic passes; margin fails</x:v>
      </x:c>
      <x:c r="F11" s="20" t="str">
        <x:v>Back-check lower pressure</x:v>
      </x:c>
      <x:c r="G11" s="20" t="str">
        <x:v>Plan→Observe</x:v>
      </x:c>
    </x:row>
    <x:row r="12" ht="45" customHeight="1">
      <x:c r="A12" s="20" t="str">
        <x:v>3 Coarse basic</x:v>
      </x:c>
      <x:c r="B12" s="20" t="str">
        <x:v>55 fail / 70 pass</x:v>
      </x:c>
      <x:c r="C12" s="20" t="str">
        <x:v>65→67.5 bar</x:v>
      </x:c>
      <x:c r="D12" s="20" t="str">
        <x:v>9,424.99→9,946.74 m³/d</x:v>
      </x:c>
      <x:c r="E12" s="20" t="str">
        <x:v>Basic boundary in 67.5–70</x:v>
      </x:c>
      <x:c r="F12" s="20" t="str">
        <x:v>Refine to 0.1 bar</x:v>
      </x:c>
      <x:c r="G12" s="20" t="str">
        <x:v>Adaptive search</x:v>
      </x:c>
    </x:row>
    <x:row r="13" ht="45" customHeight="1">
      <x:c r="A13" s="20" t="str">
        <x:v>4 Basic limit</x:v>
      </x:c>
      <x:c r="B13" s="20" t="str">
        <x:v>Near 10,000</x:v>
      </x:c>
      <x:c r="C13" s="20" t="str">
        <x:v>67.7→67.8 bar</x:v>
      </x:c>
      <x:c r="D13" s="20" t="str">
        <x:v>9,986.64 fail / 10,007.05 pass</x:v>
      </x:c>
      <x:c r="E13" s="20" t="str">
        <x:v>Minimum basic pressure=67.8 bar</x:v>
      </x:c>
      <x:c r="F13" s="20" t="str">
        <x:v>Switch to 5% margin</x:v>
      </x:c>
      <x:c r="G13" s="20" t="str">
        <x:v>Boundary proof</x:v>
      </x:c>
    </x:row>
    <x:row r="14" ht="45" customHeight="1">
      <x:c r="A14" s="20" t="str">
        <x:v>5 Recommended limit</x:v>
      </x:c>
      <x:c r="B14" s="20" t="str">
        <x:v>70 bar below 10,500</x:v>
      </x:c>
      <x:c r="C14" s="20" t="str">
        <x:v>70.2→70.3 bar</x:v>
      </x:c>
      <x:c r="D14" s="20" t="str">
        <x:v>10,488.51 fail / 10,508.23 pass</x:v>
      </x:c>
      <x:c r="E14" s="20" t="str">
        <x:v>Minimum recommended pressure=70.3 bar</x:v>
      </x:c>
      <x:c r="F14" s="20" t="str">
        <x:v>Calculate head and energy</x:v>
      </x:c>
      <x:c r="G14" s="20" t="str">
        <x:v>Target switch</x:v>
      </x:c>
    </x:row>
    <x:row r="15" ht="45" customHeight="1">
      <x:c r="A15" s="20" t="str">
        <x:v>6 Decision</x:v>
      </x:c>
      <x:c r="B15" s="20" t="str">
        <x:v>Both boundaries locked</x:v>
      </x:c>
      <x:c r="C15" s="20" t="str">
        <x:v>Summarize P1/P2/SEC</x:v>
      </x:c>
      <x:c r="D15" s="20" t="str">
        <x:v>Head 679.5 m; P1=1,028.9 kW</x:v>
      </x:c>
      <x:c r="E15" s="20" t="str">
        <x:v>Select 1.2 MW HPP motor</x:v>
      </x:c>
      <x:c r="F15" s="20" t="str">
        <x:v>Stop</x:v>
      </x:c>
      <x:c r="G15" s="20" t="str">
        <x:v>Engineering decision</x:v>
      </x:c>
    </x:row>
    <x:row r="18">
      <x:c r="A18" s="11" t="str">
        <x:v>Eight actual simulate_swro_system calls</x:v>
      </x:c>
      <x:c r="B18" s="11" t="str">
        <x:v>Eight actual simulate_swro_system calls</x:v>
      </x:c>
      <x:c r="C18" s="11" t="str">
        <x:v>Eight actual simulate_swro_system calls</x:v>
      </x:c>
      <x:c r="D18" s="11" t="str">
        <x:v>Eight actual simulate_swro_system calls</x:v>
      </x:c>
      <x:c r="E18" s="11" t="str">
        <x:v>Eight actual simulate_swro_system calls</x:v>
      </x:c>
      <x:c r="F18" s="11" t="str">
        <x:v>Eight actual simulate_swro_system calls</x:v>
      </x:c>
      <x:c r="G18" s="11" t="str">
        <x:v>Eight actual simulate_swro_system calls</x:v>
      </x:c>
      <x:c r="H18" s="11" t="str">
        <x:v>Eight actual simulate_swro_system calls</x:v>
      </x:c>
      <x:c r="I18" s="11" t="str">
        <x:v>Eight actual simulate_swro_system calls</x:v>
      </x:c>
      <x:c r="J18" s="11" t="str">
        <x:v>Eight actual simulate_swro_system calls</x:v>
      </x:c>
      <x:c r="K18" s="11" t="str">
        <x:v>Eight actual simulate_swro_system calls</x:v>
      </x:c>
      <x:c r="L18" s="11" t="str">
        <x:v>Eight actual simulate_swro_system calls</x:v>
      </x:c>
      <x:c r="M18" s="11" t="str">
        <x:v>Eight actual simulate_swro_system calls</x:v>
      </x:c>
      <x:c r="N18" s="11" t="str">
        <x:v>Eight actual simulate_swro_system calls</x:v>
      </x:c>
      <x:c r="O18" s="11" t="str">
        <x:v>Eight actual simulate_swro_system calls</x:v>
      </x:c>
    </x:row>
    <x:row r="19">
      <x:c r="A19" s="17" t="str">
        <x:v>Call</x:v>
      </x:c>
      <x:c r="B19" s="17" t="str">
        <x:v>P1 outlet bar(a)</x:v>
      </x:c>
      <x:c r="C19" s="17" t="str">
        <x:v>Product m³/s</x:v>
      </x:c>
      <x:c r="D19" s="17" t="str">
        <x:v>Product m³/d</x:v>
      </x:c>
      <x:c r="E19" s="17" t="str">
        <x:v>System recovery %</x:v>
      </x:c>
      <x:c r="F19" s="17" t="str">
        <x:v>P1 power kW</x:v>
      </x:c>
      <x:c r="G19" s="17" t="str">
        <x:v>P2 power kW</x:v>
      </x:c>
      <x:c r="H19" s="17" t="str">
        <x:v>Pump-train kW</x:v>
      </x:c>
      <x:c r="I19" s="17" t="str">
        <x:v>SEC kWh/m³</x:v>
      </x:c>
      <x:c r="J19" s="17" t="str">
        <x:v>Net plant kW</x:v>
      </x:c>
      <x:c r="K19" s="17" t="str">
        <x:v>Head m SW</x:v>
      </x:c>
      <x:c r="L19" s="17" t="str">
        <x:v>LCOW $/m³</x:v>
      </x:c>
      <x:c r="M19" s="17" t="str">
        <x:v>Basic ≥10k</x:v>
      </x:c>
      <x:c r="N19" s="17" t="str">
        <x:v>Margin ≥10.5k</x:v>
      </x:c>
      <x:c r="O19" s="17" t="str">
        <x:v>Observation/decision</x:v>
      </x:c>
      <x:c r="Q19" t="str">
        <x:v>Pressure bar(a)</x:v>
      </x:c>
      <x:c r="R19" t="str">
        <x:v>Product m³/d</x:v>
      </x:c>
      <x:c r="S19" t="str">
        <x:v>Margin target</x:v>
      </x:c>
    </x:row>
    <x:row r="20" ht="29" customHeight="1">
      <x:c r="A20" s="20" t="n">
        <x:v>1</x:v>
      </x:c>
      <x:c r="B20" s="30" t="n">
        <x:v>55</x:v>
      </x:c>
      <x:c r="C20" s="31" t="n">
        <x:v>0.08289973469659856</x:v>
      </x:c>
      <x:c r="D20" s="32" t="n">
        <x:f>C20*86400</x:f>
        <x:v>7162.537077786115</x:v>
      </x:c>
      <x:c r="E20" s="21" t="n">
        <x:v>27.633244898866188</x:v>
      </x:c>
      <x:c r="F20" s="33" t="n">
        <x:v>546.5545797867034</x:v>
      </x:c>
      <x:c r="G20" s="33" t="n">
        <x:v>117.77219436527542</x:v>
      </x:c>
      <x:c r="H20" s="33" t="n">
        <x:f>F20+G20</x:f>
        <x:v>664.3267741519787</x:v>
      </x:c>
      <x:c r="I20" s="33" t="n">
        <x:v>2.6345798894068784</x:v>
      </x:c>
      <x:c r="J20" s="33" t="n">
        <x:f>C20*3600*I20</x:f>
        <x:v>786.2615059277671</x:v>
      </x:c>
      <x:c r="K20" s="33" t="n">
        <x:f>(B20-2)*100000/(1025*9.80665)</x:f>
        <x:v>527.2678954910264</x:v>
      </x:c>
      <x:c r="L20" s="34" t="n">
        <x:v>1.06831008419394</x:v>
      </x:c>
      <x:c r="M20" s="20" t="str">
        <x:f>IF(D20&gt;=10000,"PASS","FAIL")</x:f>
        <x:v>FAIL</x:v>
      </x:c>
      <x:c r="N20" s="20" t="str">
        <x:f>IF(D20&gt;=10500,"PASS","FAIL")</x:f>
        <x:v>FAIL</x:v>
      </x:c>
      <x:c r="O20" s="20" t="str">
        <x:v>Low-pressure baseline; production clearly short</x:v>
      </x:c>
      <x:c r="Q20" t="n">
        <x:v>55</x:v>
      </x:c>
      <x:c r="R20" t="n">
        <x:v>7162.537077786115</x:v>
      </x:c>
      <x:c r="S20" t="n">
        <x:v>10500</x:v>
      </x:c>
    </x:row>
    <x:row r="21" ht="29" customHeight="1">
      <x:c r="A21" s="20" t="n">
        <x:v>2</x:v>
      </x:c>
      <x:c r="B21" s="30" t="n">
        <x:v>70</x:v>
      </x:c>
      <x:c r="C21" s="31" t="n">
        <x:v>0.12093742862053568</x:v>
      </x:c>
      <x:c r="D21" s="32" t="n">
        <x:f>C21*86400</x:f>
        <x:v>10448.993832814283</x:v>
      </x:c>
      <x:c r="E21" s="21" t="n">
        <x:v>40.312476206845226</x:v>
      </x:c>
      <x:c r="F21" s="33" t="n">
        <x:v>1018.6508786361861</x:v>
      </x:c>
      <x:c r="G21" s="33" t="n">
        <x:v>105.65673371397318</x:v>
      </x:c>
      <x:c r="H21" s="33" t="n">
        <x:f>F21+G21</x:f>
        <x:v>1124.3076123501594</x:v>
      </x:c>
      <x:c r="I21" s="33" t="n">
        <x:v>2.9904929710507826</x:v>
      </x:c>
      <x:c r="J21" s="33" t="n">
        <x:f>C21*3600*I21</x:f>
        <x:v>1301.9851088160037</x:v>
      </x:c>
      <x:c r="K21" s="33" t="n">
        <x:f>(B21-2)*100000/(1025*9.80665)</x:f>
        <x:v>676.4946583658451</x:v>
      </x:c>
      <x:c r="L21" s="34" t="n">
        <x:v>0.8628143467682968</x:v>
      </x:c>
      <x:c r="M21" s="20" t="str">
        <x:f>IF(D21&gt;=10000,"PASS","FAIL")</x:f>
        <x:v>PASS</x:v>
      </x:c>
      <x:c r="N21" s="20" t="str">
        <x:f>IF(D21&gt;=10500,"PASS","FAIL")</x:f>
        <x:v>FAIL</x:v>
      </x:c>
      <x:c r="O21" s="20" t="str">
        <x:v>Basic target passes; 5% margin still short</x:v>
      </x:c>
      <x:c r="Q21" t="n">
        <x:v>65</x:v>
      </x:c>
      <x:c r="R21" t="n">
        <x:v>9425.002183401635</x:v>
      </x:c>
      <x:c r="S21" t="n">
        <x:v>10500</x:v>
      </x:c>
    </x:row>
    <x:row r="22" ht="29" customHeight="1">
      <x:c r="A22" s="20" t="n">
        <x:v>3</x:v>
      </x:c>
      <x:c r="B22" s="30" t="n">
        <x:v>65</x:v>
      </x:c>
      <x:c r="C22" s="31" t="n">
        <x:v>0.1090856734190004</x:v>
      </x:c>
      <x:c r="D22" s="32" t="n">
        <x:f>C22*86400</x:f>
        <x:v>9425.002183401635</x:v>
      </x:c>
      <x:c r="E22" s="21" t="n">
        <x:v>36.3618911396668</x:v>
      </x:c>
      <x:c r="F22" s="33" t="n">
        <x:v>852.2962294193236</x:v>
      </x:c>
      <x:c r="G22" s="33" t="n">
        <x:v>109.46141028878426</x:v>
      </x:c>
      <x:c r="H22" s="33" t="n">
        <x:f>F22+G22</x:f>
        <x:v>961.7576397081078</x:v>
      </x:c>
      <x:c r="I22" s="33" t="n">
        <x:v>2.8572517911142854</x:v>
      </x:c>
      <x:c r="J22" s="33" t="n">
        <x:f>C22*3600*I22</x:f>
        <x:v>1122.0668487408489</x:v>
      </x:c>
      <x:c r="K22" s="33" t="n">
        <x:f>(B22-2)*100000/(1025*9.80665)</x:f>
        <x:v>626.7524040742388</x:v>
      </x:c>
      <x:c r="L22" s="34" t="n">
        <x:v>0.9068948571929929</x:v>
      </x:c>
      <x:c r="M22" s="20" t="str">
        <x:f>IF(D22&gt;=10000,"PASS","FAIL")</x:f>
        <x:v>FAIL</x:v>
      </x:c>
      <x:c r="N22" s="20" t="str">
        <x:f>IF(D22&gt;=10500,"PASS","FAIL")</x:f>
        <x:v>FAIL</x:v>
      </x:c>
      <x:c r="O22" s="20" t="str">
        <x:v>Move upward to narrow the basic bracket</x:v>
      </x:c>
      <x:c r="Q22" t="n">
        <x:v>67.5</x:v>
      </x:c>
      <x:c r="R22" t="n">
        <x:v>9945.739721932112</x:v>
      </x:c>
      <x:c r="S22" t="n">
        <x:v>10500</x:v>
      </x:c>
    </x:row>
    <x:row r="23" ht="29" customHeight="1">
      <x:c r="A23" s="20" t="n">
        <x:v>4</x:v>
      </x:c>
      <x:c r="B23" s="30" t="n">
        <x:v>67.5</x:v>
      </x:c>
      <x:c r="C23" s="31" t="n">
        <x:v>0.11511272826310315</x:v>
      </x:c>
      <x:c r="D23" s="32" t="n">
        <x:f>C23*86400</x:f>
        <x:v>9945.739721932112</x:v>
      </x:c>
      <x:c r="E23" s="21" t="n">
        <x:v>38.37090942103438</x:v>
      </x:c>
      <x:c r="F23" s="33" t="n">
        <x:v>934.4898086499375</x:v>
      </x:c>
      <x:c r="G23" s="33" t="n">
        <x:v>107.53169598788175</x:v>
      </x:c>
      <x:c r="H23" s="33" t="n">
        <x:f>F23+G23</x:f>
        <x:v>1042.0215046378191</x:v>
      </x:c>
      <x:c r="I23" s="33" t="n">
        <x:v>2.922649888472747</x:v>
      </x:c>
      <x:c r="J23" s="33" t="n">
        <x:f>C23*3600*I23</x:f>
        <x:v>1211.1631287118275</x:v>
      </x:c>
      <x:c r="K23" s="33" t="n">
        <x:f>(B23-2)*100000/(1025*9.80665)</x:f>
        <x:v>651.623531220042</x:v>
      </x:c>
      <x:c r="L23" s="34" t="n">
        <x:v>0.8827933669668052</x:v>
      </x:c>
      <x:c r="M23" s="20" t="str">
        <x:f>IF(D23&gt;=10000,"PASS","FAIL")</x:f>
        <x:v>FAIL</x:v>
      </x:c>
      <x:c r="N23" s="20" t="str">
        <x:f>IF(D23&gt;=10500,"PASS","FAIL")</x:f>
        <x:v>FAIL</x:v>
      </x:c>
      <x:c r="O23" s="20" t="str">
        <x:v>Near 10,000 m³/d but still short</x:v>
      </x:c>
      <x:c r="Q23" t="n">
        <x:v>67.7</x:v>
      </x:c>
      <x:c r="R23" t="n">
        <x:v>9986.639234496115</x:v>
      </x:c>
      <x:c r="S23" t="n">
        <x:v>10500</x:v>
      </x:c>
    </x:row>
    <x:row r="24" ht="29" customHeight="1">
      <x:c r="A24" s="20" t="n">
        <x:v>5</x:v>
      </x:c>
      <x:c r="B24" s="30" t="n">
        <x:v>67.7</x:v>
      </x:c>
      <x:c r="C24" s="31" t="n">
        <x:v>0.11558610225111245</x:v>
      </x:c>
      <x:c r="D24" s="32" t="n">
        <x:f>C24*86400</x:f>
        <x:v>9986.639234496115</x:v>
      </x:c>
      <x:c r="E24" s="21" t="n">
        <x:v>38.52870075037082</x:v>
      </x:c>
      <x:c r="F24" s="33" t="n">
        <x:v>941.1523546188822</x:v>
      </x:c>
      <x:c r="G24" s="33" t="n">
        <x:v>107.37971455300341</x:v>
      </x:c>
      <x:c r="H24" s="33" t="n">
        <x:f>F24+G24</x:f>
        <x:v>1048.5320691718857</x:v>
      </x:c>
      <x:c r="I24" s="33" t="n">
        <x:v>2.927993794551967</x:v>
      </x:c>
      <x:c r="J24" s="33" t="n">
        <x:f>C24*3600*I24</x:f>
        <x:v>1218.367404459743</x:v>
      </x:c>
      <x:c r="K24" s="33" t="n">
        <x:f>(B24-2)*100000/(1025*9.80665)</x:f>
        <x:v>653.6132213917062</x:v>
      </x:c>
      <x:c r="L24" s="34" t="n">
        <x:v>0.8810539554063296</x:v>
      </x:c>
      <x:c r="M24" s="20" t="str">
        <x:f>IF(D24&gt;=10000,"PASS","FAIL")</x:f>
        <x:v>FAIL</x:v>
      </x:c>
      <x:c r="N24" s="20" t="str">
        <x:f>IF(D24&gt;=10500,"PASS","FAIL")</x:f>
        <x:v>FAIL</x:v>
      </x:c>
      <x:c r="O24" s="20" t="str">
        <x:v>Basic-boundary fail</x:v>
      </x:c>
      <x:c r="Q24" t="n">
        <x:v>67.8</x:v>
      </x:c>
      <x:c r="R24" t="n">
        <x:v>10007.04707082805</x:v>
      </x:c>
      <x:c r="S24" t="n">
        <x:v>10500</x:v>
      </x:c>
    </x:row>
    <x:row r="25" ht="29" customHeight="1">
      <x:c r="A25" s="20" t="n">
        <x:v>6</x:v>
      </x:c>
      <x:c r="B25" s="30" t="n">
        <x:v>67.8</x:v>
      </x:c>
      <x:c r="C25" s="31" t="n">
        <x:v>0.11582230406050985</x:v>
      </x:c>
      <x:c r="D25" s="32" t="n">
        <x:f>C25*86400</x:f>
        <x:v>10007.04707082805</x:v>
      </x:c>
      <x:c r="E25" s="21" t="n">
        <x:v>38.60743468683662</x:v>
      </x:c>
      <x:c r="F25" s="33" t="n">
        <x:v>944.4883227721248</x:v>
      </x:c>
      <x:c r="G25" s="33" t="n">
        <x:v>107.30385487492207</x:v>
      </x:c>
      <x:c r="H25" s="33" t="n">
        <x:f>F25+G25</x:f>
        <x:v>1051.7921776470469</x:v>
      </x:c>
      <x:c r="I25" s="33" t="n">
        <x:v>2.930671513081621</x:v>
      </x:c>
      <x:c r="J25" s="33" t="n">
        <x:f>C25*3600*I25</x:f>
        <x:v>1221.9736575226104</x:v>
      </x:c>
      <x:c r="K25" s="33" t="n">
        <x:f>(B25-2)*100000/(1025*9.80665)</x:f>
        <x:v>654.6080664775384</x:v>
      </x:c>
      <x:c r="L25" s="34" t="n">
        <x:v>0.8801939748605141</x:v>
      </x:c>
      <x:c r="M25" s="20" t="str">
        <x:f>IF(D25&gt;=10000,"PASS","FAIL")</x:f>
        <x:v>PASS</x:v>
      </x:c>
      <x:c r="N25" s="20" t="str">
        <x:f>IF(D25&gt;=10500,"PASS","FAIL")</x:f>
        <x:v>FAIL</x:v>
      </x:c>
      <x:c r="O25" s="20" t="str">
        <x:v>Basic-boundary pass</x:v>
      </x:c>
      <x:c r="Q25" t="n">
        <x:v>70</x:v>
      </x:c>
      <x:c r="R25" t="n">
        <x:v>10448.993832814283</x:v>
      </x:c>
      <x:c r="S25" t="n">
        <x:v>10500</x:v>
      </x:c>
    </x:row>
    <x:row r="26" ht="29" customHeight="1">
      <x:c r="A26" s="20" t="n">
        <x:v>7</x:v>
      </x:c>
      <x:c r="B26" s="30" t="n">
        <x:v>70.2</x:v>
      </x:c>
      <x:c r="C26" s="31" t="n">
        <x:v>0.12139477747389343</x:v>
      </x:c>
      <x:c r="D26" s="32" t="n">
        <x:f>C26*86400</x:f>
        <x:v>10488.508773744392</x:v>
      </x:c>
      <x:c r="E26" s="21" t="n">
        <x:v>40.46492582463115</x:v>
      </x:c>
      <x:c r="F26" s="33" t="n">
        <x:v>1025.464164784383</x:v>
      </x:c>
      <x:c r="G26" s="33" t="n">
        <x:v>105.50903320867211</x:v>
      </x:c>
      <x:c r="H26" s="33" t="n">
        <x:f>F26+G26</x:f>
        <x:v>1130.973197993055</x:v>
      </x:c>
      <x:c r="I26" s="33" t="n">
        <x:v>2.9960123782032424</x:v>
      </x:c>
      <x:c r="J26" s="33" t="n">
        <x:f>C26*3600*I26</x:f>
        <x:v>1309.3209214596463</x:v>
      </x:c>
      <x:c r="K26" s="33" t="n">
        <x:f>(B26-2)*100000/(1025*9.80665)</x:f>
        <x:v>678.4843485375094</x:v>
      </x:c>
      <x:c r="L26" s="34" t="n">
        <x:v>0.8613715605894582</x:v>
      </x:c>
      <x:c r="M26" s="20" t="str">
        <x:f>IF(D26&gt;=10000,"PASS","FAIL")</x:f>
        <x:v>PASS</x:v>
      </x:c>
      <x:c r="N26" s="20" t="str">
        <x:f>IF(D26&gt;=10500,"PASS","FAIL")</x:f>
        <x:v>FAIL</x:v>
      </x:c>
      <x:c r="O26" s="20" t="str">
        <x:v>5%-margin boundary fail</x:v>
      </x:c>
      <x:c r="Q26" t="n">
        <x:v>70.2</x:v>
      </x:c>
      <x:c r="R26" t="n">
        <x:v>10488.508773744392</x:v>
      </x:c>
      <x:c r="S26" t="n">
        <x:v>10500</x:v>
      </x:c>
    </x:row>
    <x:row r="27" ht="29" customHeight="1">
      <x:c r="A27" s="20" t="n">
        <x:v>8</x:v>
      </x:c>
      <x:c r="B27" s="30" t="n">
        <x:v>70.3</x:v>
      </x:c>
      <x:c r="C27" s="31" t="n">
        <x:v>0.12162297631187835</x:v>
      </x:c>
      <x:c r="D27" s="32" t="n">
        <x:f>C27*86400</x:f>
        <x:v>10508.22515334629</x:v>
      </x:c>
      <x:c r="E27" s="21" t="n">
        <x:v>40.540992103959454</x:v>
      </x:c>
      <x:c r="F27" s="33" t="n">
        <x:v>1028.8751416265702</x:v>
      </x:c>
      <x:c r="G27" s="33" t="n">
        <x:v>105.43530848020237</x:v>
      </x:c>
      <x:c r="H27" s="33" t="n">
        <x:f>F27+G27</x:f>
        <x:v>1134.3104501067726</x:v>
      </x:c>
      <x:c r="I27" s="33" t="n">
        <x:v>2.998776834618187</x:v>
      </x:c>
      <x:c r="J27" s="33" t="n">
        <x:f>C27*3600*I27</x:f>
        <x:v>1312.9925901169584</x:v>
      </x:c>
      <x:c r="K27" s="33" t="n">
        <x:f>(B27-2)*100000/(1025*9.80665)</x:f>
        <x:v>679.4791936233414</x:v>
      </x:c>
      <x:c r="L27" s="34" t="n">
        <x:v>0.860658219725923</x:v>
      </x:c>
      <x:c r="M27" s="20" t="str">
        <x:f>IF(D27&gt;=10000,"PASS","FAIL")</x:f>
        <x:v>PASS</x:v>
      </x:c>
      <x:c r="N27" s="20" t="str">
        <x:f>IF(D27&gt;=10500,"PASS","FAIL")</x:f>
        <x:v>PASS</x:v>
      </x:c>
      <x:c r="O27" s="20" t="str">
        <x:v>5%-margin boundary pass; recommended</x:v>
      </x:c>
      <x:c r="Q27" t="n">
        <x:v>70.3</x:v>
      </x:c>
      <x:c r="R27" t="n">
        <x:v>10508.22515334629</x:v>
      </x:c>
      <x:c r="S27" t="n">
        <x:v>10500</x:v>
      </x:c>
    </x:row>
    <x:row r="30">
      <x:c r="A30" s="11" t="str">
        <x:v>Boundary, head and energy results</x:v>
      </x:c>
      <x:c r="B30" s="11" t="str">
        <x:v>Boundary, head and energy results</x:v>
      </x:c>
      <x:c r="C30" s="11" t="str">
        <x:v>Boundary, head and energy results</x:v>
      </x:c>
      <x:c r="D30" s="11" t="str">
        <x:v>Boundary, head and energy results</x:v>
      </x:c>
      <x:c r="E30" s="11" t="str">
        <x:v>Boundary, head and energy results</x:v>
      </x:c>
      <x:c r="F30" s="11" t="str">
        <x:v>Boundary, head and energy results</x:v>
      </x:c>
      <x:c r="G30" s="11" t="str">
        <x:v>Boundary, head and energy results</x:v>
      </x:c>
      <x:c r="I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0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  <x:row r="31">
      <x:c r="A31" s="17" t="str">
        <x:v>Item</x:v>
      </x:c>
      <x:c r="B31" s="17" t="str">
        <x:v>Fail point</x:v>
      </x:c>
      <x:c r="C31" s="17" t="str">
        <x:v>Pass/recommended point</x:v>
      </x:c>
      <x:c r="D31" s="17" t="str">
        <x:v>ΔP bar</x:v>
      </x:c>
      <x:c r="E31" s="17" t="str">
        <x:v>Head m</x:v>
      </x:c>
      <x:c r="F31" s="17" t="str">
        <x:v>Power/energy</x:v>
      </x:c>
      <x:c r="G31" s="17" t="str">
        <x:v>Conclusion</x:v>
      </x:c>
      <x:c r="I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1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  <x:row r="32" ht="42" customHeight="1">
      <x:c r="A32" s="20" t="str">
        <x:v>Basic production limit</x:v>
      </x:c>
      <x:c r="B32" s="20" t="str">
        <x:v>67.7 bar / 9,986.64 m³/d</x:v>
      </x:c>
      <x:c r="C32" s="20" t="str">
        <x:v>67.8 bar / 10,007.05 m³/d</x:v>
      </x:c>
      <x:c r="D32" s="21" t="n">
        <x:f>67.8-2</x:f>
        <x:v>65.8</x:v>
      </x:c>
      <x:c r="E32" s="21" t="n">
        <x:f>D32*100000/(1025*9.80665)</x:f>
        <x:v>654.6080664775384</x:v>
      </x:c>
      <x:c r="F32" s="20" t="str">
        <x:v>P1=944.49 kW; SEC=2.931</x:v>
      </x:c>
      <x:c r="G32" s="20" t="str">
        <x:v>Minimum basic pressure 67.8 bar(a)</x:v>
      </x:c>
      <x:c r="I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2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  <x:row r="33" ht="42" customHeight="1">
      <x:c r="A33" s="20" t="str">
        <x:v>Recommended 5% margin</x:v>
      </x:c>
      <x:c r="B33" s="20" t="str">
        <x:v>70.2 bar / 10,488.51 m³/d</x:v>
      </x:c>
      <x:c r="C33" s="20" t="str">
        <x:v>70.3 bar / 10,508.23 m³/d</x:v>
      </x:c>
      <x:c r="D33" s="21" t="n">
        <x:f>70.3-2</x:f>
        <x:v>68.3</x:v>
      </x:c>
      <x:c r="E33" s="21" t="n">
        <x:f>D33*100000/(1025*9.80665)</x:f>
        <x:v>679.4791936233414</x:v>
      </x:c>
      <x:c r="F33" s="20" t="str">
        <x:v>P1=1,028.88 kW; P2=105.44 kW</x:v>
      </x:c>
      <x:c r="G33" s="20" t="str">
        <x:v>Minimum recommended pressure 70.3 bar(a)</x:v>
      </x:c>
      <x:c r="I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3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  <x:row r="34" ht="42" customHeight="1">
      <x:c r="A34" s="20" t="str">
        <x:v>Recommended pump train</x:v>
      </x:c>
      <x:c r="B34" s="20" t="str">
        <x:v>-</x:v>
      </x:c>
      <x:c r="C34" s="20" t="str">
        <x:v>-</x:v>
      </x:c>
      <x:c r="D34" s="20" t="str">
        <x:v>-</x:v>
      </x:c>
      <x:c r="E34" s="20" t="str">
        <x:v>-</x:v>
      </x:c>
      <x:c r="F34" s="20" t="str">
        <x:v>P1+P2=1,134.31 kW</x:v>
      </x:c>
      <x:c r="G34" s="20" t="str">
        <x:v>Required HPP motor=1,131.76 kW</x:v>
      </x:c>
      <x:c r="I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4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  <x:row r="35" ht="42" customHeight="1">
      <x:c r="A35" s="20" t="str">
        <x:v>Motor selection</x:v>
      </x:c>
      <x:c r="B35" s="20" t="str">
        <x:v>-</x:v>
      </x:c>
      <x:c r="C35" s="20" t="str">
        <x:v>-</x:v>
      </x:c>
      <x:c r="D35" s="20" t="str">
        <x:v>-</x:v>
      </x:c>
      <x:c r="E35" s="20" t="str">
        <x:v>-</x:v>
      </x:c>
      <x:c r="F35" s="20" t="str">
        <x:v>Select standard 1.2 MW at 10% margin</x:v>
      </x:c>
      <x:c r="G35" s="20" t="str">
        <x:v>Steady-state power sizing only</x:v>
      </x:c>
      <x:c r="I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5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  <x:row r="36" ht="42" customHeight="1">
      <x:c r="A36" s="20" t="str">
        <x:v>Net plant energy</x:v>
      </x:c>
      <x:c r="B36" s="20" t="str">
        <x:v>-</x:v>
      </x:c>
      <x:c r="C36" s="20" t="str">
        <x:v>-</x:v>
      </x:c>
      <x:c r="D36" s="20" t="str">
        <x:v>-</x:v>
      </x:c>
      <x:c r="E36" s="20" t="str">
        <x:v>-</x:v>
      </x:c>
      <x:c r="F36" s="20" t="str">
        <x:v>1,312.99 kW; SEC=2.9988; 31,511.82 kWh/d</x:v>
      </x:c>
      <x:c r="G36" s="20" t="str">
        <x:v>Net plant electricity with PX</x:v>
      </x:c>
      <x:c r="I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J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K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L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M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N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  <x:c r="O36" s="29" t="str">
        <x:v>Final conclusion
Basic contract point: 67.8 bar(a), 654.6 m seawater head, product 10,007.05 m³/d.
Recommended point: 70.3 bar(a), 679.5 m head, product 10,508.23 m³/d; P1=1,028.88 kW, P2=105.44 kW, combined pump power=1,134.31 kW. With 10% margin P1 requires 1,131.76 kW, so select a 1.2 MW motor. Net plant power=1,312.99 kW, SEC=2.9988 kWh/m³ and daily energy=31,511.82 kWh/d.</x:v>
      </x:c>
    </x:row>
  </x:sheetData>
  <x:mergeCells>
    <x:mergeCell ref="A1:S2"/>
    <x:mergeCell ref="A4:S6"/>
    <x:mergeCell ref="A8:G8"/>
    <x:mergeCell ref="A18:O18"/>
    <x:mergeCell ref="A30:G30"/>
    <x:mergeCell ref="I30:O36"/>
  </x:mergeCells>
  <x:conditionalFormatting sqref="M20:N27">
    <x:cfRule type="expression" dxfId="0" priority="1">
      <x:formula>M20="PASS"</x:formula>
    </x:cfRule>
    <x:cfRule type="expression" dxfId="1" priority="2">
      <x:formula>M20="FAIL"</x:formula>
    </x:cfRule>
  </x:conditionalFormatting>
  <x:pageMargins left="0.7" right="0.7" top="0.75" bottom="0.75" header="0.3" footer="0.3"/>
  <x:drawing xmlns:r="http://schemas.openxmlformats.org/officeDocument/2006/relationships" r:id="Rbbde93e2a3ac4c2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D5-5a: Trajectory Rubric (100 points)</x:v>
      </x:c>
      <x:c r="B1" s="4" t="str">
        <x:v>D5-5a: Trajectory Rubric (100 points)</x:v>
      </x:c>
      <x:c r="C1" s="4" t="str">
        <x:v>D5-5a: Trajectory Rubric (100 points)</x:v>
      </x:c>
      <x:c r="D1" s="4" t="str">
        <x:v>D5-5a: Trajectory Rubric (100 points)</x:v>
      </x:c>
      <x:c r="E1" s="4" t="str">
        <x:v>D5-5a: Trajectory Rubric (100 points)</x:v>
      </x:c>
      <x:c r="F1" s="4" t="str">
        <x:v>D5-5a: Trajectory Rubric (100 points)</x:v>
      </x:c>
      <x:c r="G1" s="4" t="str">
        <x:v>D5-5a: Trajectory Rubric (100 points)</x:v>
      </x:c>
    </x:row>
    <x:row r="2" ht="26" customHeight="1">
      <x:c r="A2" s="4" t="str">
        <x:v>D5-5a: Trajectory Rubric (100 points)</x:v>
      </x:c>
      <x:c r="B2" s="4" t="str">
        <x:v>D5-5a: Trajectory Rubric (100 points)</x:v>
      </x:c>
      <x:c r="C2" s="4" t="str">
        <x:v>D5-5a: Trajectory Rubric (100 points)</x:v>
      </x:c>
      <x:c r="D2" s="4" t="str">
        <x:v>D5-5a: Trajectory Rubric (100 points)</x:v>
      </x:c>
      <x:c r="E2" s="4" t="str">
        <x:v>D5-5a: Trajectory Rubric (100 points)</x:v>
      </x:c>
      <x:c r="F2" s="4" t="str">
        <x:v>D5-5a: Trajectory Rubric (100 points)</x:v>
      </x:c>
      <x:c r="G2" s="4" t="str">
        <x:v>D5-5a: Trajectory Rubric (100 points)</x:v>
      </x:c>
    </x:row>
    <x:row r="4">
      <x:c r="A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B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C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D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E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F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G4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</x:row>
    <x:row r="5">
      <x:c r="A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B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C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D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E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F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G5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</x:row>
    <x:row r="6">
      <x:c r="A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B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C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D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E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F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  <x:c r="G6" s="25" t="str">
        <x:v>Evaluate whether the agent converts the pump-pressure question into a plant-level production-boundary search and correctly distinguishes pump-train power from net plant energy. Numerical tolerance follows the 0.1-bar boundary and reasonable rounding.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62" customHeight="1">
      <x:c r="A9" s="20" t="str">
        <x:v>TQ1 State representation</x:v>
      </x:c>
      <x:c r="B9" s="20" t="str">
        <x:v>Identify sole decision variable and two production constraints</x:v>
      </x:c>
      <x:c r="C9" s="20" t="str">
        <x:v>Vary only p1_pressure_bar; 10,000 and 10,500 m³/d targets</x:v>
      </x:c>
      <x:c r="D9" s="20" t="str">
        <x:v>Finds goals but mixes margin</x:v>
      </x:c>
      <x:c r="E9" s="20" t="str">
        <x:v>Changes fixed inputs or treats pressure as given</x:v>
      </x:c>
      <x:c r="F9" s="20" t="n">
        <x:v>15</x:v>
      </x:c>
      <x:c r="G9" s="20"/>
    </x:row>
    <x:row r="10" ht="62" customHeight="1">
      <x:c r="A10" s="20" t="str">
        <x:v>TQ2 Planning</x:v>
      </x:c>
      <x:c r="B10" s="20" t="str">
        <x:v>Coarse bracket then refine two boundaries</x:v>
      </x:c>
      <x:c r="C10" s="20" t="str">
        <x:v>Establish direction/bracket, prove both adjacent 0.1-bar pairs</x:v>
      </x:c>
      <x:c r="D10" s="20" t="str">
        <x:v>Iterates but misses one adjacent proof</x:v>
      </x:c>
      <x:c r="E10" s="20" t="str">
        <x:v>Direct formula or dense brute-force scan</x:v>
      </x:c>
      <x:c r="F10" s="20" t="n">
        <x:v>15</x:v>
      </x:c>
      <x:c r="G10" s="20"/>
    </x:row>
    <x:row r="11" ht="62" customHeight="1">
      <x:c r="A11" s="20" t="str">
        <x:v>TQ3 Tool-call correctness</x:v>
      </x:c>
      <x:c r="B11" s="20" t="str">
        <x:v>Correct full-plant tool and invariant inputs</x:v>
      </x:c>
      <x:c r="C11" s="20" t="str">
        <x:v>Use simulate_swro_system with fixed case/PX/efficiencies</x:v>
      </x:c>
      <x:c r="D11" s="20" t="str">
        <x:v>Minor deviations that do not change conclusion</x:v>
      </x:c>
      <x:c r="E11" s="20" t="str">
        <x:v>Uses simulate_ro, wrong units or multiple changing variables</x:v>
      </x:c>
      <x:c r="F11" s="20" t="n">
        <x:v>20</x:v>
      </x:c>
      <x:c r="G11" s="20"/>
    </x:row>
    <x:row r="12" ht="62" customHeight="1">
      <x:c r="A12" s="20" t="str">
        <x:v>TQ4 Observation interpretation</x:v>
      </x:c>
      <x:c r="B12" s="20" t="str">
        <x:v>Update from product, P1/P2 and SEC correctly</x:v>
      </x:c>
      <x:c r="C12" s="20" t="str">
        <x:v>Complete 67.7/67.8 and 70.2/70.3 evidence; distinguish pump vs plant power</x:v>
      </x:c>
      <x:c r="D12" s="20" t="str">
        <x:v>Limits roughly correct but output missing</x:v>
      </x:c>
      <x:c r="E12" s="20" t="str">
        <x:v>Wrong pass/fail or power-basis confusion</x:v>
      </x:c>
      <x:c r="F12" s="20" t="n">
        <x:v>20</x:v>
      </x:c>
      <x:c r="G12" s="20"/>
    </x:row>
    <x:row r="13" ht="62" customHeight="1">
      <x:c r="A13" s="20" t="str">
        <x:v>TQ5 Adaptive replanning</x:v>
      </x:c>
      <x:c r="B13" s="20" t="str">
        <x:v>Let prior result select next call</x:v>
      </x:c>
      <x:c r="C13" s="20" t="str">
        <x:v>55/70 bracket; 65/67.5 narrow; switch target after basic boundary</x:v>
      </x:c>
      <x:c r="D13" s="20" t="str">
        <x:v>Partly adaptive with enumeration</x:v>
      </x:c>
      <x:c r="E13" s="20" t="str">
        <x:v>Sequence ignores feedback</x:v>
      </x:c>
      <x:c r="F13" s="20" t="n">
        <x:v>20</x:v>
      </x:c>
      <x:c r="G13" s="20"/>
    </x:row>
    <x:row r="14" ht="62" customHeight="1">
      <x:c r="A14" s="20" t="str">
        <x:v>TQ6 Engineering decision</x:v>
      </x:c>
      <x:c r="B14" s="20" t="str">
        <x:v>Correct head, motor and energy conversion</x:v>
      </x:c>
      <x:c r="C14" s="20" t="str">
        <x:v>Recommend 70.3 bar, 679.5 m, 1.2 MW motor; report pump/net power, SEC and daily energy</x:v>
      </x:c>
      <x:c r="D14" s="20" t="str">
        <x:v>Mostly correct but one metric missing</x:v>
      </x:c>
      <x:c r="E14" s="20" t="str">
        <x:v>Recommends basic point or omits engineering units</x:v>
      </x:c>
      <x:c r="F14" s="20" t="n">
        <x:v>10</x:v>
      </x:c>
      <x:c r="G14" s="20"/>
    </x:row>
    <x:row r="17">
      <x:c r="A17" s="11" t="str">
        <x:v>Difficulty calibration</x:v>
      </x:c>
      <x:c r="B17" s="11" t="str">
        <x:v>Difficulty calibration</x:v>
      </x:c>
      <x:c r="C17" s="11" t="str">
        <x:v>Difficulty calibration</x:v>
      </x:c>
      <x:c r="D17" s="11" t="str">
        <x:v>Difficulty calibration</x:v>
      </x:c>
      <x:c r="E17" s="11" t="str">
        <x:v>Difficulty calibration</x:v>
      </x:c>
      <x:c r="F17" s="11" t="str">
        <x:v>Difficulty calibration</x:v>
      </x:c>
      <x:c r="G17" s="11" t="str">
        <x:v>Difficulty calibration</x:v>
      </x:c>
    </x:row>
    <x:row r="18">
      <x:c r="A18" s="20" t="str">
        <x:v>Reference call budget</x:v>
      </x:c>
      <x:c r="B18" s="20" t="str">
        <x:v>About eight high-information calls</x:v>
      </x:c>
      <x:c r="C18" s="20" t="str">
        <x:v>Adaptive two-boundary search comparable to D5_5a</x:v>
      </x:c>
      <x:c r="D18" s="20"/>
      <x:c r="E18" s="20"/>
      <x:c r="F18" s="20"/>
      <x:c r="G18" s="20"/>
    </x:row>
    <x:row r="19">
      <x:c r="A19" s="20" t="str">
        <x:v>Key accounting distinction</x:v>
      </x:c>
      <x:c r="B19" s="20" t="str">
        <x:v>P1/P2 are pump power; SEC×product is net plant power</x:v>
      </x:c>
      <x:c r="C19" s="20" t="str">
        <x:v>They are not the same total-power basis</x:v>
      </x:c>
      <x:c r="D19" s="20"/>
      <x:c r="E19" s="20"/>
      <x:c r="F19" s="20"/>
      <x:c r="G19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26" customHeight="1">
      <x:c r="A1" s="4" t="str">
        <x:v>D5-5a: Tool-Efficiency Rubric (100 points)</x:v>
      </x:c>
      <x:c r="B1" s="4" t="str">
        <x:v>D5-5a: Tool-Efficiency Rubric (100 points)</x:v>
      </x:c>
      <x:c r="C1" s="4" t="str">
        <x:v>D5-5a: Tool-Efficiency Rubric (100 points)</x:v>
      </x:c>
      <x:c r="D1" s="4" t="str">
        <x:v>D5-5a: Tool-Efficiency Rubric (100 points)</x:v>
      </x:c>
      <x:c r="E1" s="4" t="str">
        <x:v>D5-5a: Tool-Efficiency Rubric (100 points)</x:v>
      </x:c>
      <x:c r="F1" s="4" t="str">
        <x:v>D5-5a: Tool-Efficiency Rubric (100 points)</x:v>
      </x:c>
      <x:c r="G1" s="4" t="str">
        <x:v>D5-5a: Tool-Efficiency Rubric (100 points)</x:v>
      </x:c>
    </x:row>
    <x:row r="2" ht="26" customHeight="1">
      <x:c r="A2" s="4" t="str">
        <x:v>D5-5a: Tool-Efficiency Rubric (100 points)</x:v>
      </x:c>
      <x:c r="B2" s="4" t="str">
        <x:v>D5-5a: Tool-Efficiency Rubric (100 points)</x:v>
      </x:c>
      <x:c r="C2" s="4" t="str">
        <x:v>D5-5a: Tool-Efficiency Rubric (100 points)</x:v>
      </x:c>
      <x:c r="D2" s="4" t="str">
        <x:v>D5-5a: Tool-Efficiency Rubric (100 points)</x:v>
      </x:c>
      <x:c r="E2" s="4" t="str">
        <x:v>D5-5a: Tool-Efficiency Rubric (100 points)</x:v>
      </x:c>
      <x:c r="F2" s="4" t="str">
        <x:v>D5-5a: Tool-Efficiency Rubric (100 points)</x:v>
      </x:c>
      <x:c r="G2" s="4" t="str">
        <x:v>D5-5a: Tool-Efficiency Rubric (100 points)</x:v>
      </x:c>
    </x:row>
    <x:row r="4">
      <x:c r="A4" s="25" t="str">
        <x:v>The reference path uses eight simulate_swro_system calls. Fewer calls are not automatically better; high-information, feedback-driven calls that fully prove both boundaries are preferred.</x:v>
      </x:c>
      <x:c r="B4" s="25" t="str">
        <x:v>The reference path uses eight simulate_swro_system calls. Fewer calls are not automatically better; high-information, feedback-driven calls that fully prove both boundaries are preferred.</x:v>
      </x:c>
      <x:c r="C4" s="25" t="str">
        <x:v>The reference path uses eight simulate_swro_system calls. Fewer calls are not automatically better; high-information, feedback-driven calls that fully prove both boundaries are preferred.</x:v>
      </x:c>
      <x:c r="D4" s="25" t="str">
        <x:v>The reference path uses eight simulate_swro_system calls. Fewer calls are not automatically better; high-information, feedback-driven calls that fully prove both boundaries are preferred.</x:v>
      </x:c>
      <x:c r="E4" s="25" t="str">
        <x:v>The reference path uses eight simulate_swro_system calls. Fewer calls are not automatically better; high-information, feedback-driven calls that fully prove both boundaries are preferred.</x:v>
      </x:c>
      <x:c r="F4" s="25" t="str">
        <x:v>The reference path uses eight simulate_swro_system calls. Fewer calls are not automatically better; high-information, feedback-driven calls that fully prove both boundaries are preferred.</x:v>
      </x:c>
      <x:c r="G4" s="25" t="str">
        <x:v>The reference path uses eight simulate_swro_system calls. Fewer calls are not automatically better; high-information, feedback-driven calls that fully prove both boundaries are preferred.</x:v>
      </x:c>
    </x:row>
    <x:row r="5">
      <x:c r="A5" s="25" t="str">
        <x:v>The reference path uses eight simulate_swro_system calls. Fewer calls are not automatically better; high-information, feedback-driven calls that fully prove both boundaries are preferred.</x:v>
      </x:c>
      <x:c r="B5" s="25" t="str">
        <x:v>The reference path uses eight simulate_swro_system calls. Fewer calls are not automatically better; high-information, feedback-driven calls that fully prove both boundaries are preferred.</x:v>
      </x:c>
      <x:c r="C5" s="25" t="str">
        <x:v>The reference path uses eight simulate_swro_system calls. Fewer calls are not automatically better; high-information, feedback-driven calls that fully prove both boundaries are preferred.</x:v>
      </x:c>
      <x:c r="D5" s="25" t="str">
        <x:v>The reference path uses eight simulate_swro_system calls. Fewer calls are not automatically better; high-information, feedback-driven calls that fully prove both boundaries are preferred.</x:v>
      </x:c>
      <x:c r="E5" s="25" t="str">
        <x:v>The reference path uses eight simulate_swro_system calls. Fewer calls are not automatically better; high-information, feedback-driven calls that fully prove both boundaries are preferred.</x:v>
      </x:c>
      <x:c r="F5" s="25" t="str">
        <x:v>The reference path uses eight simulate_swro_system calls. Fewer calls are not automatically better; high-information, feedback-driven calls that fully prove both boundaries are preferred.</x:v>
      </x:c>
      <x:c r="G5" s="25" t="str">
        <x:v>The reference path uses eight simulate_swro_system calls. Fewer calls are not automatically better; high-information, feedback-driven calls that fully prove both boundaries are preferred.</x:v>
      </x:c>
    </x:row>
    <x:row r="6">
      <x:c r="A6" s="25" t="str">
        <x:v>The reference path uses eight simulate_swro_system calls. Fewer calls are not automatically better; high-information, feedback-driven calls that fully prove both boundaries are preferred.</x:v>
      </x:c>
      <x:c r="B6" s="25" t="str">
        <x:v>The reference path uses eight simulate_swro_system calls. Fewer calls are not automatically better; high-information, feedback-driven calls that fully prove both boundaries are preferred.</x:v>
      </x:c>
      <x:c r="C6" s="25" t="str">
        <x:v>The reference path uses eight simulate_swro_system calls. Fewer calls are not automatically better; high-information, feedback-driven calls that fully prove both boundaries are preferred.</x:v>
      </x:c>
      <x:c r="D6" s="25" t="str">
        <x:v>The reference path uses eight simulate_swro_system calls. Fewer calls are not automatically better; high-information, feedback-driven calls that fully prove both boundaries are preferred.</x:v>
      </x:c>
      <x:c r="E6" s="25" t="str">
        <x:v>The reference path uses eight simulate_swro_system calls. Fewer calls are not automatically better; high-information, feedback-driven calls that fully prove both boundaries are preferred.</x:v>
      </x:c>
      <x:c r="F6" s="25" t="str">
        <x:v>The reference path uses eight simulate_swro_system calls. Fewer calls are not automatically better; high-information, feedback-driven calls that fully prove both boundaries are preferred.</x:v>
      </x:c>
      <x:c r="G6" s="25" t="str">
        <x:v>The reference path uses eight simulate_swro_system calls. Fewer calls are not automatically better; high-information, feedback-driven calls that fully prove both boundaries are preferred.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68" customHeight="1">
      <x:c r="A9" s="20" t="str">
        <x:v>E1 Tool choice</x:v>
      </x:c>
      <x:c r="B9" s="20" t="str">
        <x:v>Use the full-plant energy tool</x:v>
      </x:c>
      <x:c r="C9" s="20" t="str">
        <x:v>Primarily use simulate_swro_system; each call supports the decision</x:v>
      </x:c>
      <x:c r="D9" s="20" t="str">
        <x:v>A few unnecessary metadata calls</x:v>
      </x:c>
      <x:c r="E9" s="20" t="str">
        <x:v>Use simulate_ro for energy or many irrelevant tools</x:v>
      </x:c>
      <x:c r="F9" s="20" t="str">
        <x:v>Need plant P1/P2, SEC and LCOW</x:v>
      </x:c>
      <x:c r="G9" s="20" t="n">
        <x:v>20</x:v>
      </x:c>
    </x:row>
    <x:row r="10" ht="68" customHeight="1">
      <x:c r="A10" s="20" t="str">
        <x:v>E2 Information gain</x:v>
      </x:c>
      <x:c r="B10" s="20" t="str">
        <x:v>Bracket before refinement</x:v>
      </x:c>
      <x:c r="C10" s="20" t="str">
        <x:v>Use 55/70 to establish direction and two-target state, then refine</x:v>
      </x:c>
      <x:c r="D10" s="20" t="str">
        <x:v>Some low-information points but rational overall</x:v>
      </x:c>
      <x:c r="E10" s="20" t="str">
        <x:v>Start with a 0.1-bar full-range scan</x:v>
      </x:c>
      <x:c r="F10" s="20" t="str">
        <x:v>55→70→65→67.5</x:v>
      </x:c>
      <x:c r="G10" s="20" t="n">
        <x:v>20</x:v>
      </x:c>
    </x:row>
    <x:row r="11" ht="68" customHeight="1">
      <x:c r="A11" s="20" t="str">
        <x:v>E3 Adaptive iteration</x:v>
      </x:c>
      <x:c r="B11" s="20" t="str">
        <x:v>Choose next pressure from prior output</x:v>
      </x:c>
      <x:c r="C11" s="20" t="str">
        <x:v>Switch to 10,500 target after basic boundary is locked</x:v>
      </x:c>
      <x:c r="D11" s="20" t="str">
        <x:v>Partly preset enumeration</x:v>
      </x:c>
      <x:c r="E11" s="20" t="str">
        <x:v>Sequence barely reacts to feedback</x:v>
      </x:c>
      <x:c r="F11" s="20" t="str">
        <x:v>67.7/67.8 then 70.2/70.3</x:v>
      </x:c>
      <x:c r="G11" s="20" t="n">
        <x:v>20</x:v>
      </x:c>
    </x:row>
    <x:row r="12" ht="68" customHeight="1">
      <x:c r="A12" s="20" t="str">
        <x:v>E4 Pruning</x:v>
      </x:c>
      <x:c r="B12" s="20" t="str">
        <x:v>Stop resolved branches</x:v>
      </x:c>
      <x:c r="C12" s="20" t="str">
        <x:v>Stop after each adjacent pair; no equivalent repeats</x:v>
      </x:c>
      <x:c r="D12" s="20" t="str">
        <x:v>One or two repeats</x:v>
      </x:c>
      <x:c r="E12" s="20" t="str">
        <x:v>Keep testing eliminated regions</x:v>
      </x:c>
      <x:c r="F12" s="20" t="str">
        <x:v>Both 0.1-bar proofs are sufficient</x:v>
      </x:c>
      <x:c r="G12" s="20" t="n">
        <x:v>20</x:v>
      </x:c>
    </x:row>
    <x:row r="13" ht="68" customHeight="1">
      <x:c r="A13" s="20" t="str">
        <x:v>E5 Convergence</x:v>
      </x:c>
      <x:c r="B13" s="20" t="str">
        <x:v>Complete evidence within reasonable budget</x:v>
      </x:c>
      <x:c r="C13" s="20" t="str">
        <x:v>About 7–9 calls with complete boundary/power/energy evidence</x:v>
      </x:c>
      <x:c r="D13" s="20" t="str">
        <x:v>10–12 calls with minor redundancy</x:v>
      </x:c>
      <x:c r="E13" s="20" t="str">
        <x:v>&gt;12 enumerative calls or too few to prove limits</x:v>
      </x:c>
      <x:c r="F13" s="20" t="str">
        <x:v>Reference=8; alternatives may score equally</x:v>
      </x:c>
      <x:c r="G13" s="20" t="n">
        <x:v>20</x:v>
      </x:c>
    </x:row>
    <x:row r="15">
      <x:c r="F15" s="35" t="str">
        <x:v>Tool-efficiency total</x:v>
      </x:c>
      <x:c r="G15" s="35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