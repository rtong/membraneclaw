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2698ab063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382eaeacd6fc4ead"/>
    <x:sheet xmlns:r="http://schemas.openxmlformats.org/officeDocument/2006/relationships" name="Gold_Answer_A" sheetId="2" r:id="R45fdef9db8ab486c"/>
    <x:sheet xmlns:r="http://schemas.openxmlformats.org/officeDocument/2006/relationships" name="Trajectory_Rubric" sheetId="3" r:id="R34a459a8057745b3"/>
    <x:sheet xmlns:r="http://schemas.openxmlformats.org/officeDocument/2006/relationships" name="Tool_Efficiency" sheetId="4" r:id="R46594ecf05aa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E+00"/>
    <x:numFmt numFmtId="203" formatCode="0.0%"/>
  </x:numFmts>
  <x:fonts count="12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  <x:font>
      <x:b/>
      <x:sz val="10"/>
      <x:color rgb="FF16324F"/>
      <x:name val="Aptos"/>
    </x:font>
    <x:font>
      <x:i/>
      <x:sz val="9"/>
      <x:color rgb="FF1F2937"/>
      <x:name val="Aptos"/>
    </x:font>
  </x:fonts>
  <x:fills count="2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9" xfId="0" applyNumberFormat="1" applyFont="1" applyFill="1" applyBorder="1"/>
    <x:xf numFmtId="0" fontId="6" fillId="2" borderId="9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vertical="center" wrapText="1"/>
    </x:xf>
    <x:xf numFmtId="200" fontId="1" fillId="6" borderId="9" xfId="0" applyNumberFormat="1" applyFont="1" applyFill="1" applyBorder="1" applyAlignment="1">
      <x:alignment vertical="center" wrapText="1"/>
    </x:xf>
    <x:xf numFmtId="201" fontId="1" fillId="6" borderId="9" xfId="0" applyNumberFormat="1" applyFont="1" applyFill="1" applyBorder="1" applyAlignment="1">
      <x:alignment vertical="center" wrapText="1"/>
    </x:xf>
    <x:xf numFmtId="202" fontId="1" fillId="6" borderId="9" xfId="0" applyNumberFormat="1" applyFont="1" applyFill="1" applyBorder="1" applyAlignment="1">
      <x:alignment vertical="center" wrapText="1"/>
    </x:xf>
    <x:xf numFmtId="203" fontId="1" fillId="6" borderId="9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1" fillId="9" borderId="9" xfId="0" applyNumberFormat="1" applyFont="1" applyFill="1" applyBorder="1" applyAlignment="1">
      <x:alignment vertical="center" wrapText="1"/>
    </x:xf>
    <x:xf numFmtId="201" fontId="1" fillId="9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10" borderId="3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2" xfId="0" applyNumberFormat="1" applyFont="1" applyFill="1" applyBorder="1"/>
    <x:xf numFmtId="0" fontId="5" fillId="14" borderId="3" xfId="0" applyNumberFormat="1" applyFont="1" applyFill="1" applyBorder="1"/>
    <x:xf numFmtId="0" fontId="5" fillId="14" borderId="4" xfId="0" applyNumberFormat="1" applyFont="1" applyFill="1" applyBorder="1"/>
    <x:xf numFmtId="0" fontId="5" fillId="14" xfId="0" applyNumberFormat="1" applyFont="1" applyFill="1" applyBorder="0"/>
    <x:xf numFmtId="0" fontId="5" fillId="14" borderId="5" xfId="0" applyNumberFormat="1" applyFont="1" applyFill="1" applyBorder="1"/>
    <x:xf numFmtId="0" fontId="5" fillId="14" borderId="6" xfId="0" applyNumberFormat="1" applyFont="1" applyFill="1" applyBorder="1"/>
    <x:xf numFmtId="0" fontId="5" fillId="14" borderId="7" xfId="0" applyNumberFormat="1" applyFont="1" applyFill="1" applyBorder="1"/>
    <x:xf numFmtId="0" fontId="5" fillId="14" borderId="8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2" xfId="0" applyNumberFormat="1" applyFont="1" applyFill="1" applyBorder="1" applyAlignment="1">
      <x:alignment wrapText="1"/>
    </x:xf>
    <x:xf numFmtId="0" fontId="5" fillId="14" borderId="3" xfId="0" applyNumberFormat="1" applyFont="1" applyFill="1" applyBorder="1" applyAlignment="1">
      <x:alignment wrapText="1"/>
    </x:xf>
    <x:xf numFmtId="0" fontId="5" fillId="14" borderId="4" xfId="0" applyNumberFormat="1" applyFont="1" applyFill="1" applyBorder="1" applyAlignment="1">
      <x:alignment wrapText="1"/>
    </x:xf>
    <x:xf numFmtId="0" fontId="5" fillId="14" xfId="0" applyNumberFormat="1" applyFont="1" applyFill="1" applyBorder="0" applyAlignment="1">
      <x:alignment wrapText="1"/>
    </x:xf>
    <x:xf numFmtId="0" fontId="5" fillId="14" borderId="5" xfId="0" applyNumberFormat="1" applyFont="1" applyFill="1" applyBorder="1" applyAlignment="1">
      <x:alignment wrapText="1"/>
    </x:xf>
    <x:xf numFmtId="0" fontId="5" fillId="14" borderId="6" xfId="0" applyNumberFormat="1" applyFont="1" applyFill="1" applyBorder="1" applyAlignment="1">
      <x:alignment wrapText="1"/>
    </x:xf>
    <x:xf numFmtId="0" fontId="5" fillId="14" borderId="7" xfId="0" applyNumberFormat="1" applyFont="1" applyFill="1" applyBorder="1" applyAlignment="1">
      <x:alignment wrapText="1"/>
    </x:xf>
    <x:xf numFmtId="0" fontId="5" fillId="14" borderId="8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vertical="top" wrapText="1"/>
    </x:xf>
    <x:xf numFmtId="0" fontId="5" fillId="14" borderId="2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4" xfId="0" applyNumberFormat="1" applyFont="1" applyFill="1" applyBorder="1" applyAlignment="1">
      <x:alignment vertical="top" wrapText="1"/>
    </x:xf>
    <x:xf numFmtId="0" fontId="5" fillId="14" xfId="0" applyNumberFormat="1" applyFont="1" applyFill="1" applyBorder="0" applyAlignment="1">
      <x:alignment vertical="top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5" fillId="14" borderId="7" xfId="0" applyNumberFormat="1" applyFont="1" applyFill="1" applyBorder="1" applyAlignment="1">
      <x:alignment vertical="top" wrapText="1"/>
    </x:xf>
    <x:xf numFmtId="0" fontId="5" fillId="14" borderId="8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9" xfId="0" applyNumberFormat="1" applyFont="1" applyFill="1" applyBorder="1"/>
    <x:xf numFmtId="0" fontId="6" fillId="11" borderId="9" xfId="0" applyNumberFormat="1" applyFont="1" applyFill="1" applyBorder="1" applyAlignment="1">
      <x:alignment wrapText="1"/>
    </x:xf>
    <x:xf numFmtId="0" fontId="6" fillId="11" borderId="9" xfId="0" applyNumberFormat="1" applyFont="1" applyFill="1" applyBorder="1" applyAlignment="1">
      <x:alignment horizontal="center" wrapText="1"/>
    </x:xf>
    <x:xf numFmtId="0" fontId="6" fillId="11" borderId="9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9" xfId="0" applyNumberFormat="1" applyFont="1" applyFill="1" applyBorder="1"/>
    <x:xf numFmtId="0" fontId="1" fillId="15" borderId="9" xfId="0" applyNumberFormat="1" applyFont="1" applyFill="1" applyBorder="1" applyAlignment="1">
      <x:alignment wrapText="1"/>
    </x:xf>
    <x:xf numFmtId="0" fontId="1" fillId="15" borderId="9" xfId="0" applyNumberFormat="1" applyFont="1" applyFill="1" applyBorder="1" applyAlignment="1">
      <x:alignment vertical="center" wrapText="1"/>
    </x:xf>
    <x:xf numFmtId="200" fontId="1" fillId="15" borderId="9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9" xfId="0" applyNumberFormat="1" applyFont="1" applyFill="1" applyBorder="1"/>
    <x:xf numFmtId="0" fontId="8" fillId="16" borderId="9" xfId="0" applyNumberFormat="1" applyFont="1" applyFill="1" applyBorder="1" applyAlignment="1">
      <x:alignment wrapText="1"/>
    </x:xf>
    <x:xf numFmtId="0" fontId="8" fillId="16" borderId="9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1" xfId="0" applyNumberFormat="1" applyFont="1" applyFill="1" applyBorder="1"/>
    <x:xf numFmtId="0" fontId="7" fillId="17" borderId="2" xfId="0" applyNumberFormat="1" applyFont="1" applyFill="1" applyBorder="1"/>
    <x:xf numFmtId="0" fontId="7" fillId="17" borderId="3" xfId="0" applyNumberFormat="1" applyFont="1" applyFill="1" applyBorder="1"/>
    <x:xf numFmtId="0" fontId="7" fillId="17" borderId="4" xfId="0" applyNumberFormat="1" applyFont="1" applyFill="1" applyBorder="1"/>
    <x:xf numFmtId="0" fontId="7" fillId="17" xfId="0" applyNumberFormat="1" applyFont="1" applyFill="1" applyBorder="0"/>
    <x:xf numFmtId="0" fontId="7" fillId="17" borderId="5" xfId="0" applyNumberFormat="1" applyFont="1" applyFill="1" applyBorder="1"/>
    <x:xf numFmtId="0" fontId="7" fillId="17" borderId="6" xfId="0" applyNumberFormat="1" applyFont="1" applyFill="1" applyBorder="1"/>
    <x:xf numFmtId="0" fontId="7" fillId="17" borderId="7" xfId="0" applyNumberFormat="1" applyFont="1" applyFill="1" applyBorder="1"/>
    <x:xf numFmtId="0" fontId="7" fillId="17" borderId="8" xfId="0" applyNumberFormat="1" applyFont="1" applyFill="1" applyBorder="1"/>
    <x:xf numFmtId="0" fontId="7" fillId="17" borderId="1" xfId="0" applyNumberFormat="1" applyFont="1" applyFill="1" applyBorder="1" applyAlignment="1">
      <x:alignment wrapText="1"/>
    </x:xf>
    <x:xf numFmtId="0" fontId="7" fillId="17" borderId="2" xfId="0" applyNumberFormat="1" applyFont="1" applyFill="1" applyBorder="1" applyAlignment="1">
      <x:alignment wrapText="1"/>
    </x:xf>
    <x:xf numFmtId="0" fontId="7" fillId="17" borderId="3" xfId="0" applyNumberFormat="1" applyFont="1" applyFill="1" applyBorder="1" applyAlignment="1">
      <x:alignment wrapText="1"/>
    </x:xf>
    <x:xf numFmtId="0" fontId="7" fillId="17" borderId="4" xfId="0" applyNumberFormat="1" applyFont="1" applyFill="1" applyBorder="1" applyAlignment="1">
      <x:alignment wrapText="1"/>
    </x:xf>
    <x:xf numFmtId="0" fontId="7" fillId="17" xfId="0" applyNumberFormat="1" applyFont="1" applyFill="1" applyBorder="0" applyAlignment="1">
      <x:alignment wrapText="1"/>
    </x:xf>
    <x:xf numFmtId="0" fontId="7" fillId="17" borderId="5" xfId="0" applyNumberFormat="1" applyFont="1" applyFill="1" applyBorder="1" applyAlignment="1">
      <x:alignment wrapText="1"/>
    </x:xf>
    <x:xf numFmtId="0" fontId="7" fillId="17" borderId="6" xfId="0" applyNumberFormat="1" applyFont="1" applyFill="1" applyBorder="1" applyAlignment="1">
      <x:alignment wrapText="1"/>
    </x:xf>
    <x:xf numFmtId="0" fontId="7" fillId="17" borderId="7" xfId="0" applyNumberFormat="1" applyFont="1" applyFill="1" applyBorder="1" applyAlignment="1">
      <x:alignment wrapText="1"/>
    </x:xf>
    <x:xf numFmtId="0" fontId="7" fillId="17" borderId="8" xfId="0" applyNumberFormat="1" applyFont="1" applyFill="1" applyBorder="1" applyAlignment="1">
      <x:alignment wrapText="1"/>
    </x:xf>
    <x:xf numFmtId="0" fontId="7" fillId="17" borderId="1" xfId="0" applyNumberFormat="1" applyFont="1" applyFill="1" applyBorder="1" applyAlignment="1">
      <x:alignment vertical="top" wrapText="1"/>
    </x:xf>
    <x:xf numFmtId="0" fontId="7" fillId="17" borderId="2" xfId="0" applyNumberFormat="1" applyFont="1" applyFill="1" applyBorder="1" applyAlignment="1">
      <x:alignment vertical="top" wrapText="1"/>
    </x:xf>
    <x:xf numFmtId="0" fontId="7" fillId="17" borderId="3" xfId="0" applyNumberFormat="1" applyFont="1" applyFill="1" applyBorder="1" applyAlignment="1">
      <x:alignment vertical="top" wrapText="1"/>
    </x:xf>
    <x:xf numFmtId="0" fontId="7" fillId="17" borderId="4" xfId="0" applyNumberFormat="1" applyFont="1" applyFill="1" applyBorder="1" applyAlignment="1">
      <x:alignment vertical="top" wrapText="1"/>
    </x:xf>
    <x:xf numFmtId="0" fontId="7" fillId="17" xfId="0" applyNumberFormat="1" applyFont="1" applyFill="1" applyBorder="0" applyAlignment="1">
      <x:alignment vertical="top" wrapText="1"/>
    </x:xf>
    <x:xf numFmtId="0" fontId="7" fillId="17" borderId="5" xfId="0" applyNumberFormat="1" applyFont="1" applyFill="1" applyBorder="1" applyAlignment="1">
      <x:alignment vertical="top" wrapText="1"/>
    </x:xf>
    <x:xf numFmtId="0" fontId="7" fillId="17" borderId="6" xfId="0" applyNumberFormat="1" applyFont="1" applyFill="1" applyBorder="1" applyAlignment="1">
      <x:alignment vertical="top" wrapText="1"/>
    </x:xf>
    <x:xf numFmtId="0" fontId="7" fillId="17" borderId="7" xfId="0" applyNumberFormat="1" applyFont="1" applyFill="1" applyBorder="1" applyAlignment="1">
      <x:alignment vertical="top" wrapText="1"/>
    </x:xf>
    <x:xf numFmtId="0" fontId="7" fillId="17" borderId="8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/>
    <x:xf numFmtId="0" fontId="10" fillId="16" borderId="9" xfId="0" applyNumberFormat="1" applyFont="1" applyFill="1" applyBorder="1"/>
    <x:xf numFmtId="0" fontId="10" fillId="16" borderId="9" xfId="0" applyNumberFormat="1" applyFont="1" applyFill="1" applyBorder="1" applyAlignment="1">
      <x:alignment horizontal="center"/>
    </x:xf>
    <x:xf numFmtId="0" fontId="10" fillId="16" borderId="9" xfId="0" applyNumberFormat="1" applyFont="1" applyFill="1" applyBorder="1" applyAlignment="1">
      <x:alignment horizontal="center" vertical="center"/>
    </x:xf>
    <x:xf numFmtId="0" fontId="5" fillId="15" borderId="9" xfId="0" applyNumberFormat="1" applyFont="1" applyFill="1" applyBorder="1"/>
    <x:xf numFmtId="0" fontId="5" fillId="15" borderId="9" xfId="0" applyNumberFormat="1" applyFont="1" applyFill="1" applyBorder="1" applyAlignment="1">
      <x:alignment wrapText="1"/>
    </x:xf>
    <x:xf numFmtId="0" fontId="5" fillId="15" borderId="9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" xfId="0" applyNumberFormat="1" applyFont="1" applyFill="1" applyBorder="1"/>
    <x:xf numFmtId="0" fontId="11" fillId="18" borderId="2" xfId="0" applyNumberFormat="1" applyFont="1" applyFill="1" applyBorder="1"/>
    <x:xf numFmtId="0" fontId="11" fillId="18" borderId="3" xfId="0" applyNumberFormat="1" applyFont="1" applyFill="1" applyBorder="1"/>
    <x:xf numFmtId="0" fontId="11" fillId="18" borderId="6" xfId="0" applyNumberFormat="1" applyFont="1" applyFill="1" applyBorder="1"/>
    <x:xf numFmtId="0" fontId="11" fillId="18" borderId="7" xfId="0" applyNumberFormat="1" applyFont="1" applyFill="1" applyBorder="1"/>
    <x:xf numFmtId="0" fontId="11" fillId="18" borderId="8" xfId="0" applyNumberFormat="1" applyFont="1" applyFill="1" applyBorder="1"/>
    <x:xf numFmtId="0" fontId="11" fillId="18" borderId="1" xfId="0" applyNumberFormat="1" applyFont="1" applyFill="1" applyBorder="1" applyAlignment="1">
      <x:alignment wrapText="1"/>
    </x:xf>
    <x:xf numFmtId="0" fontId="11" fillId="18" borderId="2" xfId="0" applyNumberFormat="1" applyFont="1" applyFill="1" applyBorder="1" applyAlignment="1">
      <x:alignment wrapText="1"/>
    </x:xf>
    <x:xf numFmtId="0" fontId="11" fillId="18" borderId="3" xfId="0" applyNumberFormat="1" applyFont="1" applyFill="1" applyBorder="1" applyAlignment="1">
      <x:alignment wrapText="1"/>
    </x:xf>
    <x:xf numFmtId="0" fontId="11" fillId="18" borderId="6" xfId="0" applyNumberFormat="1" applyFont="1" applyFill="1" applyBorder="1" applyAlignment="1">
      <x:alignment wrapText="1"/>
    </x:xf>
    <x:xf numFmtId="0" fontId="11" fillId="18" borderId="7" xfId="0" applyNumberFormat="1" applyFont="1" applyFill="1" applyBorder="1" applyAlignment="1">
      <x:alignment wrapText="1"/>
    </x:xf>
    <x:xf numFmtId="0" fontId="11" fillId="18" borderId="8" xfId="0" applyNumberFormat="1" applyFont="1" applyFill="1" applyBorder="1" applyAlignment="1">
      <x:alignment wrapText="1"/>
    </x:xf>
    <x:xf numFmtId="0" fontId="11" fillId="18" borderId="1" xfId="0" applyNumberFormat="1" applyFont="1" applyFill="1" applyBorder="1" applyAlignment="1">
      <x:alignment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1" fillId="18" borderId="3" xfId="0" applyNumberFormat="1" applyFont="1" applyFill="1" applyBorder="1" applyAlignment="1">
      <x:alignment vertical="center" wrapText="1"/>
    </x:xf>
    <x:xf numFmtId="0" fontId="11" fillId="18" borderId="6" xfId="0" applyNumberFormat="1" applyFont="1" applyFill="1" applyBorder="1" applyAlignment="1">
      <x:alignment vertical="center" wrapText="1"/>
    </x:xf>
    <x:xf numFmtId="0" fontId="11" fillId="18" borderId="7" xfId="0" applyNumberFormat="1" applyFont="1" applyFill="1" applyBorder="1" applyAlignment="1">
      <x:alignment vertical="center" wrapText="1"/>
    </x:xf>
    <x:xf numFmtId="0" fontId="11" fillId="18" borderId="8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/>
    </x:xf>
    <x:xf numFmtId="0" fontId="5" fillId="22" borderId="0" xfId="0" applyNumberFormat="1" applyFont="1" applyFill="1" applyBorder="1"/>
    <x:xf numFmtId="0" fontId="5" fillId="22" borderId="1" xfId="0" applyNumberFormat="1" applyFont="1" applyFill="1" applyBorder="1"/>
    <x:xf numFmtId="0" fontId="5" fillId="22" borderId="2" xfId="0" applyNumberFormat="1" applyFont="1" applyFill="1" applyBorder="1"/>
    <x:xf numFmtId="0" fontId="5" fillId="22" borderId="3" xfId="0" applyNumberFormat="1" applyFont="1" applyFill="1" applyBorder="1"/>
    <x:xf numFmtId="0" fontId="5" fillId="22" borderId="4" xfId="0" applyNumberFormat="1" applyFont="1" applyFill="1" applyBorder="1"/>
    <x:xf numFmtId="0" fontId="5" fillId="22" xfId="0" applyNumberFormat="1" applyFont="1" applyFill="1" applyBorder="0"/>
    <x:xf numFmtId="0" fontId="5" fillId="22" borderId="5" xfId="0" applyNumberFormat="1" applyFont="1" applyFill="1" applyBorder="1"/>
    <x:xf numFmtId="0" fontId="5" fillId="22" borderId="6" xfId="0" applyNumberFormat="1" applyFont="1" applyFill="1" applyBorder="1"/>
    <x:xf numFmtId="0" fontId="5" fillId="22" borderId="7" xfId="0" applyNumberFormat="1" applyFont="1" applyFill="1" applyBorder="1"/>
    <x:xf numFmtId="0" fontId="5" fillId="22" borderId="8" xfId="0" applyNumberFormat="1" applyFont="1" applyFill="1" applyBorder="1"/>
    <x:xf numFmtId="0" fontId="5" fillId="22" borderId="1" xfId="0" applyNumberFormat="1" applyFont="1" applyFill="1" applyBorder="1" applyAlignment="1">
      <x:alignment wrapText="1"/>
    </x:xf>
    <x:xf numFmtId="0" fontId="5" fillId="22" borderId="2" xfId="0" applyNumberFormat="1" applyFont="1" applyFill="1" applyBorder="1" applyAlignment="1">
      <x:alignment wrapText="1"/>
    </x:xf>
    <x:xf numFmtId="0" fontId="5" fillId="22" borderId="3" xfId="0" applyNumberFormat="1" applyFont="1" applyFill="1" applyBorder="1" applyAlignment="1">
      <x:alignment wrapText="1"/>
    </x:xf>
    <x:xf numFmtId="0" fontId="5" fillId="22" borderId="4" xfId="0" applyNumberFormat="1" applyFont="1" applyFill="1" applyBorder="1" applyAlignment="1">
      <x:alignment wrapText="1"/>
    </x:xf>
    <x:xf numFmtId="0" fontId="5" fillId="22" xfId="0" applyNumberFormat="1" applyFont="1" applyFill="1" applyBorder="0" applyAlignment="1">
      <x:alignment wrapText="1"/>
    </x:xf>
    <x:xf numFmtId="0" fontId="5" fillId="22" borderId="5" xfId="0" applyNumberFormat="1" applyFont="1" applyFill="1" applyBorder="1" applyAlignment="1">
      <x:alignment wrapText="1"/>
    </x:xf>
    <x:xf numFmtId="0" fontId="5" fillId="22" borderId="6" xfId="0" applyNumberFormat="1" applyFont="1" applyFill="1" applyBorder="1" applyAlignment="1">
      <x:alignment wrapText="1"/>
    </x:xf>
    <x:xf numFmtId="0" fontId="5" fillId="22" borderId="7" xfId="0" applyNumberFormat="1" applyFont="1" applyFill="1" applyBorder="1" applyAlignment="1">
      <x:alignment wrapText="1"/>
    </x:xf>
    <x:xf numFmtId="0" fontId="5" fillId="22" borderId="8" xfId="0" applyNumberFormat="1" applyFont="1" applyFill="1" applyBorder="1" applyAlignment="1">
      <x:alignment wrapText="1"/>
    </x:xf>
    <x:xf numFmtId="0" fontId="5" fillId="22" borderId="1" xfId="0" applyNumberFormat="1" applyFont="1" applyFill="1" applyBorder="1" applyAlignment="1">
      <x:alignment vertical="top" wrapText="1"/>
    </x:xf>
    <x:xf numFmtId="0" fontId="5" fillId="22" borderId="2" xfId="0" applyNumberFormat="1" applyFont="1" applyFill="1" applyBorder="1" applyAlignment="1">
      <x:alignment vertical="top" wrapText="1"/>
    </x:xf>
    <x:xf numFmtId="0" fontId="5" fillId="22" borderId="3" xfId="0" applyNumberFormat="1" applyFont="1" applyFill="1" applyBorder="1" applyAlignment="1">
      <x:alignment vertical="top" wrapText="1"/>
    </x:xf>
    <x:xf numFmtId="0" fontId="5" fillId="22" borderId="4" xfId="0" applyNumberFormat="1" applyFont="1" applyFill="1" applyBorder="1" applyAlignment="1">
      <x:alignment vertical="top" wrapText="1"/>
    </x:xf>
    <x:xf numFmtId="0" fontId="5" fillId="22" xfId="0" applyNumberFormat="1" applyFont="1" applyFill="1" applyBorder="0" applyAlignment="1">
      <x:alignment vertical="top" wrapText="1"/>
    </x:xf>
    <x:xf numFmtId="0" fontId="5" fillId="22" borderId="5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7" xfId="0" applyNumberFormat="1" applyFont="1" applyFill="1" applyBorder="1" applyAlignment="1">
      <x:alignment vertical="top" wrapText="1"/>
    </x:xf>
    <x:xf numFmtId="0" fontId="5" fillId="22" borderId="8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/>
    <x:xf numFmtId="0" fontId="6" fillId="19" borderId="9" xfId="0" applyNumberFormat="1" applyFont="1" applyFill="1" applyBorder="1"/>
    <x:xf numFmtId="0" fontId="6" fillId="19" borderId="9" xfId="0" applyNumberFormat="1" applyFont="1" applyFill="1" applyBorder="1" applyAlignment="1">
      <x:alignment wrapText="1"/>
    </x:xf>
    <x:xf numFmtId="0" fontId="6" fillId="19" borderId="9" xfId="0" applyNumberFormat="1" applyFont="1" applyFill="1" applyBorder="1" applyAlignment="1">
      <x:alignment horizontal="center" wrapText="1"/>
    </x:xf>
    <x:xf numFmtId="0" fontId="6" fillId="19" borderId="9" xfId="0" applyNumberFormat="1" applyFont="1" applyFill="1" applyBorder="1" applyAlignment="1">
      <x:alignment horizontal="center" vertical="center" wrapText="1"/>
    </x:xf>
    <x:xf numFmtId="0" fontId="5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9" xfId="0" applyNumberFormat="1" applyFont="1" applyFill="1" applyBorder="1"/>
    <x:xf numFmtId="0" fontId="1" fillId="23" borderId="9" xfId="0" applyNumberFormat="1" applyFont="1" applyFill="1" applyBorder="1" applyAlignment="1">
      <x:alignment wrapText="1"/>
    </x:xf>
    <x:xf numFmtId="0" fontId="1" fillId="23" borderId="9" xfId="0" applyNumberFormat="1" applyFont="1" applyFill="1" applyBorder="1" applyAlignment="1">
      <x:alignment vertical="center" wrapText="1"/>
    </x:xf>
    <x:xf numFmtId="200" fontId="1" fillId="23" borderId="9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9" xfId="0" applyNumberFormat="1" applyFont="1" applyFill="1" applyBorder="1"/>
    <x:xf numFmtId="0" fontId="8" fillId="24" borderId="9" xfId="0" applyNumberFormat="1" applyFont="1" applyFill="1" applyBorder="1" applyAlignment="1">
      <x:alignment wrapText="1"/>
    </x:xf>
    <x:xf numFmtId="0" fontId="8" fillId="24" borderId="9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1" xfId="0" applyNumberFormat="1" applyFont="1" applyFill="1" applyBorder="1"/>
    <x:xf numFmtId="0" fontId="7" fillId="25" borderId="2" xfId="0" applyNumberFormat="1" applyFont="1" applyFill="1" applyBorder="1"/>
    <x:xf numFmtId="0" fontId="7" fillId="25" borderId="3" xfId="0" applyNumberFormat="1" applyFont="1" applyFill="1" applyBorder="1"/>
    <x:xf numFmtId="0" fontId="7" fillId="25" borderId="4" xfId="0" applyNumberFormat="1" applyFont="1" applyFill="1" applyBorder="1"/>
    <x:xf numFmtId="0" fontId="7" fillId="25" xfId="0" applyNumberFormat="1" applyFont="1" applyFill="1" applyBorder="0"/>
    <x:xf numFmtId="0" fontId="7" fillId="25" borderId="5" xfId="0" applyNumberFormat="1" applyFont="1" applyFill="1" applyBorder="1"/>
    <x:xf numFmtId="0" fontId="7" fillId="25" borderId="6" xfId="0" applyNumberFormat="1" applyFont="1" applyFill="1" applyBorder="1"/>
    <x:xf numFmtId="0" fontId="7" fillId="25" borderId="7" xfId="0" applyNumberFormat="1" applyFont="1" applyFill="1" applyBorder="1"/>
    <x:xf numFmtId="0" fontId="7" fillId="25" borderId="8" xfId="0" applyNumberFormat="1" applyFont="1" applyFill="1" applyBorder="1"/>
    <x:xf numFmtId="0" fontId="7" fillId="25" borderId="1" xfId="0" applyNumberFormat="1" applyFont="1" applyFill="1" applyBorder="1" applyAlignment="1">
      <x:alignment wrapText="1"/>
    </x:xf>
    <x:xf numFmtId="0" fontId="7" fillId="25" borderId="2" xfId="0" applyNumberFormat="1" applyFont="1" applyFill="1" applyBorder="1" applyAlignment="1">
      <x:alignment wrapText="1"/>
    </x:xf>
    <x:xf numFmtId="0" fontId="7" fillId="25" borderId="3" xfId="0" applyNumberFormat="1" applyFont="1" applyFill="1" applyBorder="1" applyAlignment="1">
      <x:alignment wrapText="1"/>
    </x:xf>
    <x:xf numFmtId="0" fontId="7" fillId="25" borderId="4" xfId="0" applyNumberFormat="1" applyFont="1" applyFill="1" applyBorder="1" applyAlignment="1">
      <x:alignment wrapText="1"/>
    </x:xf>
    <x:xf numFmtId="0" fontId="7" fillId="25" xfId="0" applyNumberFormat="1" applyFont="1" applyFill="1" applyBorder="0" applyAlignment="1">
      <x:alignment wrapText="1"/>
    </x:xf>
    <x:xf numFmtId="0" fontId="7" fillId="25" borderId="5" xfId="0" applyNumberFormat="1" applyFont="1" applyFill="1" applyBorder="1" applyAlignment="1">
      <x:alignment wrapText="1"/>
    </x:xf>
    <x:xf numFmtId="0" fontId="7" fillId="25" borderId="6" xfId="0" applyNumberFormat="1" applyFont="1" applyFill="1" applyBorder="1" applyAlignment="1">
      <x:alignment wrapText="1"/>
    </x:xf>
    <x:xf numFmtId="0" fontId="7" fillId="25" borderId="7" xfId="0" applyNumberFormat="1" applyFont="1" applyFill="1" applyBorder="1" applyAlignment="1">
      <x:alignment wrapText="1"/>
    </x:xf>
    <x:xf numFmtId="0" fontId="7" fillId="25" borderId="8" xfId="0" applyNumberFormat="1" applyFont="1" applyFill="1" applyBorder="1" applyAlignment="1">
      <x:alignment wrapText="1"/>
    </x:xf>
    <x:xf numFmtId="0" fontId="7" fillId="25" borderId="1" xfId="0" applyNumberFormat="1" applyFont="1" applyFill="1" applyBorder="1" applyAlignment="1">
      <x:alignment vertical="top" wrapText="1"/>
    </x:xf>
    <x:xf numFmtId="0" fontId="7" fillId="25" borderId="2" xfId="0" applyNumberFormat="1" applyFont="1" applyFill="1" applyBorder="1" applyAlignment="1">
      <x:alignment vertical="top" wrapText="1"/>
    </x:xf>
    <x:xf numFmtId="0" fontId="7" fillId="25" borderId="3" xfId="0" applyNumberFormat="1" applyFont="1" applyFill="1" applyBorder="1" applyAlignment="1">
      <x:alignment vertical="top" wrapText="1"/>
    </x:xf>
    <x:xf numFmtId="0" fontId="7" fillId="25" borderId="4" xfId="0" applyNumberFormat="1" applyFont="1" applyFill="1" applyBorder="1" applyAlignment="1">
      <x:alignment vertical="top" wrapText="1"/>
    </x:xf>
    <x:xf numFmtId="0" fontId="7" fillId="25" xfId="0" applyNumberFormat="1" applyFont="1" applyFill="1" applyBorder="0" applyAlignment="1">
      <x:alignment vertical="top" wrapText="1"/>
    </x:xf>
    <x:xf numFmtId="0" fontId="7" fillId="25" borderId="5" xfId="0" applyNumberFormat="1" applyFont="1" applyFill="1" applyBorder="1" applyAlignment="1">
      <x:alignment vertical="top" wrapText="1"/>
    </x:xf>
    <x:xf numFmtId="0" fontId="7" fillId="25" borderId="6" xfId="0" applyNumberFormat="1" applyFont="1" applyFill="1" applyBorder="1" applyAlignment="1">
      <x:alignment vertical="top" wrapText="1"/>
    </x:xf>
    <x:xf numFmtId="0" fontId="7" fillId="25" borderId="7" xfId="0" applyNumberFormat="1" applyFont="1" applyFill="1" applyBorder="1" applyAlignment="1">
      <x:alignment vertical="top" wrapText="1"/>
    </x:xf>
    <x:xf numFmtId="0" fontId="7" fillId="25" borderId="8" xfId="0" applyNumberFormat="1" applyFont="1" applyFill="1" applyBorder="1" applyAlignment="1">
      <x:alignment vertical="top" wrapText="1"/>
    </x:xf>
    <x:xf numFmtId="0" fontId="10" fillId="24" borderId="0" xfId="0" applyNumberFormat="1" applyFont="1" applyFill="1" applyBorder="1"/>
    <x:xf numFmtId="0" fontId="10" fillId="24" borderId="9" xfId="0" applyNumberFormat="1" applyFont="1" applyFill="1" applyBorder="1"/>
    <x:xf numFmtId="0" fontId="10" fillId="24" borderId="9" xfId="0" applyNumberFormat="1" applyFont="1" applyFill="1" applyBorder="1" applyAlignment="1">
      <x:alignment horizontal="center"/>
    </x:xf>
    <x:xf numFmtId="0" fontId="10" fillId="24" borderId="9" xfId="0" applyNumberFormat="1" applyFont="1" applyFill="1" applyBorder="1" applyAlignment="1">
      <x:alignment horizontal="center" vertical="center"/>
    </x:xf>
    <x:xf numFmtId="0" fontId="5" fillId="23" borderId="9" xfId="0" applyNumberFormat="1" applyFont="1" applyFill="1" applyBorder="1"/>
    <x:xf numFmtId="0" fontId="5" fillId="23" borderId="9" xfId="0" applyNumberFormat="1" applyFont="1" applyFill="1" applyBorder="1" applyAlignment="1">
      <x:alignment wrapText="1"/>
    </x:xf>
    <x:xf numFmtId="0" fontId="5" fillId="23" borderId="9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1" xfId="0" applyNumberFormat="1" applyFont="1" applyFill="1" applyBorder="1"/>
    <x:xf numFmtId="0" fontId="11" fillId="26" borderId="2" xfId="0" applyNumberFormat="1" applyFont="1" applyFill="1" applyBorder="1"/>
    <x:xf numFmtId="0" fontId="11" fillId="26" borderId="3" xfId="0" applyNumberFormat="1" applyFont="1" applyFill="1" applyBorder="1"/>
    <x:xf numFmtId="0" fontId="11" fillId="26" borderId="6" xfId="0" applyNumberFormat="1" applyFont="1" applyFill="1" applyBorder="1"/>
    <x:xf numFmtId="0" fontId="11" fillId="26" borderId="7" xfId="0" applyNumberFormat="1" applyFont="1" applyFill="1" applyBorder="1"/>
    <x:xf numFmtId="0" fontId="11" fillId="26" borderId="8" xfId="0" applyNumberFormat="1" applyFont="1" applyFill="1" applyBorder="1"/>
    <x:xf numFmtId="0" fontId="11" fillId="26" borderId="1" xfId="0" applyNumberFormat="1" applyFont="1" applyFill="1" applyBorder="1" applyAlignment="1">
      <x:alignment wrapText="1"/>
    </x:xf>
    <x:xf numFmtId="0" fontId="11" fillId="26" borderId="2" xfId="0" applyNumberFormat="1" applyFont="1" applyFill="1" applyBorder="1" applyAlignment="1">
      <x:alignment wrapText="1"/>
    </x:xf>
    <x:xf numFmtId="0" fontId="11" fillId="26" borderId="3" xfId="0" applyNumberFormat="1" applyFont="1" applyFill="1" applyBorder="1" applyAlignment="1">
      <x:alignment wrapText="1"/>
    </x:xf>
    <x:xf numFmtId="0" fontId="11" fillId="26" borderId="6" xfId="0" applyNumberFormat="1" applyFont="1" applyFill="1" applyBorder="1" applyAlignment="1">
      <x:alignment wrapText="1"/>
    </x:xf>
    <x:xf numFmtId="0" fontId="11" fillId="26" borderId="7" xfId="0" applyNumberFormat="1" applyFont="1" applyFill="1" applyBorder="1" applyAlignment="1">
      <x:alignment wrapText="1"/>
    </x:xf>
    <x:xf numFmtId="0" fontId="11" fillId="26" borderId="8" xfId="0" applyNumberFormat="1" applyFont="1" applyFill="1" applyBorder="1" applyAlignment="1">
      <x:alignment wrapText="1"/>
    </x:xf>
    <x:xf numFmtId="0" fontId="11" fillId="26" borderId="1" xfId="0" applyNumberFormat="1" applyFont="1" applyFill="1" applyBorder="1" applyAlignment="1">
      <x:alignment vertical="center" wrapText="1"/>
    </x:xf>
    <x:xf numFmtId="0" fontId="11" fillId="26" borderId="2" xfId="0" applyNumberFormat="1" applyFont="1" applyFill="1" applyBorder="1" applyAlignment="1">
      <x:alignment vertical="center" wrapText="1"/>
    </x:xf>
    <x:xf numFmtId="0" fontId="11" fillId="26" borderId="3" xfId="0" applyNumberFormat="1" applyFont="1" applyFill="1" applyBorder="1" applyAlignment="1">
      <x:alignment vertical="center" wrapText="1"/>
    </x:xf>
    <x:xf numFmtId="0" fontId="11" fillId="26" borderId="6" xfId="0" applyNumberFormat="1" applyFont="1" applyFill="1" applyBorder="1" applyAlignment="1">
      <x:alignment vertical="center" wrapText="1"/>
    </x:xf>
    <x:xf numFmtId="0" fontId="11" fillId="26" borderId="7" xfId="0" applyNumberFormat="1" applyFont="1" applyFill="1" applyBorder="1" applyAlignment="1">
      <x:alignment vertical="center" wrapText="1"/>
    </x:xf>
    <x:xf numFmtId="0" fontId="11" fillId="2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6716273264b28" /><Relationship Type="http://schemas.openxmlformats.org/officeDocument/2006/relationships/theme" Target="/xl/theme/theme1.xml" Id="R81d04f58aa804299" /><Relationship Type="http://schemas.openxmlformats.org/officeDocument/2006/relationships/sharedStrings" Target="/xl/sharedStrings.xml" Id="R9a559ac663a94b43" /><Relationship Type="http://schemas.openxmlformats.org/officeDocument/2006/relationships/worksheet" Target="/xl/worksheets/sheet1.xml" Id="R382eaeacd6fc4ead" /><Relationship Type="http://schemas.openxmlformats.org/officeDocument/2006/relationships/worksheet" Target="/xl/worksheets/sheet2.xml" Id="R45fdef9db8ab486c" /><Relationship Type="http://schemas.openxmlformats.org/officeDocument/2006/relationships/worksheet" Target="/xl/worksheets/sheet3.xml" Id="R34a459a8057745b3" /><Relationship Type="http://schemas.openxmlformats.org/officeDocument/2006/relationships/worksheet" Target="/xl/worksheets/sheet4.xml" Id="R46594ecf05aa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5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274" t="str">
        <x:v>D6_6c | Robust SWRO design under year-round feed variability</x:v>
      </x:c>
      <x:c r="B1" s="274" t="str">
        <x:v>D6_6c | Robust SWRO design under year-round feed variability</x:v>
      </x:c>
      <x:c r="C1" s="274" t="str">
        <x:v>D6_6c | Robust SWRO design under year-round feed variability</x:v>
      </x:c>
      <x:c r="D1" s="274" t="str">
        <x:v>D6_6c | Robust SWRO design under year-round feed variability</x:v>
      </x:c>
      <x:c r="E1" s="274" t="str">
        <x:v>D6_6c | Robust SWRO design under year-round feed variability</x:v>
      </x:c>
      <x:c r="F1" s="274" t="str">
        <x:v>D6_6c | Robust SWRO design under year-round feed variability</x:v>
      </x:c>
      <x:c r="G1" s="274" t="str">
        <x:v>D6_6c | Robust SWRO design under year-round feed variability</x:v>
      </x:c>
      <x:c r="H1" s="274" t="str">
        <x:v>D6_6c | Robust SWRO design under year-round feed variability</x:v>
      </x:c>
      <x:c r="I1" s="274" t="str">
        <x:v>D6_6c | Robust SWRO design under year-round feed variability</x:v>
      </x:c>
      <x:c r="J1" s="274" t="str">
        <x:v>D6_6c | Robust SWRO design under year-round feed variability</x:v>
      </x:c>
      <x:c r="K1" s="274" t="str">
        <x:v>D6_6c | Robust SWRO design under year-round feed variability</x:v>
      </x:c>
      <x:c r="L1" s="274" t="str">
        <x:v>D6_6c | Robust SWRO design under year-round feed variability</x:v>
      </x:c>
      <x:c r="M1" s="274" t="str">
        <x:v>D6_6c | Robust SWRO design under year-round feed variability</x:v>
      </x:c>
      <x:c r="N1" s="274" t="str">
        <x:v>D6_6c | Robust SWRO design under year-round feed variability</x:v>
      </x:c>
      <x:c r="O1" s="274" t="str">
        <x:v>D6_6c | Robust SWRO design under year-round feed variability</x:v>
      </x:c>
    </x:row>
    <x:row r="2" ht="26" customHeight="1">
      <x:c r="A2" s="274" t="str">
        <x:v>D6_6c | Robust SWRO design under year-round feed variability</x:v>
      </x:c>
      <x:c r="B2" s="274" t="str">
        <x:v>D6_6c | Robust SWRO design under year-round feed variability</x:v>
      </x:c>
      <x:c r="C2" s="274" t="str">
        <x:v>D6_6c | Robust SWRO design under year-round feed variability</x:v>
      </x:c>
      <x:c r="D2" s="274" t="str">
        <x:v>D6_6c | Robust SWRO design under year-round feed variability</x:v>
      </x:c>
      <x:c r="E2" s="274" t="str">
        <x:v>D6_6c | Robust SWRO design under year-round feed variability</x:v>
      </x:c>
      <x:c r="F2" s="274" t="str">
        <x:v>D6_6c | Robust SWRO design under year-round feed variability</x:v>
      </x:c>
      <x:c r="G2" s="274" t="str">
        <x:v>D6_6c | Robust SWRO design under year-round feed variability</x:v>
      </x:c>
      <x:c r="H2" s="274" t="str">
        <x:v>D6_6c | Robust SWRO design under year-round feed variability</x:v>
      </x:c>
      <x:c r="I2" s="274" t="str">
        <x:v>D6_6c | Robust SWRO design under year-round feed variability</x:v>
      </x:c>
      <x:c r="J2" s="274" t="str">
        <x:v>D6_6c | Robust SWRO design under year-round feed variability</x:v>
      </x:c>
      <x:c r="K2" s="274" t="str">
        <x:v>D6_6c | Robust SWRO design under year-round feed variability</x:v>
      </x:c>
      <x:c r="L2" s="274" t="str">
        <x:v>D6_6c | Robust SWRO design under year-round feed variability</x:v>
      </x:c>
      <x:c r="M2" s="274" t="str">
        <x:v>D6_6c | Robust SWRO design under year-round feed variability</x:v>
      </x:c>
      <x:c r="N2" s="274" t="str">
        <x:v>D6_6c | Robust SWRO design under year-round feed variability</x:v>
      </x:c>
      <x:c r="O2" s="274" t="str">
        <x:v>D6_6c | Robust SWRO design under year-round feed variability</x:v>
      </x:c>
    </x:row>
    <x:row r="3" ht="20" customHeight="1">
      <x:c r="A3" s="277" t="str">
        <x:v>Engineering design and robust decision task | Joint membrane, plant-capacity and energy assessment</x:v>
      </x:c>
      <x:c r="B3" s="277" t="str">
        <x:v>Engineering design and robust decision task | Joint membrane, plant-capacity and energy assessment</x:v>
      </x:c>
      <x:c r="C3" s="277" t="str">
        <x:v>Engineering design and robust decision task | Joint membrane, plant-capacity and energy assessment</x:v>
      </x:c>
      <x:c r="D3" s="277" t="str">
        <x:v>Engineering design and robust decision task | Joint membrane, plant-capacity and energy assessment</x:v>
      </x:c>
      <x:c r="E3" s="277" t="str">
        <x:v>Engineering design and robust decision task | Joint membrane, plant-capacity and energy assessment</x:v>
      </x:c>
      <x:c r="F3" s="277" t="str">
        <x:v>Engineering design and robust decision task | Joint membrane, plant-capacity and energy assessment</x:v>
      </x:c>
      <x:c r="G3" s="277" t="str">
        <x:v>Engineering design and robust decision task | Joint membrane, plant-capacity and energy assessment</x:v>
      </x:c>
      <x:c r="H3" s="277" t="str">
        <x:v>Engineering design and robust decision task | Joint membrane, plant-capacity and energy assessment</x:v>
      </x:c>
      <x:c r="I3" s="277" t="str">
        <x:v>Engineering design and robust decision task | Joint membrane, plant-capacity and energy assessment</x:v>
      </x:c>
      <x:c r="J3" s="277" t="str">
        <x:v>Engineering design and robust decision task | Joint membrane, plant-capacity and energy assessment</x:v>
      </x:c>
      <x:c r="K3" s="277" t="str">
        <x:v>Engineering design and robust decision task | Joint membrane, plant-capacity and energy assessment</x:v>
      </x:c>
      <x:c r="L3" s="277" t="str">
        <x:v>Engineering design and robust decision task | Joint membrane, plant-capacity and energy assessment</x:v>
      </x:c>
      <x:c r="M3" s="277" t="str">
        <x:v>Engineering design and robust decision task | Joint membrane, plant-capacity and energy assessment</x:v>
      </x:c>
      <x:c r="N3" s="277" t="str">
        <x:v>Engineering design and robust decision task | Joint membrane, plant-capacity and energy assessment</x:v>
      </x:c>
      <x:c r="O3" s="277" t="str">
        <x:v>Engineering design and robust decision task | Joint membrane, plant-capacity and energy assessment</x:v>
      </x:c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0"/>
    </x:row>
    <x:row r="5" ht="22" customHeight="1">
      <x:c r="A5" s="280" t="str">
        <x:v>Project brief</x:v>
      </x:c>
      <x:c r="B5" s="280" t="str">
        <x:v>Project brief</x:v>
      </x:c>
      <x:c r="C5" s="280" t="str">
        <x:v>Project brief</x:v>
      </x:c>
      <x:c r="D5" s="280" t="str">
        <x:v>Project brief</x:v>
      </x:c>
      <x:c r="E5" s="280" t="str">
        <x:v>Project brief</x:v>
      </x:c>
      <x:c r="F5" s="280" t="str">
        <x:v>Project brief</x:v>
      </x:c>
      <x:c r="G5" s="280" t="str">
        <x:v>Project brief</x:v>
      </x:c>
      <x:c r="H5" s="280" t="str">
        <x:v>Project brief</x:v>
      </x:c>
      <x:c r="I5" s="280" t="str">
        <x:v>Project brief</x:v>
      </x:c>
      <x:c r="J5" s="280" t="str">
        <x:v>Project brief</x:v>
      </x:c>
      <x:c r="K5" s="280" t="str">
        <x:v>Project brief</x:v>
      </x:c>
      <x:c r="L5" s="280" t="str">
        <x:v>Project brief</x:v>
      </x:c>
      <x:c r="M5" s="280" t="str">
        <x:v>Project brief</x:v>
      </x:c>
      <x:c r="N5" s="280" t="str">
        <x:v>Project brief</x:v>
      </x:c>
      <x:c r="O5" s="280" t="str">
        <x:v>Project brief</x:v>
      </x:c>
    </x:row>
    <x:row r="6" ht="24" customHeight="1">
      <x:c r="A6" s="300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B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C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D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E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F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G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H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I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J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K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L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M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N6" s="301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O6" s="302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</x:row>
    <x:row r="7" ht="24" customHeight="1">
      <x:c r="A7" s="303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B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C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D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E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F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G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H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I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J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K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L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M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N7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O7" s="305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</x:row>
    <x:row r="8" ht="24" customHeight="1">
      <x:c r="A8" s="303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B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C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D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E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F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G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H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I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J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K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L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M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N8" s="304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O8" s="305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</x:row>
    <x:row r="9" ht="24" customHeight="1">
      <x:c r="A9" s="306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B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C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D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E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F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G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H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I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J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K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L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M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N9" s="307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  <x:c r="O9" s="308" t="str">
        <x:v>A coastal SWRO plant has a design feed of 0.100 m³/s. Intake salinity and temperature vary seasonally, with occasional seawater-intrusion peaks. The owner needs one year-round design rather than a package optimized only for average seawater. Every representative state must satisfy quality, output, concentration-polarization and energy requirements.</x:v>
      </x:c>
    </x:row>
    <x:row r="10">
      <x:c r="A10" s="160"/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</x:row>
    <x:row r="11" ht="22" customHeight="1">
      <x:c r="A11" s="280" t="str">
        <x:v>Operating states and planning weights</x:v>
      </x:c>
      <x:c r="B11" s="280" t="str">
        <x:v>Operating states and planning weights</x:v>
      </x:c>
      <x:c r="C11" s="280" t="str">
        <x:v>Operating states and planning weights</x:v>
      </x:c>
      <x:c r="D11" s="280" t="str">
        <x:v>Operating states and planning weights</x:v>
      </x:c>
      <x:c r="E11" s="280" t="str">
        <x:v>Operating states and planning weights</x:v>
      </x:c>
      <x:c r="F11" s="280" t="str">
        <x:v>Operating states and planning weights</x:v>
      </x:c>
      <x:c r="G11" s="280" t="str">
        <x:v>Operating states and planning weights</x:v>
      </x:c>
      <x:c r="H11" s="280" t="str">
        <x:v>Operating states and planning weights</x:v>
      </x:c>
      <x:c r="I11" s="280" t="str">
        <x:v>Operating states and planning weights</x:v>
      </x:c>
      <x:c r="J11" s="280" t="str">
        <x:v>Operating states and planning weights</x:v>
      </x:c>
      <x:c r="K11" s="280" t="str">
        <x:v>Operating states and planning weights</x:v>
      </x:c>
      <x:c r="L11" s="280" t="str">
        <x:v>Operating states and planning weights</x:v>
      </x:c>
      <x:c r="M11" s="280" t="str">
        <x:v>Operating states and planning weights</x:v>
      </x:c>
      <x:c r="N11" s="280" t="str">
        <x:v>Operating states and planning weights</x:v>
      </x:c>
      <x:c r="O11" s="280" t="str">
        <x:v>Operating states and planning weights</x:v>
      </x:c>
    </x:row>
    <x:row r="12" ht="26" customHeight="1">
      <x:c r="A12" s="313" t="str">
        <x:v>State</x:v>
      </x:c>
      <x:c r="B12" s="313" t="str">
        <x:v>Description</x:v>
      </x:c>
      <x:c r="C12" s="313" t="str">
        <x:v>TDS (g/L)</x:v>
      </x:c>
      <x:c r="D12" s="313" t="str">
        <x:v>Temp. (°C)</x:v>
      </x:c>
      <x:c r="E12" s="313" t="str">
        <x:v>Weight</x:v>
      </x:c>
      <x:c r="F12" s="313" t="str">
        <x:v>Key condition</x:v>
      </x:c>
      <x:c r="G12" s="160"/>
      <x:c r="H12" s="160"/>
      <x:c r="I12" s="160"/>
      <x:c r="J12" s="160"/>
      <x:c r="K12" s="160"/>
      <x:c r="L12" s="160"/>
      <x:c r="M12" s="160"/>
      <x:c r="N12" s="160"/>
      <x:c r="O12" s="160"/>
    </x:row>
    <x:row r="13" ht="26" customHeight="1">
      <x:c r="A13" s="318" t="str">
        <x:v>S1</x:v>
      </x:c>
      <x:c r="B13" s="318" t="str">
        <x:v>Normal seawater</x:v>
      </x:c>
      <x:c r="C13" s="318" t="n">
        <x:v>35</x:v>
      </x:c>
      <x:c r="D13" s="318" t="n">
        <x:v>25</x:v>
      </x:c>
      <x:c r="E13" s="319" t="n">
        <x:v>0.5</x:v>
      </x:c>
      <x:c r="F13" s="318" t="str">
        <x:v>Normal operation</x:v>
      </x:c>
      <x:c r="G13" s="160"/>
      <x:c r="H13" s="160"/>
      <x:c r="I13" s="160"/>
      <x:c r="J13" s="160"/>
      <x:c r="K13" s="160"/>
      <x:c r="L13" s="160"/>
      <x:c r="M13" s="160"/>
      <x:c r="N13" s="160"/>
      <x:c r="O13" s="160"/>
    </x:row>
    <x:row r="14" ht="26" customHeight="1">
      <x:c r="A14" s="318" t="str">
        <x:v>S2</x:v>
      </x:c>
      <x:c r="B14" s="318" t="str">
        <x:v>Summer concentrated seawater</x:v>
      </x:c>
      <x:c r="C14" s="318" t="n">
        <x:v>39</x:v>
      </x:c>
      <x:c r="D14" s="318" t="n">
        <x:v>31</x:v>
      </x:c>
      <x:c r="E14" s="319" t="n">
        <x:v>0.3</x:v>
      </x:c>
      <x:c r="F14" s="318" t="str">
        <x:v>High temperature and salinity</x:v>
      </x:c>
      <x:c r="G14" s="160"/>
      <x:c r="H14" s="160"/>
      <x:c r="I14" s="160"/>
      <x:c r="J14" s="160"/>
      <x:c r="K14" s="160"/>
      <x:c r="L14" s="160"/>
      <x:c r="M14" s="160"/>
      <x:c r="N14" s="160"/>
      <x:c r="O14" s="160"/>
    </x:row>
    <x:row r="15" ht="26" customHeight="1">
      <x:c r="A15" s="318" t="str">
        <x:v>S3</x:v>
      </x:c>
      <x:c r="B15" s="318" t="str">
        <x:v>Seawater-intrusion peak</x:v>
      </x:c>
      <x:c r="C15" s="318" t="n">
        <x:v>43</x:v>
      </x:c>
      <x:c r="D15" s="318" t="n">
        <x:v>28</x:v>
      </x:c>
      <x:c r="E15" s="319" t="n">
        <x:v>0.2</x:v>
      </x:c>
      <x:c r="F15" s="318" t="str">
        <x:v>Worst salinity</x:v>
      </x:c>
      <x:c r="G15" s="160"/>
      <x:c r="H15" s="160"/>
      <x:c r="I15" s="160"/>
      <x:c r="J15" s="160"/>
      <x:c r="K15" s="160"/>
      <x:c r="L15" s="160"/>
      <x:c r="M15" s="160"/>
      <x:c r="N15" s="160"/>
      <x:c r="O15" s="160"/>
    </x:row>
    <x:row r="16">
      <x:c r="A16" s="160"/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0"/>
      <x:c r="M16" s="160"/>
      <x:c r="N16" s="160"/>
      <x:c r="O16" s="160"/>
    </x:row>
    <x:row r="17" ht="22" customHeight="1">
      <x:c r="A17" s="280" t="str">
        <x:v>Known data and design boundary</x:v>
      </x:c>
      <x:c r="B17" s="280" t="str">
        <x:v>Known data and design boundary</x:v>
      </x:c>
      <x:c r="C17" s="280" t="str">
        <x:v>Known data and design boundary</x:v>
      </x:c>
      <x:c r="D17" s="280" t="str">
        <x:v>Known data and design boundary</x:v>
      </x:c>
      <x:c r="E17" s="280" t="str">
        <x:v>Known data and design boundary</x:v>
      </x:c>
      <x:c r="F17" s="280" t="str">
        <x:v>Known data and design boundary</x:v>
      </x:c>
      <x:c r="G17" s="280" t="str">
        <x:v>Known data and design boundary</x:v>
      </x:c>
      <x:c r="H17" s="280" t="str">
        <x:v>Known data and design boundary</x:v>
      </x:c>
      <x:c r="I17" s="280" t="str">
        <x:v>Known data and design boundary</x:v>
      </x:c>
      <x:c r="J17" s="280" t="str">
        <x:v>Known data and design boundary</x:v>
      </x:c>
      <x:c r="K17" s="280" t="str">
        <x:v>Known data and design boundary</x:v>
      </x:c>
      <x:c r="L17" s="280" t="str">
        <x:v>Known data and design boundary</x:v>
      </x:c>
      <x:c r="M17" s="280" t="str">
        <x:v>Known data and design boundary</x:v>
      </x:c>
      <x:c r="N17" s="280" t="str">
        <x:v>Known data and design boundary</x:v>
      </x:c>
      <x:c r="O17" s="280" t="str">
        <x:v>Known data and design boundary</x:v>
      </x:c>
    </x:row>
    <x:row r="18" ht="28" customHeight="1">
      <x:c r="A18" s="324" t="str">
        <x:v>Design scale</x:v>
      </x:c>
      <x:c r="B18" s="318" t="str">
        <x:v>Module feed 1.00 kg/s; plant feed 0.100 m³/s; feed TSS 0.03 kg/m³.</x:v>
      </x:c>
      <x:c r="C18" s="318" t="str">
        <x:v>Module feed 1.00 kg/s; plant feed 0.100 m³/s; feed TSS 0.03 kg/m³.</x:v>
      </x:c>
      <x:c r="D18" s="318" t="str">
        <x:v>Module feed 1.00 kg/s; plant feed 0.100 m³/s; feed TSS 0.03 kg/m³.</x:v>
      </x:c>
      <x:c r="E18" s="318" t="str">
        <x:v>Module feed 1.00 kg/s; plant feed 0.100 m³/s; feed TSS 0.03 kg/m³.</x:v>
      </x:c>
      <x:c r="F18" s="318" t="str">
        <x:v>Module feed 1.00 kg/s; plant feed 0.100 m³/s; feed TSS 0.03 kg/m³.</x:v>
      </x:c>
      <x:c r="G18" s="318" t="str">
        <x:v>Module feed 1.00 kg/s; plant feed 0.100 m³/s; feed TSS 0.03 kg/m³.</x:v>
      </x:c>
      <x:c r="H18" s="318" t="str">
        <x:v>Module feed 1.00 kg/s; plant feed 0.100 m³/s; feed TSS 0.03 kg/m³.</x:v>
      </x:c>
      <x:c r="I18" s="318" t="str">
        <x:v>Module feed 1.00 kg/s; plant feed 0.100 m³/s; feed TSS 0.03 kg/m³.</x:v>
      </x:c>
      <x:c r="J18" s="318" t="str">
        <x:v>Module feed 1.00 kg/s; plant feed 0.100 m³/s; feed TSS 0.03 kg/m³.</x:v>
      </x:c>
      <x:c r="K18" s="318" t="str">
        <x:v>Module feed 1.00 kg/s; plant feed 0.100 m³/s; feed TSS 0.03 kg/m³.</x:v>
      </x:c>
      <x:c r="L18" s="318" t="str">
        <x:v>Module feed 1.00 kg/s; plant feed 0.100 m³/s; feed TSS 0.03 kg/m³.</x:v>
      </x:c>
      <x:c r="M18" s="318" t="str">
        <x:v>Module feed 1.00 kg/s; plant feed 0.100 m³/s; feed TSS 0.03 kg/m³.</x:v>
      </x:c>
      <x:c r="N18" s="318" t="str">
        <x:v>Module feed 1.00 kg/s; plant feed 0.100 m³/s; feed TSS 0.03 kg/m³.</x:v>
      </x:c>
      <x:c r="O18" s="318" t="str">
        <x:v>Module feed 1.00 kg/s; plant feed 0.100 m³/s; feed TSS 0.03 kg/m³.</x:v>
      </x:c>
    </x:row>
    <x:row r="19" ht="28" customHeight="1">
      <x:c r="A19" s="324" t="str">
        <x:v>Operating pressure</x:v>
      </x:c>
      <x:c r="B19" s="318" t="str">
        <x:v>60–69 bar; pressure may be fixed or state-dependent.</x:v>
      </x:c>
      <x:c r="C19" s="318" t="str">
        <x:v>60–69 bar; pressure may be fixed or state-dependent.</x:v>
      </x:c>
      <x:c r="D19" s="318" t="str">
        <x:v>60–69 bar; pressure may be fixed or state-dependent.</x:v>
      </x:c>
      <x:c r="E19" s="318" t="str">
        <x:v>60–69 bar; pressure may be fixed or state-dependent.</x:v>
      </x:c>
      <x:c r="F19" s="318" t="str">
        <x:v>60–69 bar; pressure may be fixed or state-dependent.</x:v>
      </x:c>
      <x:c r="G19" s="318" t="str">
        <x:v>60–69 bar; pressure may be fixed or state-dependent.</x:v>
      </x:c>
      <x:c r="H19" s="318" t="str">
        <x:v>60–69 bar; pressure may be fixed or state-dependent.</x:v>
      </x:c>
      <x:c r="I19" s="318" t="str">
        <x:v>60–69 bar; pressure may be fixed or state-dependent.</x:v>
      </x:c>
      <x:c r="J19" s="318" t="str">
        <x:v>60–69 bar; pressure may be fixed or state-dependent.</x:v>
      </x:c>
      <x:c r="K19" s="318" t="str">
        <x:v>60–69 bar; pressure may be fixed or state-dependent.</x:v>
      </x:c>
      <x:c r="L19" s="318" t="str">
        <x:v>60–69 bar; pressure may be fixed or state-dependent.</x:v>
      </x:c>
      <x:c r="M19" s="318" t="str">
        <x:v>60–69 bar; pressure may be fixed or state-dependent.</x:v>
      </x:c>
      <x:c r="N19" s="318" t="str">
        <x:v>60–69 bar; pressure may be fixed or state-dependent.</x:v>
      </x:c>
      <x:c r="O19" s="318" t="str">
        <x:v>60–69 bar; pressure may be fixed or state-dependent.</x:v>
      </x:c>
    </x:row>
    <x:row r="20" ht="28" customHeight="1">
      <x:c r="A20" s="324" t="str">
        <x:v>Membrane area</x:v>
      </x:c>
      <x:c r="B20" s="318" t="str">
        <x:v>58–75 m² at module scale and 5,800–7,500 m² at plant scale.</x:v>
      </x:c>
      <x:c r="C20" s="318" t="str">
        <x:v>58–75 m² at module scale and 5,800–7,500 m² at plant scale.</x:v>
      </x:c>
      <x:c r="D20" s="318" t="str">
        <x:v>58–75 m² at module scale and 5,800–7,500 m² at plant scale.</x:v>
      </x:c>
      <x:c r="E20" s="318" t="str">
        <x:v>58–75 m² at module scale and 5,800–7,500 m² at plant scale.</x:v>
      </x:c>
      <x:c r="F20" s="318" t="str">
        <x:v>58–75 m² at module scale and 5,800–7,500 m² at plant scale.</x:v>
      </x:c>
      <x:c r="G20" s="318" t="str">
        <x:v>58–75 m² at module scale and 5,800–7,500 m² at plant scale.</x:v>
      </x:c>
      <x:c r="H20" s="318" t="str">
        <x:v>58–75 m² at module scale and 5,800–7,500 m² at plant scale.</x:v>
      </x:c>
      <x:c r="I20" s="318" t="str">
        <x:v>58–75 m² at module scale and 5,800–7,500 m² at plant scale.</x:v>
      </x:c>
      <x:c r="J20" s="318" t="str">
        <x:v>58–75 m² at module scale and 5,800–7,500 m² at plant scale.</x:v>
      </x:c>
      <x:c r="K20" s="318" t="str">
        <x:v>58–75 m² at module scale and 5,800–7,500 m² at plant scale.</x:v>
      </x:c>
      <x:c r="L20" s="318" t="str">
        <x:v>58–75 m² at module scale and 5,800–7,500 m² at plant scale.</x:v>
      </x:c>
      <x:c r="M20" s="318" t="str">
        <x:v>58–75 m² at module scale and 5,800–7,500 m² at plant scale.</x:v>
      </x:c>
      <x:c r="N20" s="318" t="str">
        <x:v>58–75 m² at module scale and 5,800–7,500 m² at plant scale.</x:v>
      </x:c>
      <x:c r="O20" s="318" t="str">
        <x:v>58–75 m² at module scale and 5,800–7,500 m² at plant scale.</x:v>
      </x:c>
    </x:row>
    <x:row r="21" ht="28" customHeight="1">
      <x:c r="A21" s="324" t="str">
        <x:v>Membrane properties</x:v>
      </x:c>
      <x:c r="B21" s="318" t="str">
        <x:v>A = 3.5×10⁻¹²–5.0×10⁻¹² m/s/Pa; B = 2.2×10⁻⁸–5.5×10⁻⁸ m/s.</x:v>
      </x:c>
      <x:c r="C21" s="318" t="str">
        <x:v>A = 3.5×10⁻¹²–5.0×10⁻¹² m/s/Pa; B = 2.2×10⁻⁸–5.5×10⁻⁸ m/s.</x:v>
      </x:c>
      <x:c r="D21" s="318" t="str">
        <x:v>A = 3.5×10⁻¹²–5.0×10⁻¹² m/s/Pa; B = 2.2×10⁻⁸–5.5×10⁻⁸ m/s.</x:v>
      </x:c>
      <x:c r="E21" s="318" t="str">
        <x:v>A = 3.5×10⁻¹²–5.0×10⁻¹² m/s/Pa; B = 2.2×10⁻⁸–5.5×10⁻⁸ m/s.</x:v>
      </x:c>
      <x:c r="F21" s="318" t="str">
        <x:v>A = 3.5×10⁻¹²–5.0×10⁻¹² m/s/Pa; B = 2.2×10⁻⁸–5.5×10⁻⁸ m/s.</x:v>
      </x:c>
      <x:c r="G21" s="318" t="str">
        <x:v>A = 3.5×10⁻¹²–5.0×10⁻¹² m/s/Pa; B = 2.2×10⁻⁸–5.5×10⁻⁸ m/s.</x:v>
      </x:c>
      <x:c r="H21" s="318" t="str">
        <x:v>A = 3.5×10⁻¹²–5.0×10⁻¹² m/s/Pa; B = 2.2×10⁻⁸–5.5×10⁻⁸ m/s.</x:v>
      </x:c>
      <x:c r="I21" s="318" t="str">
        <x:v>A = 3.5×10⁻¹²–5.0×10⁻¹² m/s/Pa; B = 2.2×10⁻⁸–5.5×10⁻⁸ m/s.</x:v>
      </x:c>
      <x:c r="J21" s="318" t="str">
        <x:v>A = 3.5×10⁻¹²–5.0×10⁻¹² m/s/Pa; B = 2.2×10⁻⁸–5.5×10⁻⁸ m/s.</x:v>
      </x:c>
      <x:c r="K21" s="318" t="str">
        <x:v>A = 3.5×10⁻¹²–5.0×10⁻¹² m/s/Pa; B = 2.2×10⁻⁸–5.5×10⁻⁸ m/s.</x:v>
      </x:c>
      <x:c r="L21" s="318" t="str">
        <x:v>A = 3.5×10⁻¹²–5.0×10⁻¹² m/s/Pa; B = 2.2×10⁻⁸–5.5×10⁻⁸ m/s.</x:v>
      </x:c>
      <x:c r="M21" s="318" t="str">
        <x:v>A = 3.5×10⁻¹²–5.0×10⁻¹² m/s/Pa; B = 2.2×10⁻⁸–5.5×10⁻⁸ m/s.</x:v>
      </x:c>
      <x:c r="N21" s="318" t="str">
        <x:v>A = 3.5×10⁻¹²–5.0×10⁻¹² m/s/Pa; B = 2.2×10⁻⁸–5.5×10⁻⁸ m/s.</x:v>
      </x:c>
      <x:c r="O21" s="318" t="str">
        <x:v>A = 3.5×10⁻¹²–5.0×10⁻¹² m/s/Pa; B = 2.2×10⁻⁸–5.5×10⁻⁸ m/s.</x:v>
      </x:c>
    </x:row>
    <x:row r="22" ht="28" customHeight="1">
      <x:c r="A22" s="324" t="str">
        <x:v>Energy recovery</x:v>
      </x:c>
      <x:c r="B22" s="318" t="str">
        <x:v>Pressure exchanger with nominal efficiency of 95%.</x:v>
      </x:c>
      <x:c r="C22" s="318" t="str">
        <x:v>Pressure exchanger with nominal efficiency of 95%.</x:v>
      </x:c>
      <x:c r="D22" s="318" t="str">
        <x:v>Pressure exchanger with nominal efficiency of 95%.</x:v>
      </x:c>
      <x:c r="E22" s="318" t="str">
        <x:v>Pressure exchanger with nominal efficiency of 95%.</x:v>
      </x:c>
      <x:c r="F22" s="318" t="str">
        <x:v>Pressure exchanger with nominal efficiency of 95%.</x:v>
      </x:c>
      <x:c r="G22" s="318" t="str">
        <x:v>Pressure exchanger with nominal efficiency of 95%.</x:v>
      </x:c>
      <x:c r="H22" s="318" t="str">
        <x:v>Pressure exchanger with nominal efficiency of 95%.</x:v>
      </x:c>
      <x:c r="I22" s="318" t="str">
        <x:v>Pressure exchanger with nominal efficiency of 95%.</x:v>
      </x:c>
      <x:c r="J22" s="318" t="str">
        <x:v>Pressure exchanger with nominal efficiency of 95%.</x:v>
      </x:c>
      <x:c r="K22" s="318" t="str">
        <x:v>Pressure exchanger with nominal efficiency of 95%.</x:v>
      </x:c>
      <x:c r="L22" s="318" t="str">
        <x:v>Pressure exchanger with nominal efficiency of 95%.</x:v>
      </x:c>
      <x:c r="M22" s="318" t="str">
        <x:v>Pressure exchanger with nominal efficiency of 95%.</x:v>
      </x:c>
      <x:c r="N22" s="318" t="str">
        <x:v>Pressure exchanger with nominal efficiency of 95%.</x:v>
      </x:c>
      <x:c r="O22" s="318" t="str">
        <x:v>Pressure exchanger with nominal efficiency of 95%.</x:v>
      </x:c>
    </x:row>
    <x:row r="23" ht="28" customHeight="1">
      <x:c r="A23" s="324" t="str">
        <x:v>Design development</x:v>
      </x:c>
      <x:c r="B23" s="318" t="str">
        <x:v>Develop several technically implementable and materially different designs within these bounds.</x:v>
      </x:c>
      <x:c r="C23" s="318" t="str">
        <x:v>Develop several technically implementable and materially different designs within these bounds.</x:v>
      </x:c>
      <x:c r="D23" s="318" t="str">
        <x:v>Develop several technically implementable and materially different designs within these bounds.</x:v>
      </x:c>
      <x:c r="E23" s="318" t="str">
        <x:v>Develop several technically implementable and materially different designs within these bounds.</x:v>
      </x:c>
      <x:c r="F23" s="318" t="str">
        <x:v>Develop several technically implementable and materially different designs within these bounds.</x:v>
      </x:c>
      <x:c r="G23" s="318" t="str">
        <x:v>Develop several technically implementable and materially different designs within these bounds.</x:v>
      </x:c>
      <x:c r="H23" s="318" t="str">
        <x:v>Develop several technically implementable and materially different designs within these bounds.</x:v>
      </x:c>
      <x:c r="I23" s="318" t="str">
        <x:v>Develop several technically implementable and materially different designs within these bounds.</x:v>
      </x:c>
      <x:c r="J23" s="318" t="str">
        <x:v>Develop several technically implementable and materially different designs within these bounds.</x:v>
      </x:c>
      <x:c r="K23" s="318" t="str">
        <x:v>Develop several technically implementable and materially different designs within these bounds.</x:v>
      </x:c>
      <x:c r="L23" s="318" t="str">
        <x:v>Develop several technically implementable and materially different designs within these bounds.</x:v>
      </x:c>
      <x:c r="M23" s="318" t="str">
        <x:v>Develop several technically implementable and materially different designs within these bounds.</x:v>
      </x:c>
      <x:c r="N23" s="318" t="str">
        <x:v>Develop several technically implementable and materially different designs within these bounds.</x:v>
      </x:c>
      <x:c r="O23" s="318" t="str">
        <x:v>Develop several technically implementable and materially different designs within these bounds.</x:v>
      </x:c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</x:row>
    <x:row r="25" ht="22" customHeight="1">
      <x:c r="A25" s="280" t="str">
        <x:v>Hard constraints and decision objective</x:v>
      </x:c>
      <x:c r="B25" s="280" t="str">
        <x:v>Hard constraints and decision objective</x:v>
      </x:c>
      <x:c r="C25" s="280" t="str">
        <x:v>Hard constraints and decision objective</x:v>
      </x:c>
      <x:c r="D25" s="280" t="str">
        <x:v>Hard constraints and decision objective</x:v>
      </x:c>
      <x:c r="E25" s="280" t="str">
        <x:v>Hard constraints and decision objective</x:v>
      </x:c>
      <x:c r="F25" s="280" t="str">
        <x:v>Hard constraints and decision objective</x:v>
      </x:c>
      <x:c r="G25" s="280" t="str">
        <x:v>Hard constraints and decision objective</x:v>
      </x:c>
      <x:c r="H25" s="280" t="str">
        <x:v>Hard constraints and decision objective</x:v>
      </x:c>
      <x:c r="I25" s="280" t="str">
        <x:v>Hard constraints and decision objective</x:v>
      </x:c>
      <x:c r="J25" s="280" t="str">
        <x:v>Hard constraints and decision objective</x:v>
      </x:c>
      <x:c r="K25" s="280" t="str">
        <x:v>Hard constraints and decision objective</x:v>
      </x:c>
      <x:c r="L25" s="280" t="str">
        <x:v>Hard constraints and decision objective</x:v>
      </x:c>
      <x:c r="M25" s="280" t="str">
        <x:v>Hard constraints and decision objective</x:v>
      </x:c>
      <x:c r="N25" s="280" t="str">
        <x:v>Hard constraints and decision objective</x:v>
      </x:c>
      <x:c r="O25" s="280" t="str">
        <x:v>Hard constraints and decision objective</x:v>
      </x:c>
    </x:row>
    <x:row r="26" ht="24" customHeight="1">
      <x:c r="A26" s="345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B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C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D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E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F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G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H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I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J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K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L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M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N26" s="346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O26" s="347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</x:row>
    <x:row r="27" ht="24" customHeight="1">
      <x:c r="A27" s="348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B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C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D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E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F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G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H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I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J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K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L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M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N27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O27" s="350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</x:row>
    <x:row r="28" ht="24" customHeight="1">
      <x:c r="A28" s="348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B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C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D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E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F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G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H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I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J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K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L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M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N28" s="349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O28" s="350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</x:row>
    <x:row r="29" ht="24" customHeight="1">
      <x:c r="A29" s="351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B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C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D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E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F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G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H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I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J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K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L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M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N29" s="352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  <x:c r="O29" s="353" t="str">
        <x:v>In every state: membrane water ≥0.320 kg/s, permeate NaCl ≤300 mg/L, inlet CP ≤1.38, plant product ≥0.036 m³/s and SEC ≤3.00 kWh/m³. Reject any design that fails a single state, then calculate weighted annual SEC and select the feasible design with the lowest value.</x:v>
      </x:c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</x:row>
    <x:row r="31" ht="22" customHeight="1">
      <x:c r="A31" s="280" t="str">
        <x:v>What the engineering answer must contain</x:v>
      </x:c>
      <x:c r="B31" s="280" t="str">
        <x:v>What the engineering answer must contain</x:v>
      </x:c>
      <x:c r="C31" s="280" t="str">
        <x:v>What the engineering answer must contain</x:v>
      </x:c>
      <x:c r="D31" s="280" t="str">
        <x:v>What the engineering answer must contain</x:v>
      </x:c>
      <x:c r="E31" s="280" t="str">
        <x:v>What the engineering answer must contain</x:v>
      </x:c>
      <x:c r="F31" s="280" t="str">
        <x:v>What the engineering answer must contain</x:v>
      </x:c>
      <x:c r="G31" s="280" t="str">
        <x:v>What the engineering answer must contain</x:v>
      </x:c>
      <x:c r="H31" s="280" t="str">
        <x:v>What the engineering answer must contain</x:v>
      </x:c>
      <x:c r="I31" s="280" t="str">
        <x:v>What the engineering answer must contain</x:v>
      </x:c>
      <x:c r="J31" s="280" t="str">
        <x:v>What the engineering answer must contain</x:v>
      </x:c>
      <x:c r="K31" s="280" t="str">
        <x:v>What the engineering answer must contain</x:v>
      </x:c>
      <x:c r="L31" s="280" t="str">
        <x:v>What the engineering answer must contain</x:v>
      </x:c>
      <x:c r="M31" s="280" t="str">
        <x:v>What the engineering answer must contain</x:v>
      </x:c>
      <x:c r="N31" s="280" t="str">
        <x:v>What the engineering answer must contain</x:v>
      </x:c>
      <x:c r="O31" s="280" t="str">
        <x:v>What the engineering answer must contain</x:v>
      </x:c>
    </x:row>
    <x:row r="32" ht="28" customHeight="1">
      <x:c r="A32" s="357" t="n">
        <x:v>1</x:v>
      </x:c>
      <x:c r="B32" s="360" t="str">
        <x:v>Develop several implementable designs and state pressure, membrane area, membrane properties and ERD assumptions.</x:v>
      </x:c>
      <x:c r="C32" s="360" t="str">
        <x:v>Develop several implementable designs and state pressure, membrane area, membrane properties and ERD assumptions.</x:v>
      </x:c>
      <x:c r="D32" s="360" t="str">
        <x:v>Develop several implementable designs and state pressure, membrane area, membrane properties and ERD assumptions.</x:v>
      </x:c>
      <x:c r="E32" s="360" t="str">
        <x:v>Develop several implementable designs and state pressure, membrane area, membrane properties and ERD assumptions.</x:v>
      </x:c>
      <x:c r="F32" s="360" t="str">
        <x:v>Develop several implementable designs and state pressure, membrane area, membrane properties and ERD assumptions.</x:v>
      </x:c>
      <x:c r="G32" s="360" t="str">
        <x:v>Develop several implementable designs and state pressure, membrane area, membrane properties and ERD assumptions.</x:v>
      </x:c>
      <x:c r="H32" s="360" t="str">
        <x:v>Develop several implementable designs and state pressure, membrane area, membrane properties and ERD assumptions.</x:v>
      </x:c>
      <x:c r="I32" s="360" t="str">
        <x:v>Develop several implementable designs and state pressure, membrane area, membrane properties and ERD assumptions.</x:v>
      </x:c>
      <x:c r="J32" s="360" t="str">
        <x:v>Develop several implementable designs and state pressure, membrane area, membrane properties and ERD assumptions.</x:v>
      </x:c>
      <x:c r="K32" s="360" t="str">
        <x:v>Develop several implementable designs and state pressure, membrane area, membrane properties and ERD assumptions.</x:v>
      </x:c>
      <x:c r="L32" s="360" t="str">
        <x:v>Develop several implementable designs and state pressure, membrane area, membrane properties and ERD assumptions.</x:v>
      </x:c>
      <x:c r="M32" s="360" t="str">
        <x:v>Develop several implementable designs and state pressure, membrane area, membrane properties and ERD assumptions.</x:v>
      </x:c>
      <x:c r="N32" s="360" t="str">
        <x:v>Develop several implementable designs and state pressure, membrane area, membrane properties and ERD assumptions.</x:v>
      </x:c>
      <x:c r="O32" s="360" t="str">
        <x:v>Develop several implementable designs and state pressure, membrane area, membrane properties and ERD assumptions.</x:v>
      </x:c>
    </x:row>
    <x:row r="33" ht="28" customHeight="1">
      <x:c r="A33" s="357" t="n">
        <x:v>2</x:v>
      </x:c>
      <x:c r="B33" s="360" t="str">
        <x:v>Assess membrane water, permeate NaCl, inlet CP, plant product and SEC in all three states.</x:v>
      </x:c>
      <x:c r="C33" s="360" t="str">
        <x:v>Assess membrane water, permeate NaCl, inlet CP, plant product and SEC in all three states.</x:v>
      </x:c>
      <x:c r="D33" s="360" t="str">
        <x:v>Assess membrane water, permeate NaCl, inlet CP, plant product and SEC in all three states.</x:v>
      </x:c>
      <x:c r="E33" s="360" t="str">
        <x:v>Assess membrane water, permeate NaCl, inlet CP, plant product and SEC in all three states.</x:v>
      </x:c>
      <x:c r="F33" s="360" t="str">
        <x:v>Assess membrane water, permeate NaCl, inlet CP, plant product and SEC in all three states.</x:v>
      </x:c>
      <x:c r="G33" s="360" t="str">
        <x:v>Assess membrane water, permeate NaCl, inlet CP, plant product and SEC in all three states.</x:v>
      </x:c>
      <x:c r="H33" s="360" t="str">
        <x:v>Assess membrane water, permeate NaCl, inlet CP, plant product and SEC in all three states.</x:v>
      </x:c>
      <x:c r="I33" s="360" t="str">
        <x:v>Assess membrane water, permeate NaCl, inlet CP, plant product and SEC in all three states.</x:v>
      </x:c>
      <x:c r="J33" s="360" t="str">
        <x:v>Assess membrane water, permeate NaCl, inlet CP, plant product and SEC in all three states.</x:v>
      </x:c>
      <x:c r="K33" s="360" t="str">
        <x:v>Assess membrane water, permeate NaCl, inlet CP, plant product and SEC in all three states.</x:v>
      </x:c>
      <x:c r="L33" s="360" t="str">
        <x:v>Assess membrane water, permeate NaCl, inlet CP, plant product and SEC in all three states.</x:v>
      </x:c>
      <x:c r="M33" s="360" t="str">
        <x:v>Assess membrane water, permeate NaCl, inlet CP, plant product and SEC in all three states.</x:v>
      </x:c>
      <x:c r="N33" s="360" t="str">
        <x:v>Assess membrane water, permeate NaCl, inlet CP, plant product and SEC in all three states.</x:v>
      </x:c>
      <x:c r="O33" s="360" t="str">
        <x:v>Assess membrane water, permeate NaCl, inlet CP, plant product and SEC in all three states.</x:v>
      </x:c>
    </x:row>
    <x:row r="34" ht="28" customHeight="1">
      <x:c r="A34" s="357" t="n">
        <x:v>3</x:v>
      </x:c>
      <x:c r="B34" s="360" t="str">
        <x:v>Do not rank a design economically or energetically if it violates any hard constraint.</x:v>
      </x:c>
      <x:c r="C34" s="360" t="str">
        <x:v>Do not rank a design economically or energetically if it violates any hard constraint.</x:v>
      </x:c>
      <x:c r="D34" s="360" t="str">
        <x:v>Do not rank a design economically or energetically if it violates any hard constraint.</x:v>
      </x:c>
      <x:c r="E34" s="360" t="str">
        <x:v>Do not rank a design economically or energetically if it violates any hard constraint.</x:v>
      </x:c>
      <x:c r="F34" s="360" t="str">
        <x:v>Do not rank a design economically or energetically if it violates any hard constraint.</x:v>
      </x:c>
      <x:c r="G34" s="360" t="str">
        <x:v>Do not rank a design economically or energetically if it violates any hard constraint.</x:v>
      </x:c>
      <x:c r="H34" s="360" t="str">
        <x:v>Do not rank a design economically or energetically if it violates any hard constraint.</x:v>
      </x:c>
      <x:c r="I34" s="360" t="str">
        <x:v>Do not rank a design economically or energetically if it violates any hard constraint.</x:v>
      </x:c>
      <x:c r="J34" s="360" t="str">
        <x:v>Do not rank a design economically or energetically if it violates any hard constraint.</x:v>
      </x:c>
      <x:c r="K34" s="360" t="str">
        <x:v>Do not rank a design economically or energetically if it violates any hard constraint.</x:v>
      </x:c>
      <x:c r="L34" s="360" t="str">
        <x:v>Do not rank a design economically or energetically if it violates any hard constraint.</x:v>
      </x:c>
      <x:c r="M34" s="360" t="str">
        <x:v>Do not rank a design economically or energetically if it violates any hard constraint.</x:v>
      </x:c>
      <x:c r="N34" s="360" t="str">
        <x:v>Do not rank a design economically or energetically if it violates any hard constraint.</x:v>
      </x:c>
      <x:c r="O34" s="360" t="str">
        <x:v>Do not rank a design economically or energetically if it violates any hard constraint.</x:v>
      </x:c>
    </x:row>
    <x:row r="35" ht="28" customHeight="1">
      <x:c r="A35" s="357" t="n">
        <x:v>4</x:v>
      </x:c>
      <x:c r="B35" s="360" t="str">
        <x:v>Calculate weighted annual SEC for the feasible designs and recommend one.</x:v>
      </x:c>
      <x:c r="C35" s="360" t="str">
        <x:v>Calculate weighted annual SEC for the feasible designs and recommend one.</x:v>
      </x:c>
      <x:c r="D35" s="360" t="str">
        <x:v>Calculate weighted annual SEC for the feasible designs and recommend one.</x:v>
      </x:c>
      <x:c r="E35" s="360" t="str">
        <x:v>Calculate weighted annual SEC for the feasible designs and recommend one.</x:v>
      </x:c>
      <x:c r="F35" s="360" t="str">
        <x:v>Calculate weighted annual SEC for the feasible designs and recommend one.</x:v>
      </x:c>
      <x:c r="G35" s="360" t="str">
        <x:v>Calculate weighted annual SEC for the feasible designs and recommend one.</x:v>
      </x:c>
      <x:c r="H35" s="360" t="str">
        <x:v>Calculate weighted annual SEC for the feasible designs and recommend one.</x:v>
      </x:c>
      <x:c r="I35" s="360" t="str">
        <x:v>Calculate weighted annual SEC for the feasible designs and recommend one.</x:v>
      </x:c>
      <x:c r="J35" s="360" t="str">
        <x:v>Calculate weighted annual SEC for the feasible designs and recommend one.</x:v>
      </x:c>
      <x:c r="K35" s="360" t="str">
        <x:v>Calculate weighted annual SEC for the feasible designs and recommend one.</x:v>
      </x:c>
      <x:c r="L35" s="360" t="str">
        <x:v>Calculate weighted annual SEC for the feasible designs and recommend one.</x:v>
      </x:c>
      <x:c r="M35" s="360" t="str">
        <x:v>Calculate weighted annual SEC for the feasible designs and recommend one.</x:v>
      </x:c>
      <x:c r="N35" s="360" t="str">
        <x:v>Calculate weighted annual SEC for the feasible designs and recommend one.</x:v>
      </x:c>
      <x:c r="O35" s="360" t="str">
        <x:v>Calculate weighted annual SEC for the feasible designs and recommend one.</x:v>
      </x:c>
    </x:row>
    <x:row r="36" ht="28" customHeight="1">
      <x:c r="A36" s="357" t="n">
        <x:v>5</x:v>
      </x:c>
      <x:c r="B36" s="360" t="str">
        <x:v>Explain the decisive defect or trade-off for at least three rejected designs and report the recommended design's worst-case margins.</x:v>
      </x:c>
      <x:c r="C36" s="360" t="str">
        <x:v>Explain the decisive defect or trade-off for at least three rejected designs and report the recommended design's worst-case margins.</x:v>
      </x:c>
      <x:c r="D36" s="360" t="str">
        <x:v>Explain the decisive defect or trade-off for at least three rejected designs and report the recommended design's worst-case margins.</x:v>
      </x:c>
      <x:c r="E36" s="360" t="str">
        <x:v>Explain the decisive defect or trade-off for at least three rejected designs and report the recommended design's worst-case margins.</x:v>
      </x:c>
      <x:c r="F36" s="360" t="str">
        <x:v>Explain the decisive defect or trade-off for at least three rejected designs and report the recommended design's worst-case margins.</x:v>
      </x:c>
      <x:c r="G36" s="360" t="str">
        <x:v>Explain the decisive defect or trade-off for at least three rejected designs and report the recommended design's worst-case margins.</x:v>
      </x:c>
      <x:c r="H36" s="360" t="str">
        <x:v>Explain the decisive defect or trade-off for at least three rejected designs and report the recommended design's worst-case margins.</x:v>
      </x:c>
      <x:c r="I36" s="360" t="str">
        <x:v>Explain the decisive defect or trade-off for at least three rejected designs and report the recommended design's worst-case margins.</x:v>
      </x:c>
      <x:c r="J36" s="360" t="str">
        <x:v>Explain the decisive defect or trade-off for at least three rejected designs and report the recommended design's worst-case margins.</x:v>
      </x:c>
      <x:c r="K36" s="360" t="str">
        <x:v>Explain the decisive defect or trade-off for at least three rejected designs and report the recommended design's worst-case margins.</x:v>
      </x:c>
      <x:c r="L36" s="360" t="str">
        <x:v>Explain the decisive defect or trade-off for at least three rejected designs and report the recommended design's worst-case margins.</x:v>
      </x:c>
      <x:c r="M36" s="360" t="str">
        <x:v>Explain the decisive defect or trade-off for at least three rejected designs and report the recommended design's worst-case margins.</x:v>
      </x:c>
      <x:c r="N36" s="360" t="str">
        <x:v>Explain the decisive defect or trade-off for at least three rejected designs and report the recommended design's worst-case margins.</x:v>
      </x:c>
      <x:c r="O36" s="360" t="str">
        <x:v>Explain the decisive defect or trade-off for at least three rejected designs and report the recommended design's worst-case margins.</x:v>
      </x:c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</x:row>
    <x:row r="38" ht="23" customHeight="1">
      <x:c r="A38" s="375" t="str">
        <x:v>Assessment principle: a design that fails one operating state is infeasible. State all assumptions and support the recommendation with worst-state evidence.</x:v>
      </x:c>
      <x:c r="B38" s="376" t="str">
        <x:v>Assessment principle: a design that fails one operating state is infeasible. State all assumptions and support the recommendation with worst-state evidence.</x:v>
      </x:c>
      <x:c r="C38" s="376" t="str">
        <x:v>Assessment principle: a design that fails one operating state is infeasible. State all assumptions and support the recommendation with worst-state evidence.</x:v>
      </x:c>
      <x:c r="D38" s="376" t="str">
        <x:v>Assessment principle: a design that fails one operating state is infeasible. State all assumptions and support the recommendation with worst-state evidence.</x:v>
      </x:c>
      <x:c r="E38" s="376" t="str">
        <x:v>Assessment principle: a design that fails one operating state is infeasible. State all assumptions and support the recommendation with worst-state evidence.</x:v>
      </x:c>
      <x:c r="F38" s="376" t="str">
        <x:v>Assessment principle: a design that fails one operating state is infeasible. State all assumptions and support the recommendation with worst-state evidence.</x:v>
      </x:c>
      <x:c r="G38" s="376" t="str">
        <x:v>Assessment principle: a design that fails one operating state is infeasible. State all assumptions and support the recommendation with worst-state evidence.</x:v>
      </x:c>
      <x:c r="H38" s="376" t="str">
        <x:v>Assessment principle: a design that fails one operating state is infeasible. State all assumptions and support the recommendation with worst-state evidence.</x:v>
      </x:c>
      <x:c r="I38" s="376" t="str">
        <x:v>Assessment principle: a design that fails one operating state is infeasible. State all assumptions and support the recommendation with worst-state evidence.</x:v>
      </x:c>
      <x:c r="J38" s="376" t="str">
        <x:v>Assessment principle: a design that fails one operating state is infeasible. State all assumptions and support the recommendation with worst-state evidence.</x:v>
      </x:c>
      <x:c r="K38" s="376" t="str">
        <x:v>Assessment principle: a design that fails one operating state is infeasible. State all assumptions and support the recommendation with worst-state evidence.</x:v>
      </x:c>
      <x:c r="L38" s="376" t="str">
        <x:v>Assessment principle: a design that fails one operating state is infeasible. State all assumptions and support the recommendation with worst-state evidence.</x:v>
      </x:c>
      <x:c r="M38" s="376" t="str">
        <x:v>Assessment principle: a design that fails one operating state is infeasible. State all assumptions and support the recommendation with worst-state evidence.</x:v>
      </x:c>
      <x:c r="N38" s="376" t="str">
        <x:v>Assessment principle: a design that fails one operating state is infeasible. State all assumptions and support the recommendation with worst-state evidence.</x:v>
      </x:c>
      <x:c r="O38" s="377" t="str">
        <x:v>Assessment principle: a design that fails one operating state is infeasible. State all assumptions and support the recommendation with worst-state evidence.</x:v>
      </x:c>
    </x:row>
    <x:row r="39" ht="23" customHeight="1">
      <x:c r="A39" s="378" t="str">
        <x:v>Assessment principle: a design that fails one operating state is infeasible. State all assumptions and support the recommendation with worst-state evidence.</x:v>
      </x:c>
      <x:c r="B39" s="379" t="str">
        <x:v>Assessment principle: a design that fails one operating state is infeasible. State all assumptions and support the recommendation with worst-state evidence.</x:v>
      </x:c>
      <x:c r="C39" s="379" t="str">
        <x:v>Assessment principle: a design that fails one operating state is infeasible. State all assumptions and support the recommendation with worst-state evidence.</x:v>
      </x:c>
      <x:c r="D39" s="379" t="str">
        <x:v>Assessment principle: a design that fails one operating state is infeasible. State all assumptions and support the recommendation with worst-state evidence.</x:v>
      </x:c>
      <x:c r="E39" s="379" t="str">
        <x:v>Assessment principle: a design that fails one operating state is infeasible. State all assumptions and support the recommendation with worst-state evidence.</x:v>
      </x:c>
      <x:c r="F39" s="379" t="str">
        <x:v>Assessment principle: a design that fails one operating state is infeasible. State all assumptions and support the recommendation with worst-state evidence.</x:v>
      </x:c>
      <x:c r="G39" s="379" t="str">
        <x:v>Assessment principle: a design that fails one operating state is infeasible. State all assumptions and support the recommendation with worst-state evidence.</x:v>
      </x:c>
      <x:c r="H39" s="379" t="str">
        <x:v>Assessment principle: a design that fails one operating state is infeasible. State all assumptions and support the recommendation with worst-state evidence.</x:v>
      </x:c>
      <x:c r="I39" s="379" t="str">
        <x:v>Assessment principle: a design that fails one operating state is infeasible. State all assumptions and support the recommendation with worst-state evidence.</x:v>
      </x:c>
      <x:c r="J39" s="379" t="str">
        <x:v>Assessment principle: a design that fails one operating state is infeasible. State all assumptions and support the recommendation with worst-state evidence.</x:v>
      </x:c>
      <x:c r="K39" s="379" t="str">
        <x:v>Assessment principle: a design that fails one operating state is infeasible. State all assumptions and support the recommendation with worst-state evidence.</x:v>
      </x:c>
      <x:c r="L39" s="379" t="str">
        <x:v>Assessment principle: a design that fails one operating state is infeasible. State all assumptions and support the recommendation with worst-state evidence.</x:v>
      </x:c>
      <x:c r="M39" s="379" t="str">
        <x:v>Assessment principle: a design that fails one operating state is infeasible. State all assumptions and support the recommendation with worst-state evidence.</x:v>
      </x:c>
      <x:c r="N39" s="379" t="str">
        <x:v>Assessment principle: a design that fails one operating state is infeasible. State all assumptions and support the recommendation with worst-state evidence.</x:v>
      </x:c>
      <x:c r="O39" s="380" t="str">
        <x:v>Assessment principle: a design that fails one operating state is infeasible. State all assumptions and support the recommendation with worst-state evidence.</x:v>
      </x:c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</x:sheetData>
  <x:mergeCells>
    <x:mergeCell ref="A11:O11"/>
    <x:mergeCell ref="A17:O17"/>
    <x:mergeCell ref="B18:O18"/>
    <x:mergeCell ref="B19:O19"/>
    <x:mergeCell ref="B20:O20"/>
    <x:mergeCell ref="B21:O21"/>
    <x:mergeCell ref="B22:O22"/>
    <x:mergeCell ref="B23:O23"/>
    <x:mergeCell ref="A25:O25"/>
    <x:mergeCell ref="A26:O29"/>
    <x:mergeCell ref="A31:O31"/>
    <x:mergeCell ref="B32:O32"/>
    <x:mergeCell ref="B33:O33"/>
    <x:mergeCell ref="A1:O2"/>
    <x:mergeCell ref="A3:O3"/>
    <x:mergeCell ref="A5:O5"/>
    <x:mergeCell ref="A6:O9"/>
    <x:mergeCell ref="B34:O34"/>
    <x:mergeCell ref="B35:O35"/>
    <x:mergeCell ref="B36:O36"/>
    <x:mergeCell ref="A38:O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Gold answer | D6_6c-H01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Validated 30-call trajectory and joint decision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Final engineering conclusion</x:v>
      </x:c>
      <x:c r="B5" s="11" t="str">
        <x:v>Final engineering conclusion</x:v>
      </x:c>
      <x:c r="C5" s="11" t="str">
        <x:v>Final engineering conclusion</x:v>
      </x:c>
      <x:c r="D5" s="11" t="str">
        <x:v>Final engineering conclusion</x:v>
      </x:c>
      <x:c r="E5" s="11" t="str">
        <x:v>Final engineering conclusion</x:v>
      </x:c>
      <x:c r="F5" s="11" t="str">
        <x:v>Final engineering conclusion</x:v>
      </x:c>
      <x:c r="G5" s="11" t="str">
        <x:v>Final engineering conclusion</x:v>
      </x:c>
      <x:c r="H5" s="11" t="str">
        <x:v>Final engineering conclusion</x:v>
      </x:c>
      <x:c r="I5" s="11" t="str">
        <x:v>Final engineering conclusion</x:v>
      </x:c>
      <x:c r="J5" s="11" t="str">
        <x:v>Final engineering conclusion</x:v>
      </x:c>
      <x:c r="K5" s="11" t="str">
        <x:v>Final engineering conclusion</x:v>
      </x:c>
      <x:c r="L5" s="11" t="str">
        <x:v>Final engineering conclusion</x:v>
      </x:c>
      <x:c r="M5" s="11" t="str">
        <x:v>Final engineering conclusion</x:v>
      </x:c>
      <x:c r="N5" s="11" t="str">
        <x:v>Final engineering conclusion</x:v>
      </x:c>
      <x:c r="O5" s="11" t="str">
        <x:v>Final engineering conclusion</x:v>
      </x:c>
    </x:row>
    <x:row r="6">
      <x:c r="A6" s="105" t="str">
        <x:v>Recommend D — High-rejection membrane. Across all three states, worst membrane water is 0.3215 kg/s, maximum permeate NaCl is 287.2 mg/L, maximum CP is 1.313, minimum plant product is 0.036260 m³/s and maximum SEC is 2.918 kWh/m³. The decisive metric is weighted SEC 2.875 kWh/m³.</x:v>
      </x:c>
      <x:c r="B6" s="106"/>
      <x:c r="C6" s="106"/>
      <x:c r="D6" s="106"/>
      <x:c r="E6" s="106"/>
      <x:c r="F6" s="106"/>
      <x:c r="G6" s="106"/>
      <x:c r="H6" s="106"/>
      <x:c r="I6" s="106"/>
      <x:c r="J6" s="106"/>
      <x:c r="K6" s="106"/>
      <x:c r="L6" s="106"/>
      <x:c r="M6" s="106"/>
      <x:c r="N6" s="106"/>
      <x:c r="O6" s="107"/>
    </x:row>
    <x:row r="7">
      <x:c r="A7" s="108"/>
      <x:c r="B7" s="109"/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09"/>
      <x:c r="O7" s="110"/>
    </x:row>
    <x:row r="8">
      <x:c r="A8" s="111"/>
      <x:c r="B8" s="112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3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1" t="str">
        <x:v>Branch A — 15 independent simulate_ro calls</x:v>
      </x:c>
      <x:c r="B10" s="11" t="str">
        <x:v>Branch A — 15 independent simulate_ro calls</x:v>
      </x:c>
      <x:c r="C10" s="11" t="str">
        <x:v>Branch A — 15 independent simulate_ro calls</x:v>
      </x:c>
      <x:c r="D10" s="11" t="str">
        <x:v>Branch A — 15 independent simulate_ro calls</x:v>
      </x:c>
      <x:c r="E10" s="11" t="str">
        <x:v>Branch A — 15 independent simulate_ro calls</x:v>
      </x:c>
      <x:c r="F10" s="11" t="str">
        <x:v>Branch A — 15 independent simulate_ro calls</x:v>
      </x:c>
      <x:c r="G10" s="11" t="str">
        <x:v>Branch A — 15 independent simulate_ro calls</x:v>
      </x:c>
      <x:c r="H10" s="11" t="str">
        <x:v>Branch A — 15 independent simulate_ro calls</x:v>
      </x:c>
      <x:c r="I10" s="11" t="str">
        <x:v>Branch A — 15 independent simulate_ro calls</x:v>
      </x:c>
      <x:c r="J10" s="1"/>
      <x:c r="K10" s="1"/>
      <x:c r="L10" s="1"/>
      <x:c r="M10" s="1"/>
      <x:c r="N10" s="1"/>
      <x:c r="O10" s="1"/>
    </x:row>
    <x:row r="11">
      <x:c r="A11" s="44" t="str">
        <x:v>Call ID</x:v>
      </x:c>
      <x:c r="B11" s="44" t="str">
        <x:v>Strategy</x:v>
      </x:c>
      <x:c r="C11" s="44" t="str">
        <x:v>State</x:v>
      </x:c>
      <x:c r="D11" s="44" t="str">
        <x:v>Water kg/s</x:v>
      </x:c>
      <x:c r="E11" s="44" t="str">
        <x:v>NaCl mg/L</x:v>
      </x:c>
      <x:c r="F11" s="44" t="str">
        <x:v>Limit</x:v>
      </x:c>
      <x:c r="G11" s="44" t="str">
        <x:v>Inlet CP</x:v>
      </x:c>
      <x:c r="H11" s="44" t="str">
        <x:v>Recovery %</x:v>
      </x:c>
      <x:c r="I11" s="44" t="str">
        <x:v>Membrane</x:v>
      </x:c>
      <x:c r="J11" s="1"/>
      <x:c r="K11" s="1"/>
      <x:c r="L11" s="1"/>
      <x:c r="M11" s="1"/>
      <x:c r="N11" s="1"/>
      <x:c r="O11" s="1"/>
    </x:row>
    <x:row r="12">
      <x:c r="A12" s="48" t="str">
        <x:v>A-S1</x:v>
      </x:c>
      <x:c r="B12" s="48" t="str">
        <x:v>A</x:v>
      </x:c>
      <x:c r="C12" s="48" t="str">
        <x:v>Normal seawater</x:v>
      </x:c>
      <x:c r="D12" s="50" t="n">
        <x:v>0.4069761989142145</x:v>
      </x:c>
      <x:c r="E12" s="50" t="n">
        <x:v>353.4731130551058</x:v>
      </x:c>
      <x:c r="F12" s="50" t="n">
        <x:v>300</x:v>
      </x:c>
      <x:c r="G12" s="50" t="n">
        <x:v>1.2974908350795005</x:v>
      </x:c>
      <x:c r="H12" s="50" t="n">
        <x:v>41.78344183848547</x:v>
      </x:c>
      <x:c r="I12" s="48" t="str">
        <x:f>IF(AND(D12&gt;=$O$47,E12&lt;=F12,G12&lt;=$O$48),"PASS","FAIL")</x:f>
        <x:v>FAIL</x:v>
      </x:c>
      <x:c r="J12" s="1"/>
      <x:c r="K12" s="1"/>
      <x:c r="L12" s="1"/>
      <x:c r="M12" s="1"/>
      <x:c r="N12" s="1"/>
      <x:c r="O12" s="1"/>
    </x:row>
    <x:row r="13">
      <x:c r="A13" s="48" t="str">
        <x:v>A-S2</x:v>
      </x:c>
      <x:c r="B13" s="48" t="str">
        <x:v>A</x:v>
      </x:c>
      <x:c r="C13" s="48" t="str">
        <x:v>Summer concentrated seawater</x:v>
      </x:c>
      <x:c r="D13" s="50" t="n">
        <x:v>0.3420737860651518</x:v>
      </x:c>
      <x:c r="E13" s="50" t="n">
        <x:v>430.9258654394099</x:v>
      </x:c>
      <x:c r="F13" s="50" t="n">
        <x:v>300</x:v>
      </x:c>
      <x:c r="G13" s="50" t="n">
        <x:v>1.2439138458146437</x:v>
      </x:c>
      <x:c r="H13" s="50" t="n">
        <x:v>35.224668184051815</x:v>
      </x:c>
      <x:c r="I13" s="48" t="str">
        <x:f>IF(AND(D13&gt;=$O$47,E13&lt;=F13,G13&lt;=$O$48),"PASS","FAIL")</x:f>
        <x:v>FAIL</x:v>
      </x:c>
      <x:c r="J13" s="1"/>
      <x:c r="K13" s="1"/>
      <x:c r="L13" s="1"/>
      <x:c r="M13" s="1"/>
      <x:c r="N13" s="1"/>
      <x:c r="O13" s="1"/>
    </x:row>
    <x:row r="14">
      <x:c r="A14" s="48" t="str">
        <x:v>A-S3</x:v>
      </x:c>
      <x:c r="B14" s="48" t="str">
        <x:v>A</x:v>
      </x:c>
      <x:c r="C14" s="48" t="str">
        <x:v>Seawater-intrusion peak</x:v>
      </x:c>
      <x:c r="D14" s="50" t="n">
        <x:v>0.2937672658337739</x:v>
      </x:c>
      <x:c r="E14" s="50" t="n">
        <x:v>522.3129108041275</x:v>
      </x:c>
      <x:c r="F14" s="50" t="n">
        <x:v>300</x:v>
      </x:c>
      <x:c r="G14" s="50" t="n">
        <x:v>1.2058599183669152</x:v>
      </x:c>
      <x:c r="H14" s="50" t="n">
        <x:v>30.340316886477808</x:v>
      </x:c>
      <x:c r="I14" s="48" t="str">
        <x:f>IF(AND(D14&gt;=$O$47,E14&lt;=F14,G14&lt;=$O$48),"PASS","FAIL")</x:f>
        <x:v>FAIL</x:v>
      </x:c>
      <x:c r="J14" s="1"/>
      <x:c r="K14" s="1"/>
      <x:c r="L14" s="1"/>
      <x:c r="M14" s="1"/>
      <x:c r="N14" s="1"/>
      <x:c r="O14" s="1"/>
    </x:row>
    <x:row r="15">
      <x:c r="A15" s="48" t="str">
        <x:v>B-S1</x:v>
      </x:c>
      <x:c r="B15" s="48" t="str">
        <x:v>B</x:v>
      </x:c>
      <x:c r="C15" s="48" t="str">
        <x:v>Normal seawater</x:v>
      </x:c>
      <x:c r="D15" s="50" t="n">
        <x:v>0.416828319527355</x:v>
      </x:c>
      <x:c r="E15" s="50" t="n">
        <x:v>309.6485244371646</x:v>
      </x:c>
      <x:c r="F15" s="50" t="n">
        <x:v>300</x:v>
      </x:c>
      <x:c r="G15" s="50" t="n">
        <x:v>1.3268019948302547</x:v>
      </x:c>
      <x:c r="H15" s="50" t="n">
        <x:v>42.79448811784619</x:v>
      </x:c>
      <x:c r="I15" s="48" t="str">
        <x:f>IF(AND(D15&gt;=$O$47,E15&lt;=F15,G15&lt;=$O$48),"PASS","FAIL")</x:f>
        <x:v>FAIL</x:v>
      </x:c>
      <x:c r="J15" s="1"/>
      <x:c r="K15" s="1"/>
      <x:c r="L15" s="1"/>
      <x:c r="M15" s="1"/>
      <x:c r="N15" s="1"/>
      <x:c r="O15" s="1"/>
    </x:row>
    <x:row r="16">
      <x:c r="A16" s="48" t="str">
        <x:v>B-S2</x:v>
      </x:c>
      <x:c r="B16" s="48" t="str">
        <x:v>B</x:v>
      </x:c>
      <x:c r="C16" s="48" t="str">
        <x:v>Summer concentrated seawater</x:v>
      </x:c>
      <x:c r="D16" s="50" t="n">
        <x:v>0.3561090764470323</x:v>
      </x:c>
      <x:c r="E16" s="50" t="n">
        <x:v>372.04996144610357</x:v>
      </x:c>
      <x:c r="F16" s="50" t="n">
        <x:v>300</x:v>
      </x:c>
      <x:c r="G16" s="50" t="n">
        <x:v>1.272932245228525</x:v>
      </x:c>
      <x:c r="H16" s="50" t="n">
        <x:v>36.669416670510394</x:v>
      </x:c>
      <x:c r="I16" s="48" t="str">
        <x:f>IF(AND(D16&gt;=$O$47,E16&lt;=F16,G16&lt;=$O$48),"PASS","FAIL")</x:f>
        <x:v>FAIL</x:v>
      </x:c>
      <x:c r="J16" s="1"/>
      <x:c r="K16" s="1"/>
      <x:c r="L16" s="1"/>
      <x:c r="M16" s="1"/>
      <x:c r="N16" s="1"/>
      <x:c r="O16" s="1"/>
    </x:row>
    <x:row r="17">
      <x:c r="A17" s="48" t="str">
        <x:v>B-S3</x:v>
      </x:c>
      <x:c r="B17" s="48" t="str">
        <x:v>B</x:v>
      </x:c>
      <x:c r="C17" s="48" t="str">
        <x:v>Seawater-intrusion peak</x:v>
      </x:c>
      <x:c r="D17" s="50" t="n">
        <x:v>0.31084471986825046</x:v>
      </x:c>
      <x:c r="E17" s="50" t="n">
        <x:v>444.2038005066931</x:v>
      </x:c>
      <x:c r="F17" s="50" t="n">
        <x:v>300</x:v>
      </x:c>
      <x:c r="G17" s="50" t="n">
        <x:v>1.234562172058036</x:v>
      </x:c>
      <x:c r="H17" s="50" t="n">
        <x:v>32.103474057413756</x:v>
      </x:c>
      <x:c r="I17" s="48" t="str">
        <x:f>IF(AND(D17&gt;=$O$47,E17&lt;=F17,G17&lt;=$O$48),"PASS","FAIL")</x:f>
        <x:v>FAIL</x:v>
      </x:c>
      <x:c r="J17" s="1"/>
      <x:c r="K17" s="1"/>
      <x:c r="L17" s="1"/>
      <x:c r="M17" s="1"/>
      <x:c r="N17" s="1"/>
      <x:c r="O17" s="1"/>
    </x:row>
    <x:row r="18">
      <x:c r="A18" s="48" t="str">
        <x:v>C-S1</x:v>
      </x:c>
      <x:c r="B18" s="48" t="str">
        <x:v>C</x:v>
      </x:c>
      <x:c r="C18" s="48" t="str">
        <x:v>Normal seawater</x:v>
      </x:c>
      <x:c r="D18" s="50" t="n">
        <x:v>0.43663364114910846</x:v>
      </x:c>
      <x:c r="E18" s="50" t="n">
        <x:v>276.3578418175145</x:v>
      </x:c>
      <x:c r="F18" s="50" t="n">
        <x:v>300</x:v>
      </x:c>
      <x:c r="G18" s="50" t="n">
        <x:v>1.3671275017589923</x:v>
      </x:c>
      <x:c r="H18" s="50" t="n">
        <x:v>44.82748073453365</x:v>
      </x:c>
      <x:c r="I18" s="48" t="str">
        <x:f>IF(AND(D18&gt;=$O$47,E18&lt;=F18,G18&lt;=$O$48),"PASS","FAIL")</x:f>
        <x:v>PASS</x:v>
      </x:c>
      <x:c r="J18" s="1"/>
      <x:c r="K18" s="1"/>
      <x:c r="L18" s="1"/>
      <x:c r="M18" s="1"/>
      <x:c r="N18" s="1"/>
      <x:c r="O18" s="1"/>
    </x:row>
    <x:row r="19">
      <x:c r="A19" s="48" t="str">
        <x:v>C-S2</x:v>
      </x:c>
      <x:c r="B19" s="48" t="str">
        <x:v>C</x:v>
      </x:c>
      <x:c r="C19" s="48" t="str">
        <x:v>Summer concentrated seawater</x:v>
      </x:c>
      <x:c r="D19" s="50" t="n">
        <x:v>0.3793394223240004</x:v>
      </x:c>
      <x:c r="E19" s="50" t="n">
        <x:v>326.63051914783716</x:v>
      </x:c>
      <x:c r="F19" s="50" t="n">
        <x:v>300</x:v>
      </x:c>
      <x:c r="G19" s="50" t="n">
        <x:v>1.3118941310878096</x:v>
      </x:c>
      <x:c r="H19" s="50" t="n">
        <x:v>39.0610746888082</x:v>
      </x:c>
      <x:c r="I19" s="48" t="str">
        <x:f>IF(AND(D19&gt;=$O$47,E19&lt;=F19,G19&lt;=$O$48),"PASS","FAIL")</x:f>
        <x:v>FAIL</x:v>
      </x:c>
      <x:c r="J19" s="1"/>
      <x:c r="K19" s="1"/>
      <x:c r="L19" s="1"/>
      <x:c r="M19" s="1"/>
      <x:c r="N19" s="1"/>
      <x:c r="O19" s="1"/>
    </x:row>
    <x:row r="20">
      <x:c r="A20" s="48" t="str">
        <x:v>C-S3</x:v>
      </x:c>
      <x:c r="B20" s="48" t="str">
        <x:v>C</x:v>
      </x:c>
      <x:c r="C20" s="48" t="str">
        <x:v>Seawater-intrusion peak</x:v>
      </x:c>
      <x:c r="D20" s="50" t="n">
        <x:v>0.33653055177387714</x:v>
      </x:c>
      <x:c r="E20" s="50" t="n">
        <x:v>383.78892263876605</x:v>
      </x:c>
      <x:c r="F20" s="50" t="n">
        <x:v>300</x:v>
      </x:c>
      <x:c r="G20" s="50" t="n">
        <x:v>1.2724861758054213</x:v>
      </x:c>
      <x:c r="H20" s="50" t="n">
        <x:v>34.75575405040226</x:v>
      </x:c>
      <x:c r="I20" s="48" t="str">
        <x:f>IF(AND(D20&gt;=$O$47,E20&lt;=F20,G20&lt;=$O$48),"PASS","FAIL")</x:f>
        <x:v>FAIL</x:v>
      </x:c>
      <x:c r="J20" s="1"/>
      <x:c r="K20" s="1"/>
      <x:c r="L20" s="1"/>
      <x:c r="M20" s="1"/>
      <x:c r="N20" s="1"/>
      <x:c r="O20" s="1"/>
    </x:row>
    <x:row r="21">
      <x:c r="A21" s="48" t="str">
        <x:v>D-S1</x:v>
      </x:c>
      <x:c r="B21" s="48" t="str">
        <x:v>D</x:v>
      </x:c>
      <x:c r="C21" s="48" t="str">
        <x:v>Normal seawater</x:v>
      </x:c>
      <x:c r="D21" s="50" t="n">
        <x:v>0.42239360851237323</x:v>
      </x:c>
      <x:c r="E21" s="50" t="n">
        <x:v>203.1028242304997</x:v>
      </x:c>
      <x:c r="F21" s="50" t="n">
        <x:v>300</x:v>
      </x:c>
      <x:c r="G21" s="50" t="n">
        <x:v>1.3129561500838614</x:v>
      </x:c>
      <x:c r="H21" s="50" t="n">
        <x:v>43.364747618701365</x:v>
      </x:c>
      <x:c r="I21" s="48" t="str">
        <x:f>IF(AND(D21&gt;=$O$47,E21&lt;=F21,G21&lt;=$O$48),"PASS","FAIL")</x:f>
        <x:v>PASS</x:v>
      </x:c>
      <x:c r="J21" s="1"/>
      <x:c r="K21" s="1"/>
      <x:c r="L21" s="1"/>
      <x:c r="M21" s="1"/>
      <x:c r="N21" s="1"/>
      <x:c r="O21" s="1"/>
    </x:row>
    <x:row r="22">
      <x:c r="A22" s="48" t="str">
        <x:v>D-S2</x:v>
      </x:c>
      <x:c r="B22" s="48" t="str">
        <x:v>D</x:v>
      </x:c>
      <x:c r="C22" s="48" t="str">
        <x:v>Summer concentrated seawater</x:v>
      </x:c>
      <x:c r="D22" s="50" t="n">
        <x:v>0.36465410013640515</x:v>
      </x:c>
      <x:c r="E22" s="50" t="n">
        <x:v>242.35258957225415</x:v>
      </x:c>
      <x:c r="F22" s="50" t="n">
        <x:v>300</x:v>
      </x:c>
      <x:c r="G22" s="50" t="n">
        <x:v>1.2655809031560357</x:v>
      </x:c>
      <x:c r="H22" s="50" t="n">
        <x:v>37.548146385442436</x:v>
      </x:c>
      <x:c r="I22" s="48" t="str">
        <x:f>IF(AND(D22&gt;=$O$47,E22&lt;=F22,G22&lt;=$O$48),"PASS","FAIL")</x:f>
        <x:v>PASS</x:v>
      </x:c>
      <x:c r="J22" s="1"/>
      <x:c r="K22" s="1"/>
      <x:c r="L22" s="1"/>
      <x:c r="M22" s="1"/>
      <x:c r="N22" s="1"/>
      <x:c r="O22" s="1"/>
    </x:row>
    <x:row r="23">
      <x:c r="A23" s="48" t="str">
        <x:v>D-S3</x:v>
      </x:c>
      <x:c r="B23" s="48" t="str">
        <x:v>D</x:v>
      </x:c>
      <x:c r="C23" s="48" t="str">
        <x:v>Seawater-intrusion peak</x:v>
      </x:c>
      <x:c r="D23" s="50" t="n">
        <x:v>0.32146423151679526</x:v>
      </x:c>
      <x:c r="E23" s="50" t="n">
        <x:v>287.2380202285703</x:v>
      </x:c>
      <x:c r="F23" s="50" t="n">
        <x:v>300</x:v>
      </x:c>
      <x:c r="G23" s="50" t="n">
        <x:v>1.2314684010502508</x:v>
      </x:c>
      <x:c r="H23" s="50" t="n">
        <x:v>33.19898305218957</x:v>
      </x:c>
      <x:c r="I23" s="48" t="str">
        <x:f>IF(AND(D23&gt;=$O$47,E23&lt;=F23,G23&lt;=$O$48),"PASS","FAIL")</x:f>
        <x:v>PASS</x:v>
      </x:c>
      <x:c r="J23" s="1"/>
      <x:c r="K23" s="1"/>
      <x:c r="L23" s="1"/>
      <x:c r="M23" s="1"/>
      <x:c r="N23" s="1"/>
      <x:c r="O23" s="1"/>
    </x:row>
    <x:row r="24">
      <x:c r="A24" s="48" t="str">
        <x:v>E-S1</x:v>
      </x:c>
      <x:c r="B24" s="48" t="str">
        <x:v>E</x:v>
      </x:c>
      <x:c r="C24" s="48" t="str">
        <x:v>Normal seawater</x:v>
      </x:c>
      <x:c r="D24" s="50" t="n">
        <x:v>0.4270372748265454</x:v>
      </x:c>
      <x:c r="E24" s="50" t="n">
        <x:v>475.86510155279234</x:v>
      </x:c>
      <x:c r="F24" s="50" t="n">
        <x:v>300</x:v>
      </x:c>
      <x:c r="G24" s="50" t="n">
        <x:v>1.350323501774977</x:v>
      </x:c>
      <x:c r="H24" s="50" t="n">
        <x:v>43.844365303659735</x:v>
      </x:c>
      <x:c r="I24" s="48" t="str">
        <x:f>IF(AND(D24&gt;=$O$47,E24&lt;=F24,G24&lt;=$O$48),"PASS","FAIL")</x:f>
        <x:v>FAIL</x:v>
      </x:c>
      <x:c r="J24" s="1"/>
      <x:c r="K24" s="1"/>
      <x:c r="L24" s="1"/>
      <x:c r="M24" s="1"/>
      <x:c r="N24" s="1"/>
      <x:c r="O24" s="1"/>
    </x:row>
    <x:row r="25">
      <x:c r="A25" s="48" t="str">
        <x:v>E-S2</x:v>
      </x:c>
      <x:c r="B25" s="48" t="str">
        <x:v>E</x:v>
      </x:c>
      <x:c r="C25" s="48" t="str">
        <x:v>Summer concentrated seawater</x:v>
      </x:c>
      <x:c r="D25" s="50" t="n">
        <x:v>0.3628091589540511</x:v>
      </x:c>
      <x:c r="E25" s="50" t="n">
        <x:v>572.0279247848433</x:v>
      </x:c>
      <x:c r="F25" s="50" t="n">
        <x:v>300</x:v>
      </x:c>
      <x:c r="G25" s="50" t="n">
        <x:v>1.2885279725419005</x:v>
      </x:c>
      <x:c r="H25" s="50" t="n">
        <x:v>37.361140601576295</x:v>
      </x:c>
      <x:c r="I25" s="48" t="str">
        <x:f>IF(AND(D25&gt;=$O$47,E25&lt;=F25,G25&lt;=$O$48),"PASS","FAIL")</x:f>
        <x:v>FAIL</x:v>
      </x:c>
      <x:c r="J25" s="1"/>
      <x:c r="K25" s="1"/>
      <x:c r="L25" s="1"/>
      <x:c r="M25" s="1"/>
      <x:c r="N25" s="1"/>
      <x:c r="O25" s="1"/>
    </x:row>
    <x:row r="26">
      <x:c r="A26" s="48" t="str">
        <x:v>E-S3</x:v>
      </x:c>
      <x:c r="B26" s="48" t="str">
        <x:v>E</x:v>
      </x:c>
      <x:c r="C26" s="48" t="str">
        <x:v>Seawater-intrusion peak</x:v>
      </x:c>
      <x:c r="D26" s="50" t="n">
        <x:v>0.3150257440633441</x:v>
      </x:c>
      <x:c r="E26" s="50" t="n">
        <x:v>684.0908546112028</x:v>
      </x:c>
      <x:c r="F26" s="50" t="n">
        <x:v>300</x:v>
      </x:c>
      <x:c r="G26" s="50" t="n">
        <x:v>1.2450472901396166</x:v>
      </x:c>
      <x:c r="H26" s="50" t="n">
        <x:v>32.537164308061165</x:v>
      </x:c>
      <x:c r="I26" s="48" t="str">
        <x:f>IF(AND(D26&gt;=$O$47,E26&lt;=F26,G26&lt;=$O$48),"PASS","FAIL")</x:f>
        <x:v>FAIL</x:v>
      </x:c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1" t="str">
        <x:v>Branch B — 15 independent simulate_swro_system calls</x:v>
      </x:c>
      <x:c r="B28" s="11" t="str">
        <x:v>Branch B — 15 independent simulate_swro_system calls</x:v>
      </x:c>
      <x:c r="C28" s="11" t="str">
        <x:v>Branch B — 15 independent simulate_swro_system calls</x:v>
      </x:c>
      <x:c r="D28" s="11" t="str">
        <x:v>Branch B — 15 independent simulate_swro_system calls</x:v>
      </x:c>
      <x:c r="E28" s="11" t="str">
        <x:v>Branch B — 15 independent simulate_swro_system calls</x:v>
      </x:c>
      <x:c r="F28" s="11" t="str">
        <x:v>Branch B — 15 independent simulate_swro_system calls</x:v>
      </x:c>
      <x:c r="G28" s="11" t="str">
        <x:v>Branch B — 15 independent simulate_swro_system calls</x:v>
      </x:c>
      <x:c r="H28" s="11" t="str">
        <x:v>Branch B — 15 independent simulate_swro_system calls</x:v>
      </x:c>
      <x:c r="I28" s="11" t="str">
        <x:v>Branch B — 15 independent simulate_swro_system calls</x:v>
      </x:c>
      <x:c r="J28" s="11" t="str">
        <x:v>Branch B — 15 independent simulate_swro_system calls</x:v>
      </x:c>
      <x:c r="K28" s="11" t="str">
        <x:v>Branch B — 15 independent simulate_swro_system calls</x:v>
      </x:c>
      <x:c r="L28" s="11" t="str">
        <x:v>Branch B — 15 independent simulate_swro_system calls</x:v>
      </x:c>
      <x:c r="M28" s="11" t="str">
        <x:v>Branch B — 15 independent simulate_swro_system calls</x:v>
      </x:c>
      <x:c r="N28" s="1"/>
      <x:c r="O28" s="1"/>
    </x:row>
    <x:row r="29">
      <x:c r="A29" s="44" t="str">
        <x:v>Call ID</x:v>
      </x:c>
      <x:c r="B29" s="44" t="str">
        <x:v>Strategy</x:v>
      </x:c>
      <x:c r="C29" s="44" t="str">
        <x:v>State</x:v>
      </x:c>
      <x:c r="D29" s="44" t="str">
        <x:v>Product m³/s</x:v>
      </x:c>
      <x:c r="E29" s="44" t="str">
        <x:v>Product m³/d</x:v>
      </x:c>
      <x:c r="F29" s="44" t="str">
        <x:v>Target m³/s</x:v>
      </x:c>
      <x:c r="G29" s="44" t="str">
        <x:v>Margin</x:v>
      </x:c>
      <x:c r="H29" s="44" t="str">
        <x:v>SEC</x:v>
      </x:c>
      <x:c r="I29" s="44" t="str">
        <x:v>LCOW</x:v>
      </x:c>
      <x:c r="J29" s="44" t="str">
        <x:v>CAPEX $M</x:v>
      </x:c>
      <x:c r="K29" s="44" t="str">
        <x:v>Weight</x:v>
      </x:c>
      <x:c r="L29" s="44" t="str">
        <x:v>Grid CI</x:v>
      </x:c>
      <x:c r="M29" s="44" t="str">
        <x:v>Plant</x:v>
      </x:c>
      <x:c r="N29" s="1"/>
      <x:c r="O29" s="1"/>
    </x:row>
    <x:row r="30">
      <x:c r="A30" s="48" t="str">
        <x:v>A-S1</x:v>
      </x:c>
      <x:c r="B30" s="48" t="str">
        <x:v>A</x:v>
      </x:c>
      <x:c r="C30" s="48" t="str">
        <x:v>Normal seawater</x:v>
      </x:c>
      <x:c r="D30" s="50" t="n">
        <x:v>0.04504649842956761</x:v>
      </x:c>
      <x:c r="E30" s="50" t="n">
        <x:f>D30*86400</x:f>
        <x:v>3892.0174643146415</x:v>
      </x:c>
      <x:c r="F30" s="50" t="n">
        <x:v>0.036</x:v>
      </x:c>
      <x:c r="G30" s="50" t="n">
        <x:f>D30-F30</x:f>
        <x:v>0.00904649842956761</x:v>
      </x:c>
      <x:c r="H30" s="50" t="n">
        <x:v>2.595040625980594</x:v>
      </x:c>
      <x:c r="I30" s="50" t="n">
        <x:v>1.0838739015244823</x:v>
      </x:c>
      <x:c r="J30" s="50" t="n">
        <x:v>13.107657004199737</x:v>
      </x:c>
      <x:c r="K30" s="49" t="n">
        <x:v>0.5</x:v>
      </x:c>
      <x:c r="L30" s="48" t="n">
        <x:v>0</x:v>
      </x:c>
      <x:c r="M30" s="48" t="str">
        <x:f>IF(AND(G30&gt;=0,H30&lt;=$O$49),"PASS","FAIL")</x:f>
        <x:v>PASS</x:v>
      </x:c>
      <x:c r="N30" s="1"/>
      <x:c r="O30" s="1"/>
    </x:row>
    <x:row r="31">
      <x:c r="A31" s="48" t="str">
        <x:v>A-S2</x:v>
      </x:c>
      <x:c r="B31" s="48" t="str">
        <x:v>A</x:v>
      </x:c>
      <x:c r="C31" s="48" t="str">
        <x:v>Summer concentrated seawater</x:v>
      </x:c>
      <x:c r="D31" s="50" t="n">
        <x:v>0.03908554626698275</x:v>
      </x:c>
      <x:c r="E31" s="50" t="n">
        <x:f>D31*86400</x:f>
        <x:v>3376.9911974673096</x:v>
      </x:c>
      <x:c r="F31" s="50" t="n">
        <x:v>0.036</x:v>
      </x:c>
      <x:c r="G31" s="50" t="n">
        <x:f>D31-F31</x:f>
        <x:v>0.00308554626698275</x:v>
      </x:c>
      <x:c r="H31" s="50" t="n">
        <x:v>2.6346772655232376</x:v>
      </x:c>
      <x:c r="I31" s="50" t="n">
        <x:v>1.2032548571048898</x:v>
      </x:c>
      <x:c r="J31" s="50" t="n">
        <x:v>12.766178461338981</x:v>
      </x:c>
      <x:c r="K31" s="49" t="n">
        <x:v>0.3</x:v>
      </x:c>
      <x:c r="L31" s="48" t="n">
        <x:v>0</x:v>
      </x:c>
      <x:c r="M31" s="48" t="str">
        <x:f>IF(AND(G31&gt;=0,H31&lt;=$O$49),"PASS","FAIL")</x:f>
        <x:v>PASS</x:v>
      </x:c>
      <x:c r="N31" s="1"/>
      <x:c r="O31" s="1"/>
    </x:row>
    <x:row r="32">
      <x:c r="A32" s="48" t="str">
        <x:v>A-S3</x:v>
      </x:c>
      <x:c r="B32" s="48" t="str">
        <x:v>A</x:v>
      </x:c>
      <x:c r="C32" s="48" t="str">
        <x:v>Seawater-intrusion peak</x:v>
      </x:c>
      <x:c r="D32" s="50" t="n">
        <x:v>0.03460002849868915</x:v>
      </x:c>
      <x:c r="E32" s="50" t="n">
        <x:f>D32*86400</x:f>
        <x:v>2989.4424622867427</x:v>
      </x:c>
      <x:c r="F32" s="50" t="n">
        <x:v>0.036</x:v>
      </x:c>
      <x:c r="G32" s="50" t="n">
        <x:f>D32-F32</x:f>
        <x:v>-0.0013999715013108469</x:v>
      </x:c>
      <x:c r="H32" s="50" t="n">
        <x:v>2.6692043395145877</x:v>
      </x:c>
      <x:c r="I32" s="50" t="n">
        <x:v>1.3188938342857577</x:v>
      </x:c>
      <x:c r="J32" s="50" t="n">
        <x:v>12.495215393753519</x:v>
      </x:c>
      <x:c r="K32" s="49" t="n">
        <x:v>0.2</x:v>
      </x:c>
      <x:c r="L32" s="48" t="n">
        <x:v>0</x:v>
      </x:c>
      <x:c r="M32" s="48" t="str">
        <x:f>IF(AND(G32&gt;=0,H32&lt;=$O$49),"PASS","FAIL")</x:f>
        <x:v>FAIL</x:v>
      </x:c>
      <x:c r="N32" s="1"/>
      <x:c r="O32" s="1"/>
    </x:row>
    <x:row r="33">
      <x:c r="A33" s="48" t="str">
        <x:v>B-S1</x:v>
      </x:c>
      <x:c r="B33" s="48" t="str">
        <x:v>B</x:v>
      </x:c>
      <x:c r="C33" s="48" t="str">
        <x:v>Normal seawater</x:v>
      </x:c>
      <x:c r="D33" s="50" t="n">
        <x:v>0.044921595524390984</x:v>
      </x:c>
      <x:c r="E33" s="50" t="n">
        <x:f>D33*86400</x:f>
        <x:v>3881.225853307381</x:v>
      </x:c>
      <x:c r="F33" s="50" t="n">
        <x:v>0.036</x:v>
      </x:c>
      <x:c r="G33" s="50" t="n">
        <x:f>D33-F33</x:f>
        <x:v>0.008921595524390986</x:v>
      </x:c>
      <x:c r="H33" s="50" t="n">
        <x:v>2.742079503816076</x:v>
      </x:c>
      <x:c r="I33" s="50" t="n">
        <x:v>1.0925007986720052</x:v>
      </x:c>
      <x:c r="J33" s="50" t="n">
        <x:v>13.13095306332304</x:v>
      </x:c>
      <x:c r="K33" s="49" t="n">
        <x:v>0.5</x:v>
      </x:c>
      <x:c r="L33" s="48" t="n">
        <x:v>0</x:v>
      </x:c>
      <x:c r="M33" s="48" t="str">
        <x:f>IF(AND(G33&gt;=0,H33&lt;=$O$49),"PASS","FAIL")</x:f>
        <x:v>PASS</x:v>
      </x:c>
      <x:c r="N33" s="1"/>
      <x:c r="O33" s="1"/>
    </x:row>
    <x:row r="34">
      <x:c r="A34" s="48" t="str">
        <x:v>B-S2</x:v>
      </x:c>
      <x:c r="B34" s="48" t="str">
        <x:v>B</x:v>
      </x:c>
      <x:c r="C34" s="48" t="str">
        <x:v>Summer concentrated seawater</x:v>
      </x:c>
      <x:c r="D34" s="50" t="n">
        <x:v>0.03937161484452295</x:v>
      </x:c>
      <x:c r="E34" s="50" t="n">
        <x:f>D34*86400</x:f>
        <x:v>3401.707522566783</x:v>
      </x:c>
      <x:c r="F34" s="50" t="n">
        <x:v>0.036</x:v>
      </x:c>
      <x:c r="G34" s="50" t="n">
        <x:f>D34-F34</x:f>
        <x:v>0.0033716148445229535</x:v>
      </x:c>
      <x:c r="H34" s="50" t="n">
        <x:v>2.781043559230494</x:v>
      </x:c>
      <x:c r="I34" s="50" t="n">
        <x:v>1.202220843561847</x:v>
      </x:c>
      <x:c r="J34" s="50" t="n">
        <x:v>12.80322184682807</x:v>
      </x:c>
      <x:c r="K34" s="49" t="n">
        <x:v>0.3</x:v>
      </x:c>
      <x:c r="L34" s="48" t="n">
        <x:v>0</x:v>
      </x:c>
      <x:c r="M34" s="48" t="str">
        <x:f>IF(AND(G34&gt;=0,H34&lt;=$O$49),"PASS","FAIL")</x:f>
        <x:v>PASS</x:v>
      </x:c>
      <x:c r="N34" s="1"/>
      <x:c r="O34" s="1"/>
    </x:row>
    <x:row r="35">
      <x:c r="A35" s="48" t="str">
        <x:v>B-S3</x:v>
      </x:c>
      <x:c r="B35" s="48" t="str">
        <x:v>B</x:v>
      </x:c>
      <x:c r="C35" s="48" t="str">
        <x:v>Seawater-intrusion peak</x:v>
      </x:c>
      <x:c r="D35" s="50" t="n">
        <x:v>0.0352062271199773</x:v>
      </x:c>
      <x:c r="E35" s="50" t="n">
        <x:f>D35*86400</x:f>
        <x:v>3041.8180231660385</x:v>
      </x:c>
      <x:c r="F35" s="50" t="n">
        <x:v>0.036</x:v>
      </x:c>
      <x:c r="G35" s="50" t="n">
        <x:f>D35-F35</x:f>
        <x:v>-0.0007937728800226987</x:v>
      </x:c>
      <x:c r="H35" s="50" t="n">
        <x:v>2.813488419685613</x:v>
      </x:c>
      <x:c r="I35" s="50" t="n">
        <x:v>1.3060493842668202</x:v>
      </x:c>
      <x:c r="J35" s="50" t="n">
        <x:v>12.54453296638255</x:v>
      </x:c>
      <x:c r="K35" s="49" t="n">
        <x:v>0.2</x:v>
      </x:c>
      <x:c r="L35" s="48" t="n">
        <x:v>0</x:v>
      </x:c>
      <x:c r="M35" s="48" t="str">
        <x:f>IF(AND(G35&gt;=0,H35&lt;=$O$49),"PASS","FAIL")</x:f>
        <x:v>FAIL</x:v>
      </x:c>
      <x:c r="N35" s="1"/>
      <x:c r="O35" s="1"/>
    </x:row>
    <x:row r="36">
      <x:c r="A36" s="48" t="str">
        <x:v>C-S1</x:v>
      </x:c>
      <x:c r="B36" s="48" t="str">
        <x:v>C</x:v>
      </x:c>
      <x:c r="C36" s="48" t="str">
        <x:v>Normal seawater</x:v>
      </x:c>
      <x:c r="D36" s="50" t="n">
        <x:v>0.045839924782724924</x:v>
      </x:c>
      <x:c r="E36" s="50" t="n">
        <x:f>D36*86400</x:f>
        <x:v>3960.569501227433</x:v>
      </x:c>
      <x:c r="F36" s="50" t="n">
        <x:v>0.036</x:v>
      </x:c>
      <x:c r="G36" s="50" t="n">
        <x:f>D36-F36</x:f>
        <x:v>0.009839924782724926</x:v>
      </x:c>
      <x:c r="H36" s="50" t="n">
        <x:v>2.9200743765708177</x:v>
      </x:c>
      <x:c r="I36" s="50" t="n">
        <x:v>1.0896074669289908</x:v>
      </x:c>
      <x:c r="J36" s="50" t="n">
        <x:v>13.2574583188128</x:v>
      </x:c>
      <x:c r="K36" s="49" t="n">
        <x:v>0.5</x:v>
      </x:c>
      <x:c r="L36" s="48" t="n">
        <x:v>0</x:v>
      </x:c>
      <x:c r="M36" s="48" t="str">
        <x:f>IF(AND(G36&gt;=0,H36&lt;=$O$49),"PASS","FAIL")</x:f>
        <x:v>PASS</x:v>
      </x:c>
      <x:c r="N36" s="1"/>
      <x:c r="O36" s="1"/>
    </x:row>
    <x:row r="37">
      <x:c r="A37" s="48" t="str">
        <x:v>C-S2</x:v>
      </x:c>
      <x:c r="B37" s="48" t="str">
        <x:v>C</x:v>
      </x:c>
      <x:c r="C37" s="48" t="str">
        <x:v>Summer concentrated seawater</x:v>
      </x:c>
      <x:c r="D37" s="50" t="n">
        <x:v>0.04061204965650473</x:v>
      </x:c>
      <x:c r="E37" s="50" t="n">
        <x:f>D37*86400</x:f>
        <x:v>3508.8810903220087</x:v>
      </x:c>
      <x:c r="F37" s="50" t="n">
        <x:v>0.036</x:v>
      </x:c>
      <x:c r="G37" s="50" t="n">
        <x:f>D37-F37</x:f>
        <x:v>0.0046120496565047325</x:v>
      </x:c>
      <x:c r="H37" s="50" t="n">
        <x:v>2.957694958229191</x:v>
      </x:c>
      <x:c r="I37" s="50" t="n">
        <x:v>1.1874736350585</x:v>
      </x:c>
      <x:c r="J37" s="50" t="n">
        <x:v>12.939374268227752</x:v>
      </x:c>
      <x:c r="K37" s="49" t="n">
        <x:v>0.3</x:v>
      </x:c>
      <x:c r="L37" s="48" t="n">
        <x:v>0</x:v>
      </x:c>
      <x:c r="M37" s="48" t="str">
        <x:f>IF(AND(G37&gt;=0,H37&lt;=$O$49),"PASS","FAIL")</x:f>
        <x:v>PASS</x:v>
      </x:c>
      <x:c r="N37" s="1"/>
      <x:c r="O37" s="1"/>
    </x:row>
    <x:row r="38">
      <x:c r="A38" s="48" t="str">
        <x:v>C-S3</x:v>
      </x:c>
      <x:c r="B38" s="48" t="str">
        <x:v>C</x:v>
      </x:c>
      <x:c r="C38" s="48" t="str">
        <x:v>Seawater-intrusion peak</x:v>
      </x:c>
      <x:c r="D38" s="50" t="n">
        <x:v>0.036692258793908444</x:v>
      </x:c>
      <x:c r="E38" s="50" t="n">
        <x:f>D38*86400</x:f>
        <x:v>3170.2111597936896</x:v>
      </x:c>
      <x:c r="F38" s="50" t="n">
        <x:v>0.036</x:v>
      </x:c>
      <x:c r="G38" s="50" t="n">
        <x:f>D38-F38</x:f>
        <x:v>0.0006922587939084471</x:v>
      </x:c>
      <x:c r="H38" s="50" t="n">
        <x:v>2.9874571534619063</x:v>
      </x:c>
      <x:c r="I38" s="50" t="n">
        <x:v>1.277973792164804</x:v>
      </x:c>
      <x:c r="J38" s="50" t="n">
        <x:v>12.689232118149205</x:v>
      </x:c>
      <x:c r="K38" s="49" t="n">
        <x:v>0.2</x:v>
      </x:c>
      <x:c r="L38" s="48" t="n">
        <x:v>0</x:v>
      </x:c>
      <x:c r="M38" s="48" t="str">
        <x:f>IF(AND(G38&gt;=0,H38&lt;=$O$49),"PASS","FAIL")</x:f>
        <x:v>PASS</x:v>
      </x:c>
      <x:c r="N38" s="1"/>
      <x:c r="O38" s="1"/>
    </x:row>
    <x:row r="39">
      <x:c r="A39" s="48" t="str">
        <x:v>D-S1</x:v>
      </x:c>
      <x:c r="B39" s="48" t="str">
        <x:v>D</x:v>
      </x:c>
      <x:c r="C39" s="48" t="str">
        <x:v>Normal seawater</x:v>
      </x:c>
      <x:c r="D39" s="50" t="n">
        <x:v>0.04556396845045352</x:v>
      </x:c>
      <x:c r="E39" s="50" t="n">
        <x:f>D39*86400</x:f>
        <x:v>3936.726874119184</x:v>
      </x:c>
      <x:c r="F39" s="50" t="n">
        <x:v>0.036</x:v>
      </x:c>
      <x:c r="G39" s="50" t="n">
        <x:f>D39-F39</x:f>
        <x:v>0.00956396845045352</x:v>
      </x:c>
      <x:c r="H39" s="50" t="n">
        <x:v>2.84947282099421</x:v>
      </x:c>
      <x:c r="I39" s="50" t="n">
        <x:v>1.0950978932172377</x:v>
      </x:c>
      <x:c r="J39" s="50" t="n">
        <x:v>13.255659421217405</x:v>
      </x:c>
      <x:c r="K39" s="49" t="n">
        <x:v>0.5</x:v>
      </x:c>
      <x:c r="L39" s="48" t="n">
        <x:v>0</x:v>
      </x:c>
      <x:c r="M39" s="48" t="str">
        <x:f>IF(AND(G39&gt;=0,H39&lt;=$O$49),"PASS","FAIL")</x:f>
        <x:v>PASS</x:v>
      </x:c>
      <x:c r="N39" s="1"/>
      <x:c r="O39" s="1"/>
    </x:row>
    <x:row r="40">
      <x:c r="A40" s="48" t="str">
        <x:v>D-S2</x:v>
      </x:c>
      <x:c r="B40" s="48" t="str">
        <x:v>D</x:v>
      </x:c>
      <x:c r="C40" s="48" t="str">
        <x:v>Summer concentrated seawater</x:v>
      </x:c>
      <x:c r="D40" s="50" t="n">
        <x:v>0.0402567909501142</x:v>
      </x:c>
      <x:c r="E40" s="50" t="n">
        <x:f>D40*86400</x:f>
        <x:v>3478.186738089867</x:v>
      </x:c>
      <x:c r="F40" s="50" t="n">
        <x:v>0.036</x:v>
      </x:c>
      <x:c r="G40" s="50" t="n">
        <x:f>D40-F40</x:f>
        <x:v>0.004256790950114206</x:v>
      </x:c>
      <x:c r="H40" s="50" t="n">
        <x:v>2.8873085492141723</x:v>
      </x:c>
      <x:c r="I40" s="50" t="n">
        <x:v>1.1968732222962846</x:v>
      </x:c>
      <x:c r="J40" s="50" t="n">
        <x:v>12.936849703481773</x:v>
      </x:c>
      <x:c r="K40" s="49" t="n">
        <x:v>0.3</x:v>
      </x:c>
      <x:c r="L40" s="48" t="n">
        <x:v>0</x:v>
      </x:c>
      <x:c r="M40" s="48" t="str">
        <x:f>IF(AND(G40&gt;=0,H40&lt;=$O$49),"PASS","FAIL")</x:f>
        <x:v>PASS</x:v>
      </x:c>
      <x:c r="N40" s="1"/>
      <x:c r="O40" s="1"/>
    </x:row>
    <x:row r="41">
      <x:c r="A41" s="48" t="str">
        <x:v>D-S3</x:v>
      </x:c>
      <x:c r="B41" s="48" t="str">
        <x:v>D</x:v>
      </x:c>
      <x:c r="C41" s="48" t="str">
        <x:v>Seawater-intrusion peak</x:v>
      </x:c>
      <x:c r="D41" s="50" t="n">
        <x:v>0.03626027659326923</x:v>
      </x:c>
      <x:c r="E41" s="50" t="n">
        <x:f>D41*86400</x:f>
        <x:v>3132.887897658462</x:v>
      </x:c>
      <x:c r="F41" s="50" t="n">
        <x:v>0.036</x:v>
      </x:c>
      <x:c r="G41" s="50" t="n">
        <x:f>D41-F41</x:f>
        <x:v>0.0002602765932692361</x:v>
      </x:c>
      <x:c r="H41" s="50" t="n">
        <x:v>2.9180145683999066</x:v>
      </x:c>
      <x:c r="I41" s="50" t="n">
        <x:v>1.2920086150265635</x:v>
      </x:c>
      <x:c r="J41" s="50" t="n">
        <x:v>12.684938380191685</x:v>
      </x:c>
      <x:c r="K41" s="49" t="n">
        <x:v>0.2</x:v>
      </x:c>
      <x:c r="L41" s="48" t="n">
        <x:v>0</x:v>
      </x:c>
      <x:c r="M41" s="48" t="str">
        <x:f>IF(AND(G41&gt;=0,H41&lt;=$O$49),"PASS","FAIL")</x:f>
        <x:v>PASS</x:v>
      </x:c>
      <x:c r="N41" s="1"/>
      <x:c r="O41" s="1"/>
    </x:row>
    <x:row r="42">
      <x:c r="A42" s="48" t="str">
        <x:v>E-S1</x:v>
      </x:c>
      <x:c r="B42" s="48" t="str">
        <x:v>E</x:v>
      </x:c>
      <x:c r="C42" s="48" t="str">
        <x:v>Normal seawater</x:v>
      </x:c>
      <x:c r="D42" s="50" t="n">
        <x:v>0.04595908509773289</x:v>
      </x:c>
      <x:c r="E42" s="50" t="n">
        <x:f>D42*86400</x:f>
        <x:v>3970.8649524441216</x:v>
      </x:c>
      <x:c r="F42" s="50" t="n">
        <x:v>0.036</x:v>
      </x:c>
      <x:c r="G42" s="50" t="n">
        <x:f>D42-F42</x:f>
        <x:v>0.00995908509773289</x:v>
      </x:c>
      <x:c r="H42" s="50" t="n">
        <x:v>2.662218453173221</x:v>
      </x:c>
      <x:c r="I42" s="50" t="n">
        <x:v>1.0674538542579914</x:v>
      </x:c>
      <x:c r="J42" s="50" t="n">
        <x:v>13.144270545461842</x:v>
      </x:c>
      <x:c r="K42" s="49" t="n">
        <x:v>0.5</x:v>
      </x:c>
      <x:c r="L42" s="48" t="n">
        <x:v>0</x:v>
      </x:c>
      <x:c r="M42" s="48" t="str">
        <x:f>IF(AND(G42&gt;=0,H42&lt;=$O$49),"PASS","FAIL")</x:f>
        <x:v>PASS</x:v>
      </x:c>
      <x:c r="N42" s="1"/>
      <x:c r="O42" s="1"/>
    </x:row>
    <x:row r="43">
      <x:c r="A43" s="48" t="str">
        <x:v>E-S2</x:v>
      </x:c>
      <x:c r="B43" s="48" t="str">
        <x:v>E</x:v>
      </x:c>
      <x:c r="C43" s="48" t="str">
        <x:v>Summer concentrated seawater</x:v>
      </x:c>
      <x:c r="D43" s="50" t="n">
        <x:v>0.0400987923810989</x:v>
      </x:c>
      <x:c r="E43" s="50" t="n">
        <x:f>D43*86400</x:f>
        <x:v>3464.5356617269445</x:v>
      </x:c>
      <x:c r="F43" s="50" t="n">
        <x:v>0.036</x:v>
      </x:c>
      <x:c r="G43" s="50" t="n">
        <x:f>D43-F43</x:f>
        <x:v>0.004098792381098899</x:v>
      </x:c>
      <x:c r="H43" s="50" t="n">
        <x:v>2.7004822660929846</x:v>
      </x:c>
      <x:c r="I43" s="50" t="n">
        <x:v>1.1786398757207963</x:v>
      </x:c>
      <x:c r="J43" s="50" t="n">
        <x:v>12.805613700145438</x:v>
      </x:c>
      <x:c r="K43" s="49" t="n">
        <x:v>0.3</x:v>
      </x:c>
      <x:c r="L43" s="48" t="n">
        <x:v>0</x:v>
      </x:c>
      <x:c r="M43" s="48" t="str">
        <x:f>IF(AND(G43&gt;=0,H43&lt;=$O$49),"PASS","FAIL")</x:f>
        <x:v>PASS</x:v>
      </x:c>
      <x:c r="N43" s="1"/>
      <x:c r="O43" s="1"/>
    </x:row>
    <x:row r="44">
      <x:c r="A44" s="48" t="str">
        <x:v>E-S3</x:v>
      </x:c>
      <x:c r="B44" s="48" t="str">
        <x:v>E</x:v>
      </x:c>
      <x:c r="C44" s="48" t="str">
        <x:v>Seawater-intrusion peak</x:v>
      </x:c>
      <x:c r="D44" s="50" t="n">
        <x:v>0.035706819750398355</x:v>
      </x:c>
      <x:c r="E44" s="50" t="n">
        <x:f>D44*86400</x:f>
        <x:v>3085.069226434418</x:v>
      </x:c>
      <x:c r="F44" s="50" t="n">
        <x:v>0.036</x:v>
      </x:c>
      <x:c r="G44" s="50" t="n">
        <x:f>D44-F44</x:f>
        <x:v>-0.00029318024960164196</x:v>
      </x:c>
      <x:c r="H44" s="50" t="n">
        <x:v>2.7326629123111985</x:v>
      </x:c>
      <x:c r="I44" s="50" t="n">
        <x:v>1.284623484064463</x:v>
      </x:c>
      <x:c r="J44" s="50" t="n">
        <x:v>12.538396276285958</x:v>
      </x:c>
      <x:c r="K44" s="49" t="n">
        <x:v>0.2</x:v>
      </x:c>
      <x:c r="L44" s="48" t="n">
        <x:v>0</x:v>
      </x:c>
      <x:c r="M44" s="48" t="str">
        <x:f>IF(AND(G44&gt;=0,H44&lt;=$O$49),"PASS","FAIL")</x:f>
        <x:v>FAIL</x:v>
      </x:c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1" t="str">
        <x:v>Join, worst-case constraints and strategy ranking</x:v>
      </x:c>
      <x:c r="B46" s="11" t="str">
        <x:v>Join, worst-case constraints and strategy ranking</x:v>
      </x:c>
      <x:c r="C46" s="11" t="str">
        <x:v>Join, worst-case constraints and strategy ranking</x:v>
      </x:c>
      <x:c r="D46" s="11" t="str">
        <x:v>Join, worst-case constraints and strategy ranking</x:v>
      </x:c>
      <x:c r="E46" s="11" t="str">
        <x:v>Join, worst-case constraints and strategy ranking</x:v>
      </x:c>
      <x:c r="F46" s="11" t="str">
        <x:v>Join, worst-case constraints and strategy ranking</x:v>
      </x:c>
      <x:c r="G46" s="11" t="str">
        <x:v>Join, worst-case constraints and strategy ranking</x:v>
      </x:c>
      <x:c r="H46" s="11" t="str">
        <x:v>Join, worst-case constraints and strategy ranking</x:v>
      </x:c>
      <x:c r="I46" s="11" t="str">
        <x:v>Join, worst-case constraints and strategy ranking</x:v>
      </x:c>
      <x:c r="J46" s="11" t="str">
        <x:v>Join, worst-case constraints and strategy ranking</x:v>
      </x:c>
      <x:c r="K46" s="11" t="str">
        <x:v>Join, worst-case constraints and strategy ranking</x:v>
      </x:c>
      <x:c r="L46" s="11" t="str">
        <x:v>Join, worst-case constraints and strategy ranking</x:v>
      </x:c>
      <x:c r="M46" s="1"/>
      <x:c r="N46" s="44" t="str">
        <x:v>Visible criteria</x:v>
      </x:c>
      <x:c r="O46" s="44" t="str">
        <x:v>Visible criteria</x:v>
      </x:c>
    </x:row>
    <x:row r="47">
      <x:c r="A47" s="44" t="str">
        <x:v>Strategy</x:v>
      </x:c>
      <x:c r="B47" s="44" t="str">
        <x:v>Min water</x:v>
      </x:c>
      <x:c r="C47" s="44" t="str">
        <x:v>Max quality excess</x:v>
      </x:c>
      <x:c r="D47" s="44" t="str">
        <x:v>Max CP</x:v>
      </x:c>
      <x:c r="E47" s="44" t="str">
        <x:v>Min flow margin</x:v>
      </x:c>
      <x:c r="F47" s="44" t="str">
        <x:v>Max SEC</x:v>
      </x:c>
      <x:c r="G47" s="44" t="str">
        <x:v>Weighted SEC</x:v>
      </x:c>
      <x:c r="H47" s="44" t="str">
        <x:v>Weighted LCOW</x:v>
      </x:c>
      <x:c r="I47" s="44" t="str">
        <x:v>Decision metric</x:v>
      </x:c>
      <x:c r="J47" s="44" t="str">
        <x:v>Feasible</x:v>
      </x:c>
      <x:c r="K47" s="44" t="str">
        <x:v>Conclusion</x:v>
      </x:c>
      <x:c r="L47" s="44" t="str">
        <x:v>Adjustment</x:v>
      </x:c>
      <x:c r="M47" s="1"/>
      <x:c r="N47" s="48" t="str">
        <x:v>Min membrane water</x:v>
      </x:c>
      <x:c r="O47" s="50" t="n">
        <x:v>0.32</x:v>
      </x:c>
    </x:row>
    <x:row r="48">
      <x:c r="A48" s="48" t="str">
        <x:v>A</x:v>
      </x:c>
      <x:c r="B48" s="50" t="n">
        <x:f>MIN(D12,D13,D14)</x:f>
        <x:v>0.2937672658337739</x:v>
      </x:c>
      <x:c r="C48" s="50" t="n">
        <x:f>MAX(E12-F12,E13-F13,E14-F14)</x:f>
        <x:v>222.31291080412745</x:v>
      </x:c>
      <x:c r="D48" s="50" t="n">
        <x:f>MAX(G12,G13,G14)</x:f>
        <x:v>1.2974908350795005</x:v>
      </x:c>
      <x:c r="E48" s="50" t="n">
        <x:f>MIN(G30,G31,G32)</x:f>
        <x:v>-0.0013999715013108469</x:v>
      </x:c>
      <x:c r="F48" s="50" t="n">
        <x:f>MAX(H30,H31,H32)</x:f>
        <x:v>2.6692043395145877</x:v>
      </x:c>
      <x:c r="G48" s="50" t="n">
        <x:f>K30*H30+K31*H31+K32*H32</x:f>
        <x:v>2.621764360550186</x:v>
      </x:c>
      <x:c r="H48" s="50" t="n">
        <x:f>K30*I30+K31*I31+K32*I32</x:f>
        <x:v>1.1666921747508596</x:v>
      </x:c>
      <x:c r="I48" s="50" t="n">
        <x:f>G48</x:f>
        <x:v>2.621764360550186</x:v>
      </x:c>
      <x:c r="J48" s="48" t="str">
        <x:f>IF(AND(B48&gt;=$O$47,C48&lt;=0,D48&lt;=$O$48,E48&gt;=0,F48&lt;=$O$49),"PASS","FAIL")</x:f>
        <x:v>FAIL</x:v>
      </x:c>
      <x:c r="K48" s="48" t="str"/>
      <x:c r="L48" s="48" t="n">
        <x:v>0</x:v>
      </x:c>
      <x:c r="M48" s="1"/>
      <x:c r="N48" s="48" t="str">
        <x:v>Max inlet CP</x:v>
      </x:c>
      <x:c r="O48" s="50" t="n">
        <x:v>1.38</x:v>
      </x:c>
    </x:row>
    <x:row r="49">
      <x:c r="A49" s="48" t="str">
        <x:v>B</x:v>
      </x:c>
      <x:c r="B49" s="50" t="n">
        <x:f>MIN(D15,D16,D17)</x:f>
        <x:v>0.31084471986825046</x:v>
      </x:c>
      <x:c r="C49" s="50" t="n">
        <x:f>MAX(E15-F15,E16-F16,E17-F17)</x:f>
        <x:v>144.20380050669309</x:v>
      </x:c>
      <x:c r="D49" s="50" t="n">
        <x:f>MAX(G15,G16,G17)</x:f>
        <x:v>1.3268019948302547</x:v>
      </x:c>
      <x:c r="E49" s="50" t="n">
        <x:f>MIN(G33,G34,G35)</x:f>
        <x:v>-0.0007937728800226987</x:v>
      </x:c>
      <x:c r="F49" s="50" t="n">
        <x:f>MAX(H33,H34,H35)</x:f>
        <x:v>2.813488419685613</x:v>
      </x:c>
      <x:c r="G49" s="50" t="n">
        <x:f>K33*H33+K34*H34+K35*H35</x:f>
        <x:v>2.7680505036143086</x:v>
      </x:c>
      <x:c r="H49" s="50" t="n">
        <x:f>K33*I33+K34*I34+K35*I35</x:f>
        <x:v>1.1681265292579206</x:v>
      </x:c>
      <x:c r="I49" s="50" t="n">
        <x:f>G49</x:f>
        <x:v>2.7680505036143086</x:v>
      </x:c>
      <x:c r="J49" s="48" t="str">
        <x:f>IF(AND(B49&gt;=$O$47,C49&lt;=0,D49&lt;=$O$48,E49&gt;=0,F49&lt;=$O$49),"PASS","FAIL")</x:f>
        <x:v>FAIL</x:v>
      </x:c>
      <x:c r="K49" s="48" t="str"/>
      <x:c r="L49" s="48" t="n">
        <x:v>0</x:v>
      </x:c>
      <x:c r="M49" s="1"/>
      <x:c r="N49" s="48" t="str">
        <x:v>Max SEC</x:v>
      </x:c>
      <x:c r="O49" s="50" t="n">
        <x:v>3</x:v>
      </x:c>
    </x:row>
    <x:row r="50">
      <x:c r="A50" s="48" t="str">
        <x:v>C</x:v>
      </x:c>
      <x:c r="B50" s="50" t="n">
        <x:f>MIN(D18,D19,D20)</x:f>
        <x:v>0.33653055177387714</x:v>
      </x:c>
      <x:c r="C50" s="50" t="n">
        <x:f>MAX(E18-F18,E19-F19,E20-F20)</x:f>
        <x:v>83.78892263876605</x:v>
      </x:c>
      <x:c r="D50" s="50" t="n">
        <x:f>MAX(G18,G19,G20)</x:f>
        <x:v>1.3671275017589923</x:v>
      </x:c>
      <x:c r="E50" s="50" t="n">
        <x:f>MIN(G36,G37,G38)</x:f>
        <x:v>0.0006922587939084471</x:v>
      </x:c>
      <x:c r="F50" s="50" t="n">
        <x:f>MAX(H36,H37,H38)</x:f>
        <x:v>2.9874571534619063</x:v>
      </x:c>
      <x:c r="G50" s="50" t="n">
        <x:f>K36*H36+K37*H37+K38*H38</x:f>
        <x:v>2.9448371064465473</x:v>
      </x:c>
      <x:c r="H50" s="50" t="n">
        <x:f>K36*I36+K37*I37+K38*I38</x:f>
        <x:v>1.1566405824150061</x:v>
      </x:c>
      <x:c r="I50" s="50" t="n">
        <x:f>G50</x:f>
        <x:v>2.9448371064465473</x:v>
      </x:c>
      <x:c r="J50" s="48" t="str">
        <x:f>IF(AND(B50&gt;=$O$47,C50&lt;=0,D50&lt;=$O$48,E50&gt;=0,F50&lt;=$O$49),"PASS","FAIL")</x:f>
        <x:v>FAIL</x:v>
      </x:c>
      <x:c r="K50" s="48" t="str"/>
      <x:c r="L50" s="48" t="n">
        <x:v>0</x:v>
      </x:c>
      <x:c r="M50" s="1"/>
      <x:c r="N50" s="48" t="str">
        <x:v>Quality/flow excess</x:v>
      </x:c>
      <x:c r="O50" s="48" t="str">
        <x:v>≤0 / ≥0</x:v>
      </x:c>
    </x:row>
    <x:row r="51">
      <x:c r="A51" s="114" t="str">
        <x:v>D</x:v>
      </x:c>
      <x:c r="B51" s="115" t="n">
        <x:f>MIN(D21,D22,D23)</x:f>
        <x:v>0.32146423151679526</x:v>
      </x:c>
      <x:c r="C51" s="115" t="n">
        <x:f>MAX(E21-F21,E22-F22,E23-F23)</x:f>
        <x:v>-12.761979771429708</x:v>
      </x:c>
      <x:c r="D51" s="115" t="n">
        <x:f>MAX(G21,G22,G23)</x:f>
        <x:v>1.3129561500838614</x:v>
      </x:c>
      <x:c r="E51" s="115" t="n">
        <x:f>MIN(G39,G40,G41)</x:f>
        <x:v>0.0002602765932692361</x:v>
      </x:c>
      <x:c r="F51" s="115" t="n">
        <x:f>MAX(H39,H40,H41)</x:f>
        <x:v>2.9180145683999066</x:v>
      </x:c>
      <x:c r="G51" s="115" t="n">
        <x:f>K39*H39+K40*H40+K41*H41</x:f>
        <x:v>2.874531888941338</x:v>
      </x:c>
      <x:c r="H51" s="115" t="n">
        <x:f>K39*I39+K40*I40+K41*I41</x:f>
        <x:v>1.165012636302817</x:v>
      </x:c>
      <x:c r="I51" s="115" t="n">
        <x:f>G51</x:f>
        <x:v>2.874531888941338</x:v>
      </x:c>
      <x:c r="J51" s="114" t="str">
        <x:f>IF(AND(B51&gt;=$O$47,C51&lt;=0,D51&lt;=$O$48,E51&gt;=0,F51&lt;=$O$49),"PASS","FAIL")</x:f>
        <x:v>PASS</x:v>
      </x:c>
      <x:c r="K51" s="114" t="str">
        <x:v>RECOMMEND</x:v>
      </x:c>
      <x:c r="L51" s="114" t="n">
        <x:v>0</x:v>
      </x:c>
      <x:c r="M51" s="1"/>
      <x:c r="N51" s="1"/>
      <x:c r="O51" s="1"/>
    </x:row>
    <x:row r="52">
      <x:c r="A52" s="48" t="str">
        <x:v>E</x:v>
      </x:c>
      <x:c r="B52" s="50" t="n">
        <x:f>MIN(D24,D25,D26)</x:f>
        <x:v>0.3150257440633441</x:v>
      </x:c>
      <x:c r="C52" s="50" t="n">
        <x:f>MAX(E24-F24,E25-F25,E26-F26)</x:f>
        <x:v>384.09085461120276</x:v>
      </x:c>
      <x:c r="D52" s="50" t="n">
        <x:f>MAX(G24,G25,G26)</x:f>
        <x:v>1.350323501774977</x:v>
      </x:c>
      <x:c r="E52" s="50" t="n">
        <x:f>MIN(G42,G43,G44)</x:f>
        <x:v>-0.00029318024960164196</x:v>
      </x:c>
      <x:c r="F52" s="50" t="n">
        <x:f>MAX(H42,H43,H44)</x:f>
        <x:v>2.7326629123111985</x:v>
      </x:c>
      <x:c r="G52" s="50" t="n">
        <x:f>K42*H42+K43*H43+K44*H44</x:f>
        <x:v>2.6877864888767458</x:v>
      </x:c>
      <x:c r="H52" s="50" t="n">
        <x:f>K42*I42+K43*I43+K44*I44</x:f>
        <x:v>1.1442435866581273</x:v>
      </x:c>
      <x:c r="I52" s="50" t="n">
        <x:f>G52</x:f>
        <x:v>2.6877864888767458</x:v>
      </x:c>
      <x:c r="J52" s="48" t="str">
        <x:f>IF(AND(B52&gt;=$O$47,C52&lt;=0,D52&lt;=$O$48,E52&gt;=0,F52&lt;=$O$49),"PASS","FAIL")</x:f>
        <x:v>FAIL</x:v>
      </x:c>
      <x:c r="K52" s="48" t="str"/>
      <x:c r="L52" s="48" t="n">
        <x:v>0</x:v>
      </x:c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1" t="str">
        <x:v>Audit note</x:v>
      </x:c>
      <x:c r="B54" s="11" t="str">
        <x:v>Audit note</x:v>
      </x:c>
      <x:c r="C54" s="11" t="str">
        <x:v>Audit note</x:v>
      </x:c>
      <x:c r="D54" s="11" t="str">
        <x:v>Audit note</x:v>
      </x:c>
      <x:c r="E54" s="11" t="str">
        <x:v>Audit note</x:v>
      </x:c>
      <x:c r="F54" s="11" t="str">
        <x:v>Audit note</x:v>
      </x:c>
      <x:c r="G54" s="11" t="str">
        <x:v>Audit note</x:v>
      </x:c>
      <x:c r="H54" s="11" t="str">
        <x:v>Audit note</x:v>
      </x:c>
      <x:c r="I54" s="11" t="str">
        <x:v>Audit note</x:v>
      </x:c>
      <x:c r="J54" s="11" t="str">
        <x:v>Audit note</x:v>
      </x:c>
      <x:c r="K54" s="11" t="str">
        <x:v>Audit note</x:v>
      </x:c>
      <x:c r="L54" s="11" t="str">
        <x:v>Audit note</x:v>
      </x:c>
      <x:c r="M54" s="11" t="str">
        <x:v>Audit note</x:v>
      </x:c>
      <x:c r="N54" s="11" t="str">
        <x:v>Audit note</x:v>
      </x:c>
      <x:c r="O54" s="11" t="str">
        <x:v>Audit note</x:v>
      </x:c>
    </x:row>
    <x:row r="55">
      <x:c r="A55" s="137" t="str">
        <x:v>All 30 numeric call rows are direct outputs from the connected ROprocess simulators. Daily product, margins, weighted metrics and feasibility are workbook formulas. Candidate-state inputs are never passed from one simulator into the other; the branches join only by call ID.</x:v>
      </x:c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9"/>
    </x:row>
    <x:row r="56">
      <x:c r="A56" s="140"/>
      <x:c r="B56" s="141"/>
      <x:c r="C56" s="141"/>
      <x:c r="D56" s="141"/>
      <x:c r="E56" s="141"/>
      <x:c r="F56" s="141"/>
      <x:c r="G56" s="141"/>
      <x:c r="H56" s="141"/>
      <x:c r="I56" s="141"/>
      <x:c r="J56" s="141"/>
      <x:c r="K56" s="141"/>
      <x:c r="L56" s="141"/>
      <x:c r="M56" s="141"/>
      <x:c r="N56" s="141"/>
      <x:c r="O56" s="142"/>
    </x:row>
    <x:row r="57">
      <x:c r="A57" s="143"/>
      <x:c r="B57" s="144"/>
      <x:c r="C57" s="144"/>
      <x:c r="D57" s="144"/>
      <x:c r="E57" s="144"/>
      <x:c r="F57" s="144"/>
      <x:c r="G57" s="144"/>
      <x:c r="H57" s="144"/>
      <x:c r="I57" s="144"/>
      <x:c r="J57" s="144"/>
      <x:c r="K57" s="144"/>
      <x:c r="L57" s="144"/>
      <x:c r="M57" s="144"/>
      <x:c r="N57" s="144"/>
      <x:c r="O57" s="145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A6:O8"/>
    <x:mergeCell ref="A10:I10"/>
    <x:mergeCell ref="A28:M28"/>
    <x:mergeCell ref="A46:L46"/>
    <x:mergeCell ref="N46:O46"/>
    <x:mergeCell ref="A54:O54"/>
    <x:mergeCell ref="A55:O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Trajectory rubric | D6_6c-H01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100-point rubric for a 30-call parallel trajectory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Scoring rubric</x:v>
      </x:c>
      <x:c r="B5" s="11" t="str">
        <x:v>Scoring rubric</x:v>
      </x:c>
      <x:c r="C5" s="11" t="str">
        <x:v>Scoring rubric</x:v>
      </x:c>
      <x:c r="D5" s="11" t="str">
        <x:v>Scoring rubric</x:v>
      </x:c>
      <x:c r="E5" s="11" t="str">
        <x:v>Scoring rubric</x:v>
      </x:c>
      <x:c r="F5" s="11" t="str">
        <x:v>Scoring rubric</x:v>
      </x:c>
      <x:c r="G5" s="11" t="str">
        <x:v>Scoring rubric</x:v>
      </x:c>
      <x:c r="H5" s="11" t="str">
        <x:v>Scoring rubric</x:v>
      </x:c>
      <x:c r="I5" s="11" t="str">
        <x:v>Scoring rubric</x:v>
      </x:c>
      <x:c r="J5" s="11" t="str">
        <x:v>Scoring rubric</x:v>
      </x:c>
      <x:c r="K5" s="11" t="str">
        <x:v>Scoring rubric</x:v>
      </x:c>
      <x:c r="L5" s="11" t="str">
        <x:v>Scoring rubric</x:v>
      </x:c>
      <x:c r="M5" s="11" t="str">
        <x:v>Scoring rubric</x:v>
      </x:c>
      <x:c r="N5" s="11" t="str">
        <x:v>Scoring rubric</x:v>
      </x:c>
      <x:c r="O5" s="11" t="str">
        <x:v>Scoring rubric</x:v>
      </x:c>
    </x:row>
    <x:row r="6">
      <x:c r="A6" s="44" t="str">
        <x:v>Dimension</x:v>
      </x:c>
      <x:c r="B6" s="44" t="str">
        <x:v>Points</x:v>
      </x:c>
      <x:c r="C6" s="44" t="str">
        <x:v>Full-credit evidence</x:v>
      </x:c>
      <x:c r="D6" s="44" t="str">
        <x:v>Partial credit</x:v>
      </x:c>
      <x:c r="E6" s="44" t="str">
        <x:v>Critical error</x:v>
      </x:c>
      <x:c r="F6" s="44" t="str"/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52" customHeight="1">
      <x:c r="A7" s="48" t="str">
        <x:v>Call-matrix fidelity</x:v>
      </x:c>
      <x:c r="B7" s="48" t="n">
        <x:v>15</x:v>
      </x:c>
      <x:c r="C7" s="48" t="str">
        <x:v>Defines all 15 candidate-state rows with consistent units and IDs.</x:v>
      </x:c>
      <x:c r="D7" s="48" t="str">
        <x:v>One minor input mismatch.</x:v>
      </x:c>
      <x:c r="E7" s="48" t="str">
        <x:v>Missing states or silent parameter drift.</x:v>
      </x:c>
      <x:c r="F7" s="48" t="str"/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52" customHeight="1">
      <x:c r="A8" s="48" t="str">
        <x:v>simulate_ro branch</x:v>
      </x:c>
      <x:c r="B8" s="48" t="n">
        <x:v>20</x:v>
      </x:c>
      <x:c r="C8" s="48" t="str">
        <x:v>Completes 15 membrane calls and reports water, NaCl, CP and recovery.</x:v>
      </x:c>
      <x:c r="D8" s="48" t="str">
        <x:v>One or two transcription errors.</x:v>
      </x:c>
      <x:c r="E8" s="48" t="str">
        <x:v>Uses membrane results to invent plant energy.</x:v>
      </x:c>
      <x:c r="F8" s="48" t="str"/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52" customHeight="1">
      <x:c r="A9" s="48" t="str">
        <x:v>simulate_swro_system branch</x:v>
      </x:c>
      <x:c r="B9" s="48" t="n">
        <x:v>20</x:v>
      </x:c>
      <x:c r="C9" s="48" t="str">
        <x:v>Completes 15 plant calls and reports product, SEC, LCOW and CAPEX.</x:v>
      </x:c>
      <x:c r="D9" s="48" t="str">
        <x:v>One or two transcription errors.</x:v>
      </x:c>
      <x:c r="E9" s="48" t="str">
        <x:v>Omits a state or uses the wrong ERD.</x:v>
      </x:c>
      <x:c r="F9" s="48" t="str"/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52" customHeight="1">
      <x:c r="A10" s="48" t="str">
        <x:v>Join and robust feasibility</x:v>
      </x:c>
      <x:c r="B10" s="48" t="n">
        <x:v>25</x:v>
      </x:c>
      <x:c r="C10" s="48" t="str">
        <x:v>Joins by call ID, applies every state-specific constraint, and computes worst-case metrics.</x:v>
      </x:c>
      <x:c r="D10" s="48" t="str">
        <x:v>One non-decisive omission.</x:v>
      </x:c>
      <x:c r="E10" s="48" t="str">
        <x:v>Averages away a failed state or mixes strategies.</x:v>
      </x:c>
      <x:c r="F10" s="48" t="str"/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52" customHeight="1">
      <x:c r="A11" s="48" t="str">
        <x:v>Decision and explanation</x:v>
      </x:c>
      <x:c r="B11" s="48" t="n">
        <x:v>20</x:v>
      </x:c>
      <x:c r="C11" s="48" t="str">
        <x:v>Selects D, cites decisive metrics and explains at least three rejected strategies.</x:v>
      </x:c>
      <x:c r="D11" s="48" t="str">
        <x:v>Correct winner with limited explanation.</x:v>
      </x:c>
      <x:c r="E11" s="48" t="str">
        <x:v>Wrong winner or ranking before feasibility filtering.</x:v>
      </x:c>
      <x:c r="F11" s="48" t="str"/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54" t="str">
        <x:v>Critical cap: an answer without evidence from both simulator families cannot score above 50, even if the final strategy is guessed correctly.</x:v>
      </x:c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6"/>
    </x:row>
    <x:row r="14">
      <x:c r="A14" s="157"/>
      <x:c r="B14" s="158"/>
      <x:c r="C14" s="158"/>
      <x:c r="D14" s="158"/>
      <x:c r="E14" s="158"/>
      <x:c r="F14" s="158"/>
      <x:c r="G14" s="158"/>
      <x:c r="H14" s="158"/>
      <x:c r="I14" s="158"/>
      <x:c r="J14" s="158"/>
      <x:c r="K14" s="158"/>
      <x:c r="L14" s="158"/>
      <x:c r="M14" s="158"/>
      <x:c r="N14" s="158"/>
      <x:c r="O14" s="159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E6:O6"/>
    <x:mergeCell ref="E7:O7"/>
    <x:mergeCell ref="E8:O8"/>
    <x:mergeCell ref="E9:O9"/>
    <x:mergeCell ref="E10:O10"/>
    <x:mergeCell ref="E11:O11"/>
    <x:mergeCell ref="A13:O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Tool efficiency | D6_6c-H01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Reference path for mandatory parallel multi-call simulation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Preferred trajectory</x:v>
      </x:c>
      <x:c r="B5" s="11" t="str">
        <x:v>Preferred trajectory</x:v>
      </x:c>
      <x:c r="C5" s="11" t="str">
        <x:v>Preferred trajectory</x:v>
      </x:c>
      <x:c r="D5" s="11" t="str">
        <x:v>Preferred trajectory</x:v>
      </x:c>
      <x:c r="E5" s="11" t="str">
        <x:v>Preferred trajectory</x:v>
      </x:c>
      <x:c r="F5" s="11" t="str">
        <x:v>Preferred trajectory</x:v>
      </x:c>
      <x:c r="G5" s="11" t="str">
        <x:v>Preferred trajectory</x:v>
      </x:c>
      <x:c r="H5" s="11" t="str">
        <x:v>Preferred trajectory</x:v>
      </x:c>
      <x:c r="I5" s="11" t="str">
        <x:v>Preferred trajectory</x:v>
      </x:c>
      <x:c r="J5" s="11" t="str">
        <x:v>Preferred trajectory</x:v>
      </x:c>
      <x:c r="K5" s="11" t="str">
        <x:v>Preferred trajectory</x:v>
      </x:c>
      <x:c r="L5" s="11" t="str">
        <x:v>Preferred trajectory</x:v>
      </x:c>
      <x:c r="M5" s="11" t="str">
        <x:v>Preferred trajectory</x:v>
      </x:c>
      <x:c r="N5" s="11" t="str">
        <x:v>Preferred trajectory</x:v>
      </x:c>
      <x:c r="O5" s="11" t="str">
        <x:v>Preferred trajectory</x:v>
      </x:c>
    </x:row>
    <x:row r="6">
      <x:c r="A6" s="44" t="str">
        <x:v>Step</x:v>
      </x:c>
      <x:c r="B6" s="44" t="str">
        <x:v>Branch</x:v>
      </x:c>
      <x:c r="C6" s="44" t="str">
        <x:v>Action</x:v>
      </x:c>
      <x:c r="D6" s="44" t="str">
        <x:v>Calls</x:v>
      </x:c>
      <x:c r="E6" s="44" t="str">
        <x:v>Efficiency reason</x:v>
      </x:c>
      <x:c r="F6" s="44" t="str">
        <x:v>Failure mode</x:v>
      </x:c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48" customHeight="1">
      <x:c r="A7" s="48" t="n">
        <x:v>1</x:v>
      </x:c>
      <x:c r="B7" s="48" t="str">
        <x:v>Shared</x:v>
      </x:c>
      <x:c r="C7" s="48" t="str">
        <x:v>Create and lock 15 candidate-state input rows.</x:v>
      </x:c>
      <x:c r="D7" s="48" t="n">
        <x:v>0</x:v>
      </x:c>
      <x:c r="E7" s="48" t="str">
        <x:v>Prevents drift between simulator branches.</x:v>
      </x:c>
      <x:c r="F7" s="48" t="str">
        <x:v>Changing a package after one branch runs.</x:v>
      </x:c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48" customHeight="1">
      <x:c r="A8" s="48" t="n">
        <x:v>2</x:v>
      </x:c>
      <x:c r="B8" s="48" t="str">
        <x:v>A</x:v>
      </x:c>
      <x:c r="C8" s="48" t="str">
        <x:v>Dispatch 15 independent simulate_ro calls and retain IDs.</x:v>
      </x:c>
      <x:c r="D8" s="48" t="n">
        <x:v>15</x:v>
      </x:c>
      <x:c r="E8" s="48" t="str">
        <x:v>No artificial serial dependency.</x:v>
      </x:c>
      <x:c r="F8" s="48" t="str">
        <x:v>Using one representative state for all rows.</x:v>
      </x:c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48" customHeight="1">
      <x:c r="A9" s="48" t="n">
        <x:v>3</x:v>
      </x:c>
      <x:c r="B9" s="48" t="str">
        <x:v>B</x:v>
      </x:c>
      <x:c r="C9" s="48" t="str">
        <x:v>Dispatch 15 independent simulate_swro_system calls with the same IDs.</x:v>
      </x:c>
      <x:c r="D9" s="48" t="n">
        <x:v>15</x:v>
      </x:c>
      <x:c r="E9" s="48" t="str">
        <x:v>Energy and cost come from the whole-plant model.</x:v>
      </x:c>
      <x:c r="F9" s="48" t="str">
        <x:v>Inferring SEC or LCOW from membrane flux.</x:v>
      </x:c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48" customHeight="1">
      <x:c r="A10" s="48" t="n">
        <x:v>4</x:v>
      </x:c>
      <x:c r="B10" s="48" t="str">
        <x:v>Join</x:v>
      </x:c>
      <x:c r="C10" s="48" t="str">
        <x:v>Join only after both branches finish; calculate margins and worst cases.</x:v>
      </x:c>
      <x:c r="D10" s="48" t="n">
        <x:v>0</x:v>
      </x:c>
      <x:c r="E10" s="48" t="str">
        <x:v>Preserves package lineage and robustness.</x:v>
      </x:c>
      <x:c r="F10" s="48" t="str">
        <x:v>Mixing states or averaging away failures.</x:v>
      </x:c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48" customHeight="1">
      <x:c r="A11" s="48" t="n">
        <x:v>5</x:v>
      </x:c>
      <x:c r="B11" s="48" t="str">
        <x:v>Decision</x:v>
      </x:c>
      <x:c r="C11" s="48" t="str">
        <x:v>Filter infeasible strategies, calculate the required weighted metric and explain rejections.</x:v>
      </x:c>
      <x:c r="D11" s="48" t="n">
        <x:v>0</x:v>
      </x:c>
      <x:c r="E11" s="48" t="str">
        <x:v>Produces an auditable recommendation.</x:v>
      </x:c>
      <x:c r="F11" s="48" t="str">
        <x:v>Ranking before applying hard constraints.</x:v>
      </x:c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1" t="str">
        <x:v>Call budget and prohibition</x:v>
      </x:c>
      <x:c r="B13" s="11" t="str">
        <x:v>Call budget and prohibition</x:v>
      </x:c>
      <x:c r="C13" s="11" t="str">
        <x:v>Call budget and prohibition</x:v>
      </x:c>
      <x:c r="D13" s="11" t="str">
        <x:v>Call budget and prohibition</x:v>
      </x:c>
      <x:c r="E13" s="11" t="str">
        <x:v>Call budget and prohibition</x:v>
      </x:c>
      <x:c r="F13" s="11" t="str">
        <x:v>Call budget and prohibition</x:v>
      </x:c>
      <x:c r="G13" s="11" t="str">
        <x:v>Call budget and prohibition</x:v>
      </x:c>
      <x:c r="H13" s="11" t="str">
        <x:v>Call budget and prohibition</x:v>
      </x:c>
      <x:c r="I13" s="11" t="str">
        <x:v>Call budget and prohibition</x:v>
      </x:c>
      <x:c r="J13" s="11" t="str">
        <x:v>Call budget and prohibition</x:v>
      </x:c>
      <x:c r="K13" s="11" t="str">
        <x:v>Call budget and prohibition</x:v>
      </x:c>
      <x:c r="L13" s="11" t="str">
        <x:v>Call budget and prohibition</x:v>
      </x:c>
      <x:c r="M13" s="11" t="str">
        <x:v>Call budget and prohibition</x:v>
      </x:c>
      <x:c r="N13" s="11" t="str">
        <x:v>Call budget and prohibition</x:v>
      </x:c>
      <x:c r="O13" s="11" t="str">
        <x:v>Call budget and prohibition</x:v>
      </x:c>
    </x:row>
    <x:row r="14">
      <x:c r="A14" s="137" t="str">
        <x:v>Formal budget: 15 simulate_ro + 15 simulate_swro_system = 30 required calls per benchmark. The two 15-call batches may run concurrently. No call may be skipped merely because another state looks similar; equilibrate_feed is unnecessary because these tasks contain no mineral-speciation constraint.</x:v>
      </x:c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9"/>
    </x:row>
    <x:row r="15">
      <x:c r="A15" s="140"/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2"/>
    </x:row>
    <x:row r="16">
      <x:c r="A16" s="140"/>
      <x:c r="B16" s="141"/>
      <x:c r="C16" s="141"/>
      <x:c r="D16" s="141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2"/>
    </x:row>
    <x:row r="17">
      <x:c r="A17" s="143"/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4"/>
      <x:c r="M17" s="144"/>
      <x:c r="N17" s="144"/>
      <x:c r="O17" s="145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F6:O6"/>
    <x:mergeCell ref="F7:O7"/>
    <x:mergeCell ref="F8:O8"/>
    <x:mergeCell ref="F9:O9"/>
    <x:mergeCell ref="F10:O10"/>
    <x:mergeCell ref="F11:O11"/>
    <x:mergeCell ref="A13:O13"/>
    <x:mergeCell ref="A14:O17"/>
  </x:mergeCells>
  <x:pageMargins left="0.7" right="0.7" top="0.75" bottom="0.75" header="0.3" footer="0.3"/>
</x:worksheet>
</file>