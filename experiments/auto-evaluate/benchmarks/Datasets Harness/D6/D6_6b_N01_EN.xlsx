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153a4f8bd84e4b" /></Relationships>
</file>

<file path=xl/workbook.xml><?xml version="1.0" encoding="utf-8"?>
<x:workbook xmlns:x="http://schemas.openxmlformats.org/spreadsheetml/2006/main">
  <x:sheets>
    <x:sheet xmlns:r="http://schemas.openxmlformats.org/officeDocument/2006/relationships" name="Question_Q" sheetId="1" r:id="Rbbbe083d319c4e63"/>
    <x:sheet xmlns:r="http://schemas.openxmlformats.org/officeDocument/2006/relationships" name="Gold_Answer_A" sheetId="2" r:id="Ree39537f8ee34a2a"/>
    <x:sheet xmlns:r="http://schemas.openxmlformats.org/officeDocument/2006/relationships" name="Trajectory_Rubric" sheetId="3" r:id="R71bf5048ed654478"/>
    <x:sheet xmlns:r="http://schemas.openxmlformats.org/officeDocument/2006/relationships" name="Tool_Efficiency" sheetId="4" r:id="Re2aad7005aad42a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8">
    <x:font>
      <x:sz val="11"/>
      <x:name val="Carlito"/>
    </x:font>
    <x:font>
      <x:sz val="9"/>
      <x:color rgb="FF1F2937"/>
      <x:name val="Aptos"/>
    </x:font>
    <x:font>
      <x:b/>
      <x:sz val="18"/>
      <x:color rgb="FFFFFFFF"/>
      <x:name val="Aptos"/>
    </x:font>
    <x:font>
      <x:sz val="10"/>
      <x:color rgb="FF1F2937"/>
      <x:name val="Aptos"/>
    </x:font>
    <x:font>
      <x:b/>
      <x:sz val="11"/>
      <x:color rgb="FFFFFFFF"/>
      <x:name val="Aptos"/>
    </x:font>
    <x:font>
      <x:b/>
      <x:sz val="9"/>
      <x:color rgb="FF1F2937"/>
      <x:name val="Aptos"/>
    </x:font>
    <x:font>
      <x:b/>
      <x:sz val="9"/>
      <x:color rgb="FF1F426B"/>
      <x:name val="Aptos"/>
    </x:font>
    <x:font>
      <x:b/>
      <x:sz val="10"/>
      <x:color rgb="FF1F2937"/>
      <x:name val="Aptos"/>
    </x:font>
  </x:fonts>
  <x:fills count="10">
    <x:fill>
      <x:patternFill patternType="none"/>
    </x:fill>
    <x:fill>
      <x:patternFill patternType="gray125"/>
    </x:fill>
    <x:fill>
      <x:patternFill patternType="solid">
        <x:fgColor rgb="FF1F426B"/>
      </x:patternFill>
    </x:fill>
    <x:fill>
      <x:patternFill patternType="solid">
        <x:fgColor rgb="FFFFF2CC"/>
      </x:patternFill>
    </x:fill>
    <x:fill>
      <x:patternFill patternType="solid">
        <x:fgColor rgb="FF2F75B5"/>
      </x:patternFill>
    </x:fill>
    <x:fill>
      <x:patternFill patternType="solid">
        <x:fgColor rgb="FFF5F8FB"/>
      </x:patternFill>
    </x:fill>
    <x:fill>
      <x:patternFill patternType="solid">
        <x:fgColor rgb="FFE2F0D9"/>
      </x:patternFill>
    </x:fill>
    <x:fill>
      <x:patternFill patternType="solid">
        <x:fgColor rgb="FFD9EAF7"/>
      </x:patternFill>
    </x:fill>
    <x:fill>
      <x:patternFill patternType="solid">
        <x:fgColor rgb="FFF4B183"/>
      </x:patternFill>
    </x:fill>
    <x:fill>
      <x:patternFill patternType="solid">
        <x:fgColor rgb="FFFFFFFF"/>
      </x:patternFill>
    </x:fill>
  </x:fills>
  <x:borders count="10">
    <x:border/>
    <x:border>
      <x:left style="thin">
        <x:color rgb="FFC9D7E5"/>
      </x:left>
      <x:top style="thin">
        <x:color rgb="FFC9D7E5"/>
      </x:top>
    </x:border>
    <x:border>
      <x:top style="thin">
        <x:color rgb="FFC9D7E5"/>
      </x:top>
    </x:border>
    <x:border>
      <x:right style="thin">
        <x:color rgb="FFC9D7E5"/>
      </x:right>
      <x:top style="thin">
        <x:color rgb="FFC9D7E5"/>
      </x:top>
    </x:border>
    <x:border>
      <x:left style="thin">
        <x:color rgb="FFC9D7E5"/>
      </x:left>
    </x:border>
    <x:border>
      <x:right style="thin">
        <x:color rgb="FFC9D7E5"/>
      </x:right>
    </x:border>
    <x:border>
      <x:left style="thin">
        <x:color rgb="FFC9D7E5"/>
      </x:left>
      <x:bottom style="thin">
        <x:color rgb="FFC9D7E5"/>
      </x:bottom>
    </x:border>
    <x:border>
      <x:bottom style="thin">
        <x:color rgb="FFC9D7E5"/>
      </x:bottom>
    </x:border>
    <x:border>
      <x:right style="thin">
        <x:color rgb="FFC9D7E5"/>
      </x:right>
      <x:bottom style="thin">
        <x:color rgb="FFC9D7E5"/>
      </x:bottom>
    </x:border>
    <x:border>
      <x:left style="thin">
        <x:color rgb="FFC9D7E5"/>
      </x:left>
      <x:right style="thin">
        <x:color rgb="FFC9D7E5"/>
      </x:right>
      <x:top style="thin">
        <x:color rgb="FFC9D7E5"/>
      </x:top>
      <x:bottom style="thin">
        <x:color rgb="FFC9D7E5"/>
      </x:bottom>
    </x:border>
  </x:borders>
  <x:cellStyleXfs count="1">
    <x:xf numFmtId="0" fontId="0" fillId="0" borderId="0"/>
  </x:cellStyleXfs>
  <x:cellXfs count="19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3" fillId="3" borderId="7" xfId="0" applyNumberFormat="1" applyFont="1" applyFill="1" applyBorder="1" applyAlignment="1">
      <x:alignment wrapText="1"/>
    </x:xf>
    <x:xf numFmtId="0" fontId="3" fillId="3" borderId="8" xfId="0" applyNumberFormat="1" applyFont="1" applyFill="1" applyBorder="1" applyAlignment="1">
      <x:alignment wrapText="1"/>
    </x:xf>
    <x:xf numFmtId="0" fontId="3" fillId="3" borderId="1"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7" xfId="0" applyNumberFormat="1" applyFont="1" applyFill="1" applyBorder="1" applyAlignment="1">
      <x:alignment vertical="top" wrapText="1"/>
    </x:xf>
    <x:xf numFmtId="0" fontId="3" fillId="3" borderId="8" xfId="0" applyNumberFormat="1" applyFont="1" applyFill="1" applyBorder="1" applyAlignment="1">
      <x:alignment vertical="top"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1" fillId="7" borderId="0" xfId="0" applyNumberFormat="1" applyFont="1" applyFill="1" applyBorder="1"/>
    <x:xf numFmtId="0" fontId="1" fillId="7" borderId="1"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5" xfId="0" applyNumberFormat="1" applyFont="1" applyFill="1" applyBorder="1"/>
    <x:xf numFmtId="0" fontId="1" fillId="7" borderId="6" xfId="0" applyNumberFormat="1" applyFont="1" applyFill="1" applyBorder="1"/>
    <x:xf numFmtId="0" fontId="1" fillId="7" borderId="7" xfId="0" applyNumberFormat="1" applyFont="1" applyFill="1" applyBorder="1"/>
    <x:xf numFmtId="0" fontId="1" fillId="7" borderId="8" xfId="0" applyNumberFormat="1" applyFont="1" applyFill="1" applyBorder="1"/>
    <x:xf numFmtId="0" fontId="1" fillId="7" borderId="1" xfId="0" applyNumberFormat="1" applyFont="1" applyFill="1" applyBorder="1" applyAlignment="1">
      <x:alignment wrapText="1"/>
    </x:xf>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5" xfId="0" applyNumberFormat="1" applyFont="1" applyFill="1" applyBorder="1" applyAlignment="1">
      <x:alignment wrapText="1"/>
    </x:xf>
    <x:xf numFmtId="0" fontId="1" fillId="7" borderId="6" xfId="0" applyNumberFormat="1" applyFont="1" applyFill="1" applyBorder="1" applyAlignment="1">
      <x:alignment wrapText="1"/>
    </x:xf>
    <x:xf numFmtId="0" fontId="1" fillId="7" borderId="7" xfId="0" applyNumberFormat="1" applyFont="1" applyFill="1" applyBorder="1" applyAlignment="1">
      <x:alignment wrapText="1"/>
    </x:xf>
    <x:xf numFmtId="0" fontId="1" fillId="7" borderId="8" xfId="0" applyNumberFormat="1" applyFont="1" applyFill="1" applyBorder="1" applyAlignment="1">
      <x:alignment wrapText="1"/>
    </x:xf>
    <x:xf numFmtId="0" fontId="1" fillId="7" borderId="1"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7" borderId="3"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7" xfId="0" applyNumberFormat="1" applyFont="1" applyFill="1" applyBorder="1" applyAlignment="1">
      <x:alignment vertical="top" wrapText="1"/>
    </x:xf>
    <x:xf numFmtId="0" fontId="1" fillId="7" borderId="8" xfId="0" applyNumberFormat="1" applyFont="1" applyFill="1" applyBorder="1" applyAlignment="1">
      <x:alignment vertical="top" wrapText="1"/>
    </x:xf>
    <x:xf numFmtId="0" fontId="1" fillId="8" borderId="0" xfId="0" applyNumberFormat="1" applyFont="1" applyFill="1" applyBorder="1"/>
    <x:xf numFmtId="0" fontId="6" fillId="8" borderId="0" xfId="0" applyNumberFormat="1" applyFont="1" applyFill="1" applyBorder="1"/>
    <x:xf numFmtId="0" fontId="6" fillId="8" borderId="9" xfId="0" applyNumberFormat="1" applyFont="1" applyFill="1" applyBorder="1"/>
    <x:xf numFmtId="0" fontId="6" fillId="8" borderId="9" xfId="0" applyNumberFormat="1" applyFont="1" applyFill="1" applyBorder="1" applyAlignment="1">
      <x:alignment horizontal="center"/>
    </x:xf>
    <x:xf numFmtId="0" fontId="1" fillId="0" borderId="9" xfId="0" applyNumberFormat="1" applyFont="1" applyFill="1" applyBorder="1"/>
    <x:xf numFmtId="0" fontId="1" fillId="0" borderId="9" xfId="0" applyNumberFormat="1" applyFont="1" applyFill="1" applyBorder="1" applyAlignment="1">
      <x:alignment wrapText="1"/>
    </x:xf>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7" xfId="0" applyNumberFormat="1" applyFont="1" applyFill="1" applyBorder="1"/>
    <x:xf numFmtId="0" fontId="1" fillId="3" borderId="8"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7" xfId="0" applyNumberFormat="1" applyFont="1" applyFill="1" applyBorder="1" applyAlignment="1">
      <x:alignment wrapText="1"/>
    </x:xf>
    <x:xf numFmtId="0" fontId="1" fillId="3" borderId="8" xfId="0" applyNumberFormat="1" applyFont="1" applyFill="1" applyBorder="1" applyAlignment="1">
      <x:alignment wrapText="1"/>
    </x:xf>
    <x:xf numFmtId="0" fontId="1" fillId="3" borderId="1"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4"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1" xfId="0" applyNumberFormat="1" applyFont="1" applyFill="1" applyBorder="1" applyAlignment="1">
      <x:alignment wrapText="1"/>
    </x:xf>
    <x:xf numFmtId="0" fontId="7" fillId="6" borderId="2"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5" fillId="7" borderId="0" xfId="0" applyNumberFormat="1" applyFont="1" applyFill="1" applyBorder="1"/>
    <x:xf numFmtId="0" fontId="5" fillId="7" borderId="9" xfId="0" applyNumberFormat="1" applyFont="1" applyFill="1" applyBorder="1"/>
    <x:xf numFmtId="0" fontId="5" fillId="7" borderId="9" xfId="0" applyNumberFormat="1" applyFont="1" applyFill="1" applyBorder="1" applyAlignment="1">
      <x:alignment wrapText="1"/>
    </x:xf>
    <x:xf numFmtId="0" fontId="5" fillId="7" borderId="9" xfId="0" applyNumberFormat="1" applyFont="1" applyFill="1" applyBorder="1" applyAlignment="1">
      <x:alignment horizontal="center" wrapText="1"/>
    </x:xf>
    <x:xf numFmtId="0" fontId="5" fillId="7" borderId="9" xfId="0" applyNumberFormat="1" applyFont="1" applyFill="1" applyBorder="1" applyAlignment="1">
      <x:alignment horizontal="center" vertical="center" wrapText="1"/>
    </x:xf>
    <x:xf numFmtId="0" fontId="1" fillId="9" borderId="0" xfId="0" applyNumberFormat="1" applyFont="1" applyFill="1" applyBorder="1"/>
    <x:xf numFmtId="0" fontId="1" fillId="9" borderId="9" xfId="0" applyNumberFormat="1" applyFont="1" applyFill="1" applyBorder="1"/>
    <x:xf numFmtId="0" fontId="1" fillId="9" borderId="9" xfId="0" applyNumberFormat="1" applyFont="1" applyFill="1" applyBorder="1" applyAlignment="1">
      <x:alignment wrapText="1"/>
    </x:xf>
    <x:xf numFmtId="0" fontId="1" fillId="9" borderId="9" xfId="0" applyNumberFormat="1" applyFont="1" applyFill="1" applyBorder="1" applyAlignment="1">
      <x:alignment vertical="center" wrapText="1"/>
    </x:xf>
    <x:xf numFmtId="200" fontId="1" fillId="9" borderId="9" xfId="0" applyNumberFormat="1" applyFont="1" applyFill="1" applyBorder="1" applyAlignment="1">
      <x:alignment vertical="center" wrapText="1"/>
    </x:xf>
    <x:xf numFmtId="0" fontId="1" fillId="5" borderId="9" xfId="0" applyNumberFormat="1" applyFont="1" applyFill="1" applyBorder="1"/>
    <x:xf numFmtId="200" fontId="1" fillId="5" borderId="9"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54833403784d45" /><Relationship Type="http://schemas.openxmlformats.org/officeDocument/2006/relationships/theme" Target="/xl/theme/theme1.xml" Id="R84a7a2f37f3d4b79" /><Relationship Type="http://schemas.openxmlformats.org/officeDocument/2006/relationships/sharedStrings" Target="/xl/sharedStrings.xml" Id="Rd4bed075ef5d4268" /><Relationship Type="http://schemas.openxmlformats.org/officeDocument/2006/relationships/worksheet" Target="/xl/worksheets/sheet1.xml" Id="Rbbbe083d319c4e63" /><Relationship Type="http://schemas.openxmlformats.org/officeDocument/2006/relationships/worksheet" Target="/xl/worksheets/sheet2.xml" Id="Ree39537f8ee34a2a" /><Relationship Type="http://schemas.openxmlformats.org/officeDocument/2006/relationships/worksheet" Target="/xl/worksheets/sheet3.xml" Id="R71bf5048ed654478" /><Relationship Type="http://schemas.openxmlformats.org/officeDocument/2006/relationships/worksheet" Target="/xl/worksheets/sheet4.xml" Id="Re2aad7005aad42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35d734006b04cc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Stage-1 boundary</a:t>
            </a:r>
          </a:p>
        </c:rich>
      </c:tx>
      <c:overlay val="0"/>
    </c:title>
    <c:plotArea>
      <c:lineChart>
        <c:grouping val="standard"/>
        <c:varyColors val="0"/>
        <c:ser>
          <c:idx val="0"/>
          <c:order val="0"/>
          <c:tx>
            <c:v>Water kg/s</c:v>
          </c:tx>
          <c:marker>
            <c:symbol val="none"/>
          </c:marker>
          <c:cat>
            <c:strRef>
              <c:f>'Gold_Answer_A'!$K$10:$K$15</c:f>
              <c:strCache>
                <c:ptCount val="0"/>
              </c:strCache>
            </c:strRef>
          </c:cat>
          <c:val>
            <c:numRef>
              <c:f>'Gold_Answer_A'!$L$10:$L$15</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17</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35d734006b04cc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82931c7a8bb4c85"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D6_6b-N01 | Minimum pressure and acidification window for an aged membrane in high-salinity summer</x:v>
      </x:c>
      <x:c r="B1" s="6" t="str">
        <x:v>D6_6b-N01 | Minimum pressure and acidification window for an aged membrane in high-salinity summer</x:v>
      </x:c>
      <x:c r="C1" s="6" t="str">
        <x:v>D6_6b-N01 | Minimum pressure and acidification window for an aged membrane in high-salinity summer</x:v>
      </x:c>
      <x:c r="D1" s="6" t="str">
        <x:v>D6_6b-N01 | Minimum pressure and acidification window for an aged membrane in high-salinity summer</x:v>
      </x:c>
      <x:c r="E1" s="6" t="str">
        <x:v>D6_6b-N01 | Minimum pressure and acidification window for an aged membrane in high-salinity summer</x:v>
      </x:c>
      <x:c r="F1" s="6" t="str">
        <x:v>D6_6b-N01 | Minimum pressure and acidification window for an aged membrane in high-salinity summer</x:v>
      </x:c>
      <x:c r="G1" s="6" t="str">
        <x:v>D6_6b-N01 | Minimum pressure and acidification window for an aged membrane in high-salinity summer</x:v>
      </x:c>
      <x:c r="H1" s="6" t="str">
        <x:v>D6_6b-N01 | Minimum pressure and acidification window for an aged membrane in high-salinity summer</x:v>
      </x:c>
      <x:c r="I1" s="6" t="str">
        <x:v>D6_6b-N01 | Minimum pressure and acidification window for an aged membrane in high-salinity summer</x:v>
      </x:c>
      <x:c r="J1" s="6" t="str">
        <x:v>D6_6b-N01 | Minimum pressure and acidification window for an aged membrane in high-salinity summer</x:v>
      </x:c>
      <x:c r="K1" s="6" t="str">
        <x:v>D6_6b-N01 | Minimum pressure and acidification window for an aged membrane in high-salinity summer</x:v>
      </x:c>
      <x:c r="L1" s="6" t="str">
        <x:v>D6_6b-N01 | Minimum pressure and acidification window for an aged membrane in high-salinity summer</x:v>
      </x:c>
      <x:c r="M1" s="6" t="str">
        <x:v>D6_6b-N01 | Minimum pressure and acidification window for an aged membrane in high-salinity summer</x:v>
      </x:c>
      <x:c r="N1" s="6" t="str">
        <x:v>D6_6b-N01 | Minimum pressure and acidification window for an aged membrane in high-salinity summer</x:v>
      </x:c>
    </x:row>
    <x:row r="2" ht="28" customHeight="1">
      <x:c r="A2" s="6" t="str">
        <x:v>D6_6b-N01 | Minimum pressure and acidification window for an aged membrane in high-salinity summer</x:v>
      </x:c>
      <x:c r="B2" s="6" t="str">
        <x:v>D6_6b-N01 | Minimum pressure and acidification window for an aged membrane in high-salinity summer</x:v>
      </x:c>
      <x:c r="C2" s="6" t="str">
        <x:v>D6_6b-N01 | Minimum pressure and acidification window for an aged membrane in high-salinity summer</x:v>
      </x:c>
      <x:c r="D2" s="6" t="str">
        <x:v>D6_6b-N01 | Minimum pressure and acidification window for an aged membrane in high-salinity summer</x:v>
      </x:c>
      <x:c r="E2" s="6" t="str">
        <x:v>D6_6b-N01 | Minimum pressure and acidification window for an aged membrane in high-salinity summer</x:v>
      </x:c>
      <x:c r="F2" s="6" t="str">
        <x:v>D6_6b-N01 | Minimum pressure and acidification window for an aged membrane in high-salinity summer</x:v>
      </x:c>
      <x:c r="G2" s="6" t="str">
        <x:v>D6_6b-N01 | Minimum pressure and acidification window for an aged membrane in high-salinity summer</x:v>
      </x:c>
      <x:c r="H2" s="6" t="str">
        <x:v>D6_6b-N01 | Minimum pressure and acidification window for an aged membrane in high-salinity summer</x:v>
      </x:c>
      <x:c r="I2" s="6" t="str">
        <x:v>D6_6b-N01 | Minimum pressure and acidification window for an aged membrane in high-salinity summer</x:v>
      </x:c>
      <x:c r="J2" s="6" t="str">
        <x:v>D6_6b-N01 | Minimum pressure and acidification window for an aged membrane in high-salinity summer</x:v>
      </x:c>
      <x:c r="K2" s="6" t="str">
        <x:v>D6_6b-N01 | Minimum pressure and acidification window for an aged membrane in high-salinity summer</x:v>
      </x:c>
      <x:c r="L2" s="6" t="str">
        <x:v>D6_6b-N01 | Minimum pressure and acidification window for an aged membrane in high-salinity summer</x:v>
      </x:c>
      <x:c r="M2" s="6" t="str">
        <x:v>D6_6b-N01 | Minimum pressure and acidification window for an aged membrane in high-salinity summer</x:v>
      </x:c>
      <x:c r="N2" s="6" t="str">
        <x:v>D6_6b-N01 | Minimum pressure and acidification window for an aged membrane in high-salinity summer</x:v>
      </x:c>
    </x:row>
    <x:row r="3">
      <x:c r="A3" s="1"/>
      <x:c r="B3" s="1"/>
      <x:c r="C3" s="1"/>
      <x:c r="D3" s="1"/>
      <x:c r="E3" s="1"/>
      <x:c r="F3" s="1"/>
      <x:c r="G3" s="1"/>
      <x:c r="H3" s="1"/>
      <x:c r="I3" s="1"/>
      <x:c r="J3" s="1"/>
      <x:c r="K3" s="1"/>
      <x:c r="L3" s="1"/>
      <x:c r="M3" s="1"/>
      <x:c r="N3" s="1"/>
    </x:row>
    <x:row r="4">
      <x:c r="A4" s="26"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B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C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D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E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F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G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H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I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J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K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L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M4" s="27"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N4" s="28"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row>
    <x:row r="5">
      <x:c r="A5" s="29"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B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C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D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E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F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G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H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I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J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K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L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M5"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N5" s="31"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row>
    <x:row r="6">
      <x:c r="A6" s="29"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B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C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D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E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F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G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H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I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J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K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L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M6" s="30"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N6" s="31"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row>
    <x:row r="7">
      <x:c r="A7" s="32"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B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C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D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E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F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G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H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I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J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K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L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M7" s="33"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c r="N7" s="34" t="str">
        <x:v>A coastal SWRO unit operates at 39 g/kg and 31°C with reduced membrane water permeability. First determine the minimum pressure satisfying membrane output, quality and CP limits without adding area. Then pass the actual recovery at that pressure into concentrate equilibrium and determine the minimum feasible HCl dose.</x:v>
      </x:c>
    </x:row>
    <x:row r="8">
      <x:c r="A8" s="1"/>
      <x:c r="B8" s="1"/>
      <x:c r="C8" s="1"/>
      <x:c r="D8" s="1"/>
      <x:c r="E8" s="1"/>
      <x:c r="F8" s="1"/>
      <x:c r="G8" s="1"/>
      <x:c r="H8" s="1"/>
      <x:c r="I8" s="1"/>
      <x:c r="J8" s="1"/>
      <x:c r="K8" s="1"/>
      <x:c r="L8" s="1"/>
      <x:c r="M8" s="1"/>
      <x:c r="N8" s="1"/>
    </x:row>
    <x:row r="9">
      <x:c r="A9" s="37" t="str">
        <x:v>Engineering inputs and design boundary</x:v>
      </x:c>
      <x:c r="B9" s="37" t="str">
        <x:v>Engineering inputs and design boundary</x:v>
      </x:c>
      <x:c r="C9" s="37" t="str">
        <x:v>Engineering inputs and design boundary</x:v>
      </x:c>
      <x:c r="D9" s="37" t="str">
        <x:v>Engineering inputs and design boundary</x:v>
      </x:c>
      <x:c r="E9" s="37" t="str">
        <x:v>Engineering inputs and design boundary</x:v>
      </x:c>
      <x:c r="F9" s="37" t="str">
        <x:v>Engineering inputs and design boundary</x:v>
      </x:c>
      <x:c r="G9" s="1"/>
      <x:c r="H9" s="37" t="str">
        <x:v>Hard constraints and decision rule</x:v>
      </x:c>
      <x:c r="I9" s="37" t="str">
        <x:v>Hard constraints and decision rule</x:v>
      </x:c>
      <x:c r="J9" s="37" t="str">
        <x:v>Hard constraints and decision rule</x:v>
      </x:c>
      <x:c r="K9" s="37" t="str">
        <x:v>Hard constraints and decision rule</x:v>
      </x:c>
      <x:c r="L9" s="37" t="str">
        <x:v>Hard constraints and decision rule</x:v>
      </x:c>
      <x:c r="M9" s="37" t="str">
        <x:v>Hard constraints and decision rule</x:v>
      </x:c>
      <x:c r="N9" s="37" t="str">
        <x:v>Hard constraints and decision rule</x:v>
      </x:c>
    </x:row>
    <x:row r="10">
      <x:c r="A10" s="56" t="str">
        <x:v>Evaluate 60–70 bar; membrane area 70 m²; A=3.6×10⁻¹² m/s/Pa and B=2.8×10⁻⁸ m/s. The chemistry stage must inherit the actual recovery of the lowest compliant pressure; HCl is selected from a discrete grid.</x:v>
      </x:c>
      <x:c r="B10" s="57" t="str">
        <x:v>Evaluate 60–70 bar; membrane area 70 m²; A=3.6×10⁻¹² m/s/Pa and B=2.8×10⁻⁸ m/s. The chemistry stage must inherit the actual recovery of the lowest compliant pressure; HCl is selected from a discrete grid.</x:v>
      </x:c>
      <x:c r="C10" s="57" t="str">
        <x:v>Evaluate 60–70 bar; membrane area 70 m²; A=3.6×10⁻¹² m/s/Pa and B=2.8×10⁻⁸ m/s. The chemistry stage must inherit the actual recovery of the lowest compliant pressure; HCl is selected from a discrete grid.</x:v>
      </x:c>
      <x:c r="D10" s="57" t="str">
        <x:v>Evaluate 60–70 bar; membrane area 70 m²; A=3.6×10⁻¹² m/s/Pa and B=2.8×10⁻⁸ m/s. The chemistry stage must inherit the actual recovery of the lowest compliant pressure; HCl is selected from a discrete grid.</x:v>
      </x:c>
      <x:c r="E10" s="57" t="str">
        <x:v>Evaluate 60–70 bar; membrane area 70 m²; A=3.6×10⁻¹² m/s/Pa and B=2.8×10⁻⁸ m/s. The chemistry stage must inherit the actual recovery of the lowest compliant pressure; HCl is selected from a discrete grid.</x:v>
      </x:c>
      <x:c r="F10" s="58" t="str">
        <x:v>Evaluate 60–70 bar; membrane area 70 m²; A=3.6×10⁻¹² m/s/Pa and B=2.8×10⁻⁸ m/s. The chemistry stage must inherit the actual recovery of the lowest compliant pressure; HCl is selected from a discrete grid.</x:v>
      </x:c>
      <x:c r="G10" s="1"/>
      <x:c r="H10" s="84" t="str">
        <x:v>Membrane: water ≥0.360 kg/s, NaCl ≤330 mg/L and inlet CP ≤1.30. Chemistry: SI≤0 for Calcite, Dolomite, Gypsum and Anhydrite, with pH≥6.05. Minimize pressure first and HCl dose second.</x:v>
      </x:c>
      <x:c r="I10" s="85" t="str">
        <x:v>Membrane: water ≥0.360 kg/s, NaCl ≤330 mg/L and inlet CP ≤1.30. Chemistry: SI≤0 for Calcite, Dolomite, Gypsum and Anhydrite, with pH≥6.05. Minimize pressure first and HCl dose second.</x:v>
      </x:c>
      <x:c r="J10" s="85" t="str">
        <x:v>Membrane: water ≥0.360 kg/s, NaCl ≤330 mg/L and inlet CP ≤1.30. Chemistry: SI≤0 for Calcite, Dolomite, Gypsum and Anhydrite, with pH≥6.05. Minimize pressure first and HCl dose second.</x:v>
      </x:c>
      <x:c r="K10" s="85" t="str">
        <x:v>Membrane: water ≥0.360 kg/s, NaCl ≤330 mg/L and inlet CP ≤1.30. Chemistry: SI≤0 for Calcite, Dolomite, Gypsum and Anhydrite, with pH≥6.05. Minimize pressure first and HCl dose second.</x:v>
      </x:c>
      <x:c r="L10" s="85" t="str">
        <x:v>Membrane: water ≥0.360 kg/s, NaCl ≤330 mg/L and inlet CP ≤1.30. Chemistry: SI≤0 for Calcite, Dolomite, Gypsum and Anhydrite, with pH≥6.05. Minimize pressure first and HCl dose second.</x:v>
      </x:c>
      <x:c r="M10" s="85" t="str">
        <x:v>Membrane: water ≥0.360 kg/s, NaCl ≤330 mg/L and inlet CP ≤1.30. Chemistry: SI≤0 for Calcite, Dolomite, Gypsum and Anhydrite, with pH≥6.05. Minimize pressure first and HCl dose second.</x:v>
      </x:c>
      <x:c r="N10" s="86" t="str">
        <x:v>Membrane: water ≥0.360 kg/s, NaCl ≤330 mg/L and inlet CP ≤1.30. Chemistry: SI≤0 for Calcite, Dolomite, Gypsum and Anhydrite, with pH≥6.05. Minimize pressure first and HCl dose second.</x:v>
      </x:c>
    </x:row>
    <x:row r="11">
      <x:c r="A11" s="59" t="str">
        <x:v>Evaluate 60–70 bar; membrane area 70 m²; A=3.6×10⁻¹² m/s/Pa and B=2.8×10⁻⁸ m/s. The chemistry stage must inherit the actual recovery of the lowest compliant pressure; HCl is selected from a discrete grid.</x:v>
      </x:c>
      <x:c r="B11" s="60" t="str">
        <x:v>Evaluate 60–70 bar; membrane area 70 m²; A=3.6×10⁻¹² m/s/Pa and B=2.8×10⁻⁸ m/s. The chemistry stage must inherit the actual recovery of the lowest compliant pressure; HCl is selected from a discrete grid.</x:v>
      </x:c>
      <x:c r="C11" s="60" t="str">
        <x:v>Evaluate 60–70 bar; membrane area 70 m²; A=3.6×10⁻¹² m/s/Pa and B=2.8×10⁻⁸ m/s. The chemistry stage must inherit the actual recovery of the lowest compliant pressure; HCl is selected from a discrete grid.</x:v>
      </x:c>
      <x:c r="D11" s="60" t="str">
        <x:v>Evaluate 60–70 bar; membrane area 70 m²; A=3.6×10⁻¹² m/s/Pa and B=2.8×10⁻⁸ m/s. The chemistry stage must inherit the actual recovery of the lowest compliant pressure; HCl is selected from a discrete grid.</x:v>
      </x:c>
      <x:c r="E11" s="60" t="str">
        <x:v>Evaluate 60–70 bar; membrane area 70 m²; A=3.6×10⁻¹² m/s/Pa and B=2.8×10⁻⁸ m/s. The chemistry stage must inherit the actual recovery of the lowest compliant pressure; HCl is selected from a discrete grid.</x:v>
      </x:c>
      <x:c r="F11" s="61" t="str">
        <x:v>Evaluate 60–70 bar; membrane area 70 m²; A=3.6×10⁻¹² m/s/Pa and B=2.8×10⁻⁸ m/s. The chemistry stage must inherit the actual recovery of the lowest compliant pressure; HCl is selected from a discrete grid.</x:v>
      </x:c>
      <x:c r="G11" s="1"/>
      <x:c r="H11" s="87" t="str">
        <x:v>Membrane: water ≥0.360 kg/s, NaCl ≤330 mg/L and inlet CP ≤1.30. Chemistry: SI≤0 for Calcite, Dolomite, Gypsum and Anhydrite, with pH≥6.05. Minimize pressure first and HCl dose second.</x:v>
      </x:c>
      <x:c r="I11" s="88" t="str">
        <x:v>Membrane: water ≥0.360 kg/s, NaCl ≤330 mg/L and inlet CP ≤1.30. Chemistry: SI≤0 for Calcite, Dolomite, Gypsum and Anhydrite, with pH≥6.05. Minimize pressure first and HCl dose second.</x:v>
      </x:c>
      <x:c r="J11" s="88" t="str">
        <x:v>Membrane: water ≥0.360 kg/s, NaCl ≤330 mg/L and inlet CP ≤1.30. Chemistry: SI≤0 for Calcite, Dolomite, Gypsum and Anhydrite, with pH≥6.05. Minimize pressure first and HCl dose second.</x:v>
      </x:c>
      <x:c r="K11" s="88" t="str">
        <x:v>Membrane: water ≥0.360 kg/s, NaCl ≤330 mg/L and inlet CP ≤1.30. Chemistry: SI≤0 for Calcite, Dolomite, Gypsum and Anhydrite, with pH≥6.05. Minimize pressure first and HCl dose second.</x:v>
      </x:c>
      <x:c r="L11" s="88" t="str">
        <x:v>Membrane: water ≥0.360 kg/s, NaCl ≤330 mg/L and inlet CP ≤1.30. Chemistry: SI≤0 for Calcite, Dolomite, Gypsum and Anhydrite, with pH≥6.05. Minimize pressure first and HCl dose second.</x:v>
      </x:c>
      <x:c r="M11" s="88" t="str">
        <x:v>Membrane: water ≥0.360 kg/s, NaCl ≤330 mg/L and inlet CP ≤1.30. Chemistry: SI≤0 for Calcite, Dolomite, Gypsum and Anhydrite, with pH≥6.05. Minimize pressure first and HCl dose second.</x:v>
      </x:c>
      <x:c r="N11" s="89" t="str">
        <x:v>Membrane: water ≥0.360 kg/s, NaCl ≤330 mg/L and inlet CP ≤1.30. Chemistry: SI≤0 for Calcite, Dolomite, Gypsum and Anhydrite, with pH≥6.05. Minimize pressure first and HCl dose second.</x:v>
      </x:c>
    </x:row>
    <x:row r="12">
      <x:c r="A12" s="59" t="str">
        <x:v>Evaluate 60–70 bar; membrane area 70 m²; A=3.6×10⁻¹² m/s/Pa and B=2.8×10⁻⁸ m/s. The chemistry stage must inherit the actual recovery of the lowest compliant pressure; HCl is selected from a discrete grid.</x:v>
      </x:c>
      <x:c r="B12" s="60" t="str">
        <x:v>Evaluate 60–70 bar; membrane area 70 m²; A=3.6×10⁻¹² m/s/Pa and B=2.8×10⁻⁸ m/s. The chemistry stage must inherit the actual recovery of the lowest compliant pressure; HCl is selected from a discrete grid.</x:v>
      </x:c>
      <x:c r="C12" s="60" t="str">
        <x:v>Evaluate 60–70 bar; membrane area 70 m²; A=3.6×10⁻¹² m/s/Pa and B=2.8×10⁻⁸ m/s. The chemistry stage must inherit the actual recovery of the lowest compliant pressure; HCl is selected from a discrete grid.</x:v>
      </x:c>
      <x:c r="D12" s="60" t="str">
        <x:v>Evaluate 60–70 bar; membrane area 70 m²; A=3.6×10⁻¹² m/s/Pa and B=2.8×10⁻⁸ m/s. The chemistry stage must inherit the actual recovery of the lowest compliant pressure; HCl is selected from a discrete grid.</x:v>
      </x:c>
      <x:c r="E12" s="60" t="str">
        <x:v>Evaluate 60–70 bar; membrane area 70 m²; A=3.6×10⁻¹² m/s/Pa and B=2.8×10⁻⁸ m/s. The chemistry stage must inherit the actual recovery of the lowest compliant pressure; HCl is selected from a discrete grid.</x:v>
      </x:c>
      <x:c r="F12" s="61" t="str">
        <x:v>Evaluate 60–70 bar; membrane area 70 m²; A=3.6×10⁻¹² m/s/Pa and B=2.8×10⁻⁸ m/s. The chemistry stage must inherit the actual recovery of the lowest compliant pressure; HCl is selected from a discrete grid.</x:v>
      </x:c>
      <x:c r="G12" s="1"/>
      <x:c r="H12" s="87" t="str">
        <x:v>Membrane: water ≥0.360 kg/s, NaCl ≤330 mg/L and inlet CP ≤1.30. Chemistry: SI≤0 for Calcite, Dolomite, Gypsum and Anhydrite, with pH≥6.05. Minimize pressure first and HCl dose second.</x:v>
      </x:c>
      <x:c r="I12" s="88" t="str">
        <x:v>Membrane: water ≥0.360 kg/s, NaCl ≤330 mg/L and inlet CP ≤1.30. Chemistry: SI≤0 for Calcite, Dolomite, Gypsum and Anhydrite, with pH≥6.05. Minimize pressure first and HCl dose second.</x:v>
      </x:c>
      <x:c r="J12" s="88" t="str">
        <x:v>Membrane: water ≥0.360 kg/s, NaCl ≤330 mg/L and inlet CP ≤1.30. Chemistry: SI≤0 for Calcite, Dolomite, Gypsum and Anhydrite, with pH≥6.05. Minimize pressure first and HCl dose second.</x:v>
      </x:c>
      <x:c r="K12" s="88" t="str">
        <x:v>Membrane: water ≥0.360 kg/s, NaCl ≤330 mg/L and inlet CP ≤1.30. Chemistry: SI≤0 for Calcite, Dolomite, Gypsum and Anhydrite, with pH≥6.05. Minimize pressure first and HCl dose second.</x:v>
      </x:c>
      <x:c r="L12" s="88" t="str">
        <x:v>Membrane: water ≥0.360 kg/s, NaCl ≤330 mg/L and inlet CP ≤1.30. Chemistry: SI≤0 for Calcite, Dolomite, Gypsum and Anhydrite, with pH≥6.05. Minimize pressure first and HCl dose second.</x:v>
      </x:c>
      <x:c r="M12" s="88" t="str">
        <x:v>Membrane: water ≥0.360 kg/s, NaCl ≤330 mg/L and inlet CP ≤1.30. Chemistry: SI≤0 for Calcite, Dolomite, Gypsum and Anhydrite, with pH≥6.05. Minimize pressure first and HCl dose second.</x:v>
      </x:c>
      <x:c r="N12" s="89" t="str">
        <x:v>Membrane: water ≥0.360 kg/s, NaCl ≤330 mg/L and inlet CP ≤1.30. Chemistry: SI≤0 for Calcite, Dolomite, Gypsum and Anhydrite, with pH≥6.05. Minimize pressure first and HCl dose second.</x:v>
      </x:c>
    </x:row>
    <x:row r="13">
      <x:c r="A13" s="59" t="str">
        <x:v>Evaluate 60–70 bar; membrane area 70 m²; A=3.6×10⁻¹² m/s/Pa and B=2.8×10⁻⁸ m/s. The chemistry stage must inherit the actual recovery of the lowest compliant pressure; HCl is selected from a discrete grid.</x:v>
      </x:c>
      <x:c r="B13" s="60" t="str">
        <x:v>Evaluate 60–70 bar; membrane area 70 m²; A=3.6×10⁻¹² m/s/Pa and B=2.8×10⁻⁸ m/s. The chemistry stage must inherit the actual recovery of the lowest compliant pressure; HCl is selected from a discrete grid.</x:v>
      </x:c>
      <x:c r="C13" s="60" t="str">
        <x:v>Evaluate 60–70 bar; membrane area 70 m²; A=3.6×10⁻¹² m/s/Pa and B=2.8×10⁻⁸ m/s. The chemistry stage must inherit the actual recovery of the lowest compliant pressure; HCl is selected from a discrete grid.</x:v>
      </x:c>
      <x:c r="D13" s="60" t="str">
        <x:v>Evaluate 60–70 bar; membrane area 70 m²; A=3.6×10⁻¹² m/s/Pa and B=2.8×10⁻⁸ m/s. The chemistry stage must inherit the actual recovery of the lowest compliant pressure; HCl is selected from a discrete grid.</x:v>
      </x:c>
      <x:c r="E13" s="60" t="str">
        <x:v>Evaluate 60–70 bar; membrane area 70 m²; A=3.6×10⁻¹² m/s/Pa and B=2.8×10⁻⁸ m/s. The chemistry stage must inherit the actual recovery of the lowest compliant pressure; HCl is selected from a discrete grid.</x:v>
      </x:c>
      <x:c r="F13" s="61" t="str">
        <x:v>Evaluate 60–70 bar; membrane area 70 m²; A=3.6×10⁻¹² m/s/Pa and B=2.8×10⁻⁸ m/s. The chemistry stage must inherit the actual recovery of the lowest compliant pressure; HCl is selected from a discrete grid.</x:v>
      </x:c>
      <x:c r="G13" s="1"/>
      <x:c r="H13" s="87" t="str">
        <x:v>Membrane: water ≥0.360 kg/s, NaCl ≤330 mg/L and inlet CP ≤1.30. Chemistry: SI≤0 for Calcite, Dolomite, Gypsum and Anhydrite, with pH≥6.05. Minimize pressure first and HCl dose second.</x:v>
      </x:c>
      <x:c r="I13" s="88" t="str">
        <x:v>Membrane: water ≥0.360 kg/s, NaCl ≤330 mg/L and inlet CP ≤1.30. Chemistry: SI≤0 for Calcite, Dolomite, Gypsum and Anhydrite, with pH≥6.05. Minimize pressure first and HCl dose second.</x:v>
      </x:c>
      <x:c r="J13" s="88" t="str">
        <x:v>Membrane: water ≥0.360 kg/s, NaCl ≤330 mg/L and inlet CP ≤1.30. Chemistry: SI≤0 for Calcite, Dolomite, Gypsum and Anhydrite, with pH≥6.05. Minimize pressure first and HCl dose second.</x:v>
      </x:c>
      <x:c r="K13" s="88" t="str">
        <x:v>Membrane: water ≥0.360 kg/s, NaCl ≤330 mg/L and inlet CP ≤1.30. Chemistry: SI≤0 for Calcite, Dolomite, Gypsum and Anhydrite, with pH≥6.05. Minimize pressure first and HCl dose second.</x:v>
      </x:c>
      <x:c r="L13" s="88" t="str">
        <x:v>Membrane: water ≥0.360 kg/s, NaCl ≤330 mg/L and inlet CP ≤1.30. Chemistry: SI≤0 for Calcite, Dolomite, Gypsum and Anhydrite, with pH≥6.05. Minimize pressure first and HCl dose second.</x:v>
      </x:c>
      <x:c r="M13" s="88" t="str">
        <x:v>Membrane: water ≥0.360 kg/s, NaCl ≤330 mg/L and inlet CP ≤1.30. Chemistry: SI≤0 for Calcite, Dolomite, Gypsum and Anhydrite, with pH≥6.05. Minimize pressure first and HCl dose second.</x:v>
      </x:c>
      <x:c r="N13" s="89" t="str">
        <x:v>Membrane: water ≥0.360 kg/s, NaCl ≤330 mg/L and inlet CP ≤1.30. Chemistry: SI≤0 for Calcite, Dolomite, Gypsum and Anhydrite, with pH≥6.05. Minimize pressure first and HCl dose second.</x:v>
      </x:c>
    </x:row>
    <x:row r="14">
      <x:c r="A14" s="59" t="str">
        <x:v>Evaluate 60–70 bar; membrane area 70 m²; A=3.6×10⁻¹² m/s/Pa and B=2.8×10⁻⁸ m/s. The chemistry stage must inherit the actual recovery of the lowest compliant pressure; HCl is selected from a discrete grid.</x:v>
      </x:c>
      <x:c r="B14" s="60" t="str">
        <x:v>Evaluate 60–70 bar; membrane area 70 m²; A=3.6×10⁻¹² m/s/Pa and B=2.8×10⁻⁸ m/s. The chemistry stage must inherit the actual recovery of the lowest compliant pressure; HCl is selected from a discrete grid.</x:v>
      </x:c>
      <x:c r="C14" s="60" t="str">
        <x:v>Evaluate 60–70 bar; membrane area 70 m²; A=3.6×10⁻¹² m/s/Pa and B=2.8×10⁻⁸ m/s. The chemistry stage must inherit the actual recovery of the lowest compliant pressure; HCl is selected from a discrete grid.</x:v>
      </x:c>
      <x:c r="D14" s="60" t="str">
        <x:v>Evaluate 60–70 bar; membrane area 70 m²; A=3.6×10⁻¹² m/s/Pa and B=2.8×10⁻⁸ m/s. The chemistry stage must inherit the actual recovery of the lowest compliant pressure; HCl is selected from a discrete grid.</x:v>
      </x:c>
      <x:c r="E14" s="60" t="str">
        <x:v>Evaluate 60–70 bar; membrane area 70 m²; A=3.6×10⁻¹² m/s/Pa and B=2.8×10⁻⁸ m/s. The chemistry stage must inherit the actual recovery of the lowest compliant pressure; HCl is selected from a discrete grid.</x:v>
      </x:c>
      <x:c r="F14" s="61" t="str">
        <x:v>Evaluate 60–70 bar; membrane area 70 m²; A=3.6×10⁻¹² m/s/Pa and B=2.8×10⁻⁸ m/s. The chemistry stage must inherit the actual recovery of the lowest compliant pressure; HCl is selected from a discrete grid.</x:v>
      </x:c>
      <x:c r="G14" s="1"/>
      <x:c r="H14" s="87" t="str">
        <x:v>Membrane: water ≥0.360 kg/s, NaCl ≤330 mg/L and inlet CP ≤1.30. Chemistry: SI≤0 for Calcite, Dolomite, Gypsum and Anhydrite, with pH≥6.05. Minimize pressure first and HCl dose second.</x:v>
      </x:c>
      <x:c r="I14" s="88" t="str">
        <x:v>Membrane: water ≥0.360 kg/s, NaCl ≤330 mg/L and inlet CP ≤1.30. Chemistry: SI≤0 for Calcite, Dolomite, Gypsum and Anhydrite, with pH≥6.05. Minimize pressure first and HCl dose second.</x:v>
      </x:c>
      <x:c r="J14" s="88" t="str">
        <x:v>Membrane: water ≥0.360 kg/s, NaCl ≤330 mg/L and inlet CP ≤1.30. Chemistry: SI≤0 for Calcite, Dolomite, Gypsum and Anhydrite, with pH≥6.05. Minimize pressure first and HCl dose second.</x:v>
      </x:c>
      <x:c r="K14" s="88" t="str">
        <x:v>Membrane: water ≥0.360 kg/s, NaCl ≤330 mg/L and inlet CP ≤1.30. Chemistry: SI≤0 for Calcite, Dolomite, Gypsum and Anhydrite, with pH≥6.05. Minimize pressure first and HCl dose second.</x:v>
      </x:c>
      <x:c r="L14" s="88" t="str">
        <x:v>Membrane: water ≥0.360 kg/s, NaCl ≤330 mg/L and inlet CP ≤1.30. Chemistry: SI≤0 for Calcite, Dolomite, Gypsum and Anhydrite, with pH≥6.05. Minimize pressure first and HCl dose second.</x:v>
      </x:c>
      <x:c r="M14" s="88" t="str">
        <x:v>Membrane: water ≥0.360 kg/s, NaCl ≤330 mg/L and inlet CP ≤1.30. Chemistry: SI≤0 for Calcite, Dolomite, Gypsum and Anhydrite, with pH≥6.05. Minimize pressure first and HCl dose second.</x:v>
      </x:c>
      <x:c r="N14" s="89" t="str">
        <x:v>Membrane: water ≥0.360 kg/s, NaCl ≤330 mg/L and inlet CP ≤1.30. Chemistry: SI≤0 for Calcite, Dolomite, Gypsum and Anhydrite, with pH≥6.05. Minimize pressure first and HCl dose second.</x:v>
      </x:c>
    </x:row>
    <x:row r="15">
      <x:c r="A15" s="59" t="str">
        <x:v>Evaluate 60–70 bar; membrane area 70 m²; A=3.6×10⁻¹² m/s/Pa and B=2.8×10⁻⁸ m/s. The chemistry stage must inherit the actual recovery of the lowest compliant pressure; HCl is selected from a discrete grid.</x:v>
      </x:c>
      <x:c r="B15" s="60" t="str">
        <x:v>Evaluate 60–70 bar; membrane area 70 m²; A=3.6×10⁻¹² m/s/Pa and B=2.8×10⁻⁸ m/s. The chemistry stage must inherit the actual recovery of the lowest compliant pressure; HCl is selected from a discrete grid.</x:v>
      </x:c>
      <x:c r="C15" s="60" t="str">
        <x:v>Evaluate 60–70 bar; membrane area 70 m²; A=3.6×10⁻¹² m/s/Pa and B=2.8×10⁻⁸ m/s. The chemistry stage must inherit the actual recovery of the lowest compliant pressure; HCl is selected from a discrete grid.</x:v>
      </x:c>
      <x:c r="D15" s="60" t="str">
        <x:v>Evaluate 60–70 bar; membrane area 70 m²; A=3.6×10⁻¹² m/s/Pa and B=2.8×10⁻⁸ m/s. The chemistry stage must inherit the actual recovery of the lowest compliant pressure; HCl is selected from a discrete grid.</x:v>
      </x:c>
      <x:c r="E15" s="60" t="str">
        <x:v>Evaluate 60–70 bar; membrane area 70 m²; A=3.6×10⁻¹² m/s/Pa and B=2.8×10⁻⁸ m/s. The chemistry stage must inherit the actual recovery of the lowest compliant pressure; HCl is selected from a discrete grid.</x:v>
      </x:c>
      <x:c r="F15" s="61" t="str">
        <x:v>Evaluate 60–70 bar; membrane area 70 m²; A=3.6×10⁻¹² m/s/Pa and B=2.8×10⁻⁸ m/s. The chemistry stage must inherit the actual recovery of the lowest compliant pressure; HCl is selected from a discrete grid.</x:v>
      </x:c>
      <x:c r="G15" s="1"/>
      <x:c r="H15" s="87" t="str">
        <x:v>Membrane: water ≥0.360 kg/s, NaCl ≤330 mg/L and inlet CP ≤1.30. Chemistry: SI≤0 for Calcite, Dolomite, Gypsum and Anhydrite, with pH≥6.05. Minimize pressure first and HCl dose second.</x:v>
      </x:c>
      <x:c r="I15" s="88" t="str">
        <x:v>Membrane: water ≥0.360 kg/s, NaCl ≤330 mg/L and inlet CP ≤1.30. Chemistry: SI≤0 for Calcite, Dolomite, Gypsum and Anhydrite, with pH≥6.05. Minimize pressure first and HCl dose second.</x:v>
      </x:c>
      <x:c r="J15" s="88" t="str">
        <x:v>Membrane: water ≥0.360 kg/s, NaCl ≤330 mg/L and inlet CP ≤1.30. Chemistry: SI≤0 for Calcite, Dolomite, Gypsum and Anhydrite, with pH≥6.05. Minimize pressure first and HCl dose second.</x:v>
      </x:c>
      <x:c r="K15" s="88" t="str">
        <x:v>Membrane: water ≥0.360 kg/s, NaCl ≤330 mg/L and inlet CP ≤1.30. Chemistry: SI≤0 for Calcite, Dolomite, Gypsum and Anhydrite, with pH≥6.05. Minimize pressure first and HCl dose second.</x:v>
      </x:c>
      <x:c r="L15" s="88" t="str">
        <x:v>Membrane: water ≥0.360 kg/s, NaCl ≤330 mg/L and inlet CP ≤1.30. Chemistry: SI≤0 for Calcite, Dolomite, Gypsum and Anhydrite, with pH≥6.05. Minimize pressure first and HCl dose second.</x:v>
      </x:c>
      <x:c r="M15" s="88" t="str">
        <x:v>Membrane: water ≥0.360 kg/s, NaCl ≤330 mg/L and inlet CP ≤1.30. Chemistry: SI≤0 for Calcite, Dolomite, Gypsum and Anhydrite, with pH≥6.05. Minimize pressure first and HCl dose second.</x:v>
      </x:c>
      <x:c r="N15" s="89" t="str">
        <x:v>Membrane: water ≥0.360 kg/s, NaCl ≤330 mg/L and inlet CP ≤1.30. Chemistry: SI≤0 for Calcite, Dolomite, Gypsum and Anhydrite, with pH≥6.05. Minimize pressure first and HCl dose second.</x:v>
      </x:c>
    </x:row>
    <x:row r="16">
      <x:c r="A16" s="62" t="str">
        <x:v>Evaluate 60–70 bar; membrane area 70 m²; A=3.6×10⁻¹² m/s/Pa and B=2.8×10⁻⁸ m/s. The chemistry stage must inherit the actual recovery of the lowest compliant pressure; HCl is selected from a discrete grid.</x:v>
      </x:c>
      <x:c r="B16" s="63" t="str">
        <x:v>Evaluate 60–70 bar; membrane area 70 m²; A=3.6×10⁻¹² m/s/Pa and B=2.8×10⁻⁸ m/s. The chemistry stage must inherit the actual recovery of the lowest compliant pressure; HCl is selected from a discrete grid.</x:v>
      </x:c>
      <x:c r="C16" s="63" t="str">
        <x:v>Evaluate 60–70 bar; membrane area 70 m²; A=3.6×10⁻¹² m/s/Pa and B=2.8×10⁻⁸ m/s. The chemistry stage must inherit the actual recovery of the lowest compliant pressure; HCl is selected from a discrete grid.</x:v>
      </x:c>
      <x:c r="D16" s="63" t="str">
        <x:v>Evaluate 60–70 bar; membrane area 70 m²; A=3.6×10⁻¹² m/s/Pa and B=2.8×10⁻⁸ m/s. The chemistry stage must inherit the actual recovery of the lowest compliant pressure; HCl is selected from a discrete grid.</x:v>
      </x:c>
      <x:c r="E16" s="63" t="str">
        <x:v>Evaluate 60–70 bar; membrane area 70 m²; A=3.6×10⁻¹² m/s/Pa and B=2.8×10⁻⁸ m/s. The chemistry stage must inherit the actual recovery of the lowest compliant pressure; HCl is selected from a discrete grid.</x:v>
      </x:c>
      <x:c r="F16" s="64" t="str">
        <x:v>Evaluate 60–70 bar; membrane area 70 m²; A=3.6×10⁻¹² m/s/Pa and B=2.8×10⁻⁸ m/s. The chemistry stage must inherit the actual recovery of the lowest compliant pressure; HCl is selected from a discrete grid.</x:v>
      </x:c>
      <x:c r="G16" s="1"/>
      <x:c r="H16" s="90" t="str">
        <x:v>Membrane: water ≥0.360 kg/s, NaCl ≤330 mg/L and inlet CP ≤1.30. Chemistry: SI≤0 for Calcite, Dolomite, Gypsum and Anhydrite, with pH≥6.05. Minimize pressure first and HCl dose second.</x:v>
      </x:c>
      <x:c r="I16" s="91" t="str">
        <x:v>Membrane: water ≥0.360 kg/s, NaCl ≤330 mg/L and inlet CP ≤1.30. Chemistry: SI≤0 for Calcite, Dolomite, Gypsum and Anhydrite, with pH≥6.05. Minimize pressure first and HCl dose second.</x:v>
      </x:c>
      <x:c r="J16" s="91" t="str">
        <x:v>Membrane: water ≥0.360 kg/s, NaCl ≤330 mg/L and inlet CP ≤1.30. Chemistry: SI≤0 for Calcite, Dolomite, Gypsum and Anhydrite, with pH≥6.05. Minimize pressure first and HCl dose second.</x:v>
      </x:c>
      <x:c r="K16" s="91" t="str">
        <x:v>Membrane: water ≥0.360 kg/s, NaCl ≤330 mg/L and inlet CP ≤1.30. Chemistry: SI≤0 for Calcite, Dolomite, Gypsum and Anhydrite, with pH≥6.05. Minimize pressure first and HCl dose second.</x:v>
      </x:c>
      <x:c r="L16" s="91" t="str">
        <x:v>Membrane: water ≥0.360 kg/s, NaCl ≤330 mg/L and inlet CP ≤1.30. Chemistry: SI≤0 for Calcite, Dolomite, Gypsum and Anhydrite, with pH≥6.05. Minimize pressure first and HCl dose second.</x:v>
      </x:c>
      <x:c r="M16" s="91" t="str">
        <x:v>Membrane: water ≥0.360 kg/s, NaCl ≤330 mg/L and inlet CP ≤1.30. Chemistry: SI≤0 for Calcite, Dolomite, Gypsum and Anhydrite, with pH≥6.05. Minimize pressure first and HCl dose second.</x:v>
      </x:c>
      <x:c r="N16" s="92" t="str">
        <x:v>Membrane: water ≥0.360 kg/s, NaCl ≤330 mg/L and inlet CP ≤1.30. Chemistry: SI≤0 for Calcite, Dolomite, Gypsum and Anhydrite, with pH≥6.05. Minimize pressure first and HCl dose second.</x:v>
      </x:c>
    </x:row>
    <x:row r="17">
      <x:c r="A17" s="1"/>
      <x:c r="B17" s="1"/>
      <x:c r="C17" s="1"/>
      <x:c r="D17" s="1"/>
      <x:c r="E17" s="1"/>
      <x:c r="F17" s="1"/>
      <x:c r="G17" s="1"/>
      <x:c r="H17" s="1"/>
      <x:c r="I17" s="1"/>
      <x:c r="J17" s="1"/>
      <x:c r="K17" s="1"/>
      <x:c r="L17" s="1"/>
      <x:c r="M17" s="1"/>
      <x:c r="N17" s="1"/>
    </x:row>
    <x:row r="18">
      <x:c r="A18" s="37" t="str">
        <x:v>Serial dependency</x:v>
      </x:c>
      <x:c r="B18" s="37" t="str">
        <x:v>Serial dependency</x:v>
      </x:c>
      <x:c r="C18" s="37" t="str">
        <x:v>Serial dependency</x:v>
      </x:c>
      <x:c r="D18" s="37" t="str">
        <x:v>Serial dependency</x:v>
      </x:c>
      <x:c r="E18" s="37" t="str">
        <x:v>Serial dependency</x:v>
      </x:c>
      <x:c r="F18" s="37" t="str">
        <x:v>Serial dependency</x:v>
      </x:c>
      <x:c r="G18" s="1"/>
      <x:c r="H18" s="37" t="str">
        <x:v>Required engineering answer</x:v>
      </x:c>
      <x:c r="I18" s="37" t="str">
        <x:v>Required engineering answer</x:v>
      </x:c>
      <x:c r="J18" s="37" t="str">
        <x:v>Required engineering answer</x:v>
      </x:c>
      <x:c r="K18" s="37" t="str">
        <x:v>Required engineering answer</x:v>
      </x:c>
      <x:c r="L18" s="37" t="str">
        <x:v>Required engineering answer</x:v>
      </x:c>
      <x:c r="M18" s="37" t="str">
        <x:v>Required engineering answer</x:v>
      </x:c>
      <x:c r="N18" s="37" t="str">
        <x:v>Required engineering answer</x:v>
      </x:c>
    </x:row>
    <x:row r="19">
      <x:c r="A19" s="111" t="str">
        <x:v>Stage 1 uses membrane simulation to determine survivors or actual recovery. Stage 2 uses equilibrium chemistry. Stage-2 inputs must come from Stage 1; they may not be independently reset.</x:v>
      </x:c>
      <x:c r="B19" s="112" t="str">
        <x:v>Stage 1 uses membrane simulation to determine survivors or actual recovery. Stage 2 uses equilibrium chemistry. Stage-2 inputs must come from Stage 1; they may not be independently reset.</x:v>
      </x:c>
      <x:c r="C19" s="112" t="str">
        <x:v>Stage 1 uses membrane simulation to determine survivors or actual recovery. Stage 2 uses equilibrium chemistry. Stage-2 inputs must come from Stage 1; they may not be independently reset.</x:v>
      </x:c>
      <x:c r="D19" s="112" t="str">
        <x:v>Stage 1 uses membrane simulation to determine survivors or actual recovery. Stage 2 uses equilibrium chemistry. Stage-2 inputs must come from Stage 1; they may not be independently reset.</x:v>
      </x:c>
      <x:c r="E19" s="112" t="str">
        <x:v>Stage 1 uses membrane simulation to determine survivors or actual recovery. Stage 2 uses equilibrium chemistry. Stage-2 inputs must come from Stage 1; they may not be independently reset.</x:v>
      </x:c>
      <x:c r="F19" s="113" t="str">
        <x:v>Stage 1 uses membrane simulation to determine survivors or actual recovery. Stage 2 uses equilibrium chemistry. Stage-2 inputs must come from Stage 1; they may not be independently reset.</x:v>
      </x:c>
      <x:c r="G19" s="1"/>
      <x:c r="H19" s="123" t="n">
        <x:v>1</x:v>
      </x:c>
      <x:c r="I19" s="125" t="str">
        <x:v>Define a reproducible candidate grid within the stated boundary.</x:v>
      </x:c>
      <x:c r="J19" s="125" t="str">
        <x:v>Define a reproducible candidate grid within the stated boundary.</x:v>
      </x:c>
      <x:c r="K19" s="125" t="str">
        <x:v>Define a reproducible candidate grid within the stated boundary.</x:v>
      </x:c>
      <x:c r="L19" s="125" t="str">
        <x:v>Define a reproducible candidate grid within the stated boundary.</x:v>
      </x:c>
      <x:c r="M19" s="125" t="str">
        <x:v>Define a reproducible candidate grid within the stated boundary.</x:v>
      </x:c>
      <x:c r="N19" s="125" t="str">
        <x:v>Define a reproducible candidate grid within the stated boundary.</x:v>
      </x:c>
    </x:row>
    <x:row r="20">
      <x:c r="A20" s="114" t="str">
        <x:v>Stage 1 uses membrane simulation to determine survivors or actual recovery. Stage 2 uses equilibrium chemistry. Stage-2 inputs must come from Stage 1; they may not be independently reset.</x:v>
      </x:c>
      <x:c r="B20" s="115" t="str">
        <x:v>Stage 1 uses membrane simulation to determine survivors or actual recovery. Stage 2 uses equilibrium chemistry. Stage-2 inputs must come from Stage 1; they may not be independently reset.</x:v>
      </x:c>
      <x:c r="C20" s="115" t="str">
        <x:v>Stage 1 uses membrane simulation to determine survivors or actual recovery. Stage 2 uses equilibrium chemistry. Stage-2 inputs must come from Stage 1; they may not be independently reset.</x:v>
      </x:c>
      <x:c r="D20" s="115" t="str">
        <x:v>Stage 1 uses membrane simulation to determine survivors or actual recovery. Stage 2 uses equilibrium chemistry. Stage-2 inputs must come from Stage 1; they may not be independently reset.</x:v>
      </x:c>
      <x:c r="E20" s="115" t="str">
        <x:v>Stage 1 uses membrane simulation to determine survivors or actual recovery. Stage 2 uses equilibrium chemistry. Stage-2 inputs must come from Stage 1; they may not be independently reset.</x:v>
      </x:c>
      <x:c r="F20" s="116" t="str">
        <x:v>Stage 1 uses membrane simulation to determine survivors or actual recovery. Stage 2 uses equilibrium chemistry. Stage-2 inputs must come from Stage 1; they may not be independently reset.</x:v>
      </x:c>
      <x:c r="G20" s="1"/>
      <x:c r="H20" s="123" t="n">
        <x:v>2</x:v>
      </x:c>
      <x:c r="I20" s="125" t="str">
        <x:v>Complete Stage 1 and identify every pass/fail boundary.</x:v>
      </x:c>
      <x:c r="J20" s="125" t="str">
        <x:v>Complete Stage 1 and identify every pass/fail boundary.</x:v>
      </x:c>
      <x:c r="K20" s="125" t="str">
        <x:v>Complete Stage 1 and identify every pass/fail boundary.</x:v>
      </x:c>
      <x:c r="L20" s="125" t="str">
        <x:v>Complete Stage 1 and identify every pass/fail boundary.</x:v>
      </x:c>
      <x:c r="M20" s="125" t="str">
        <x:v>Complete Stage 1 and identify every pass/fail boundary.</x:v>
      </x:c>
      <x:c r="N20" s="125" t="str">
        <x:v>Complete Stage 1 and identify every pass/fail boundary.</x:v>
      </x:c>
    </x:row>
    <x:row r="21">
      <x:c r="A21" s="114" t="str">
        <x:v>Stage 1 uses membrane simulation to determine survivors or actual recovery. Stage 2 uses equilibrium chemistry. Stage-2 inputs must come from Stage 1; they may not be independently reset.</x:v>
      </x:c>
      <x:c r="B21" s="115" t="str">
        <x:v>Stage 1 uses membrane simulation to determine survivors or actual recovery. Stage 2 uses equilibrium chemistry. Stage-2 inputs must come from Stage 1; they may not be independently reset.</x:v>
      </x:c>
      <x:c r="C21" s="115" t="str">
        <x:v>Stage 1 uses membrane simulation to determine survivors or actual recovery. Stage 2 uses equilibrium chemistry. Stage-2 inputs must come from Stage 1; they may not be independently reset.</x:v>
      </x:c>
      <x:c r="D21" s="115" t="str">
        <x:v>Stage 1 uses membrane simulation to determine survivors or actual recovery. Stage 2 uses equilibrium chemistry. Stage-2 inputs must come from Stage 1; they may not be independently reset.</x:v>
      </x:c>
      <x:c r="E21" s="115" t="str">
        <x:v>Stage 1 uses membrane simulation to determine survivors or actual recovery. Stage 2 uses equilibrium chemistry. Stage-2 inputs must come from Stage 1; they may not be independently reset.</x:v>
      </x:c>
      <x:c r="F21" s="116" t="str">
        <x:v>Stage 1 uses membrane simulation to determine survivors or actual recovery. Stage 2 uses equilibrium chemistry. Stage-2 inputs must come from Stage 1; they may not be independently reset.</x:v>
      </x:c>
      <x:c r="G21" s="1"/>
      <x:c r="H21" s="123" t="n">
        <x:v>3</x:v>
      </x:c>
      <x:c r="I21" s="125" t="str">
        <x:v>Transfer the actual Stage-1 recovery or survivor settings into Stage 2.</x:v>
      </x:c>
      <x:c r="J21" s="125" t="str">
        <x:v>Transfer the actual Stage-1 recovery or survivor settings into Stage 2.</x:v>
      </x:c>
      <x:c r="K21" s="125" t="str">
        <x:v>Transfer the actual Stage-1 recovery or survivor settings into Stage 2.</x:v>
      </x:c>
      <x:c r="L21" s="125" t="str">
        <x:v>Transfer the actual Stage-1 recovery or survivor settings into Stage 2.</x:v>
      </x:c>
      <x:c r="M21" s="125" t="str">
        <x:v>Transfer the actual Stage-1 recovery or survivor settings into Stage 2.</x:v>
      </x:c>
      <x:c r="N21" s="125" t="str">
        <x:v>Transfer the actual Stage-1 recovery or survivor settings into Stage 2.</x:v>
      </x:c>
    </x:row>
    <x:row r="22">
      <x:c r="A22" s="114" t="str">
        <x:v>Stage 1 uses membrane simulation to determine survivors or actual recovery. Stage 2 uses equilibrium chemistry. Stage-2 inputs must come from Stage 1; they may not be independently reset.</x:v>
      </x:c>
      <x:c r="B22" s="115" t="str">
        <x:v>Stage 1 uses membrane simulation to determine survivors or actual recovery. Stage 2 uses equilibrium chemistry. Stage-2 inputs must come from Stage 1; they may not be independently reset.</x:v>
      </x:c>
      <x:c r="C22" s="115" t="str">
        <x:v>Stage 1 uses membrane simulation to determine survivors or actual recovery. Stage 2 uses equilibrium chemistry. Stage-2 inputs must come from Stage 1; they may not be independently reset.</x:v>
      </x:c>
      <x:c r="D22" s="115" t="str">
        <x:v>Stage 1 uses membrane simulation to determine survivors or actual recovery. Stage 2 uses equilibrium chemistry. Stage-2 inputs must come from Stage 1; they may not be independently reset.</x:v>
      </x:c>
      <x:c r="E22" s="115" t="str">
        <x:v>Stage 1 uses membrane simulation to determine survivors or actual recovery. Stage 2 uses equilibrium chemistry. Stage-2 inputs must come from Stage 1; they may not be independently reset.</x:v>
      </x:c>
      <x:c r="F22" s="116" t="str">
        <x:v>Stage 1 uses membrane simulation to determine survivors or actual recovery. Stage 2 uses equilibrium chemistry. Stage-2 inputs must come from Stage 1; they may not be independently reset.</x:v>
      </x:c>
      <x:c r="G22" s="1"/>
      <x:c r="H22" s="123" t="n">
        <x:v>4</x:v>
      </x:c>
      <x:c r="I22" s="125" t="str">
        <x:v>Apply Stage-2 constraints without averaging away failed states.</x:v>
      </x:c>
      <x:c r="J22" s="125" t="str">
        <x:v>Apply Stage-2 constraints without averaging away failed states.</x:v>
      </x:c>
      <x:c r="K22" s="125" t="str">
        <x:v>Apply Stage-2 constraints without averaging away failed states.</x:v>
      </x:c>
      <x:c r="L22" s="125" t="str">
        <x:v>Apply Stage-2 constraints without averaging away failed states.</x:v>
      </x:c>
      <x:c r="M22" s="125" t="str">
        <x:v>Apply Stage-2 constraints without averaging away failed states.</x:v>
      </x:c>
      <x:c r="N22" s="125" t="str">
        <x:v>Apply Stage-2 constraints without averaging away failed states.</x:v>
      </x:c>
    </x:row>
    <x:row r="23">
      <x:c r="A23" s="117" t="str">
        <x:v>Stage 1 uses membrane simulation to determine survivors or actual recovery. Stage 2 uses equilibrium chemistry. Stage-2 inputs must come from Stage 1; they may not be independently reset.</x:v>
      </x:c>
      <x:c r="B23" s="118" t="str">
        <x:v>Stage 1 uses membrane simulation to determine survivors or actual recovery. Stage 2 uses equilibrium chemistry. Stage-2 inputs must come from Stage 1; they may not be independently reset.</x:v>
      </x:c>
      <x:c r="C23" s="118" t="str">
        <x:v>Stage 1 uses membrane simulation to determine survivors or actual recovery. Stage 2 uses equilibrium chemistry. Stage-2 inputs must come from Stage 1; they may not be independently reset.</x:v>
      </x:c>
      <x:c r="D23" s="118" t="str">
        <x:v>Stage 1 uses membrane simulation to determine survivors or actual recovery. Stage 2 uses equilibrium chemistry. Stage-2 inputs must come from Stage 1; they may not be independently reset.</x:v>
      </x:c>
      <x:c r="E23" s="118" t="str">
        <x:v>Stage 1 uses membrane simulation to determine survivors or actual recovery. Stage 2 uses equilibrium chemistry. Stage-2 inputs must come from Stage 1; they may not be independently reset.</x:v>
      </x:c>
      <x:c r="F23" s="119" t="str">
        <x:v>Stage 1 uses membrane simulation to determine survivors or actual recovery. Stage 2 uses equilibrium chemistry. Stage-2 inputs must come from Stage 1; they may not be independently reset.</x:v>
      </x:c>
      <x:c r="G23" s="1"/>
      <x:c r="H23" s="123" t="n">
        <x:v>5</x:v>
      </x:c>
      <x:c r="I23" s="125" t="str">
        <x:v>Report the final setting, adjacent failure evidence and model limitations.</x:v>
      </x:c>
      <x:c r="J23" s="125" t="str">
        <x:v>Report the final setting, adjacent failure evidence and model limitations.</x:v>
      </x:c>
      <x:c r="K23" s="125" t="str">
        <x:v>Report the final setting, adjacent failure evidence and model limitations.</x:v>
      </x:c>
      <x:c r="L23" s="125" t="str">
        <x:v>Report the final setting, adjacent failure evidence and model limitations.</x:v>
      </x:c>
      <x:c r="M23" s="125" t="str">
        <x:v>Report the final setting, adjacent failure evidence and model limitations.</x:v>
      </x:c>
      <x:c r="N23" s="125" t="str">
        <x:v>Report the final setting, adjacent failure evidence and model limitations.</x:v>
      </x:c>
    </x:row>
    <x:row r="24">
      <x:c r="A24" s="1"/>
      <x:c r="B24" s="1"/>
      <x:c r="C24" s="1"/>
      <x:c r="D24" s="1"/>
      <x:c r="E24" s="1"/>
      <x:c r="F24" s="1"/>
      <x:c r="G24" s="1"/>
      <x:c r="H24" s="1"/>
      <x:c r="I24" s="1"/>
      <x:c r="J24" s="1"/>
      <x:c r="K24" s="1"/>
      <x:c r="L24" s="1"/>
      <x:c r="M24" s="1"/>
      <x:c r="N24" s="1"/>
    </x:row>
    <x:row r="25">
      <x:c r="A25" s="37" t="str">
        <x:v>Boundary note</x:v>
      </x:c>
      <x:c r="B25" s="37" t="str">
        <x:v>Feed / configuration notes</x:v>
      </x:c>
      <x:c r="C25" s="37" t="str">
        <x:v>Feed / configuration notes</x:v>
      </x:c>
      <x:c r="D25" s="37" t="str">
        <x:v>Feed / configuration notes</x:v>
      </x:c>
      <x:c r="E25" s="37" t="str">
        <x:v>Feed / configuration notes</x:v>
      </x:c>
      <x:c r="F25" s="37" t="str">
        <x:v>Feed / configuration notes</x:v>
      </x:c>
      <x:c r="G25" s="37" t="str">
        <x:v>Feed / configuration notes</x:v>
      </x:c>
      <x:c r="H25" s="37" t="str">
        <x:v>Feed / configuration notes</x:v>
      </x:c>
      <x:c r="I25" s="37" t="str">
        <x:v>Feed / configuration notes</x:v>
      </x:c>
      <x:c r="J25" s="37" t="str">
        <x:v>Feed / configuration notes</x:v>
      </x:c>
      <x:c r="K25" s="37" t="str">
        <x:v>Feed / configuration notes</x:v>
      </x:c>
      <x:c r="L25" s="37" t="str">
        <x:v>Feed / configuration notes</x:v>
      </x:c>
      <x:c r="M25" s="37" t="str">
        <x:v>Feed / configuration notes</x:v>
      </x:c>
      <x:c r="N25" s="37" t="str">
        <x:v>Feed / configuration notes</x:v>
      </x:c>
    </x:row>
    <x:row r="26">
      <x:c r="A26" s="143" t="str">
        <x:v>The second-stage boundary condition must inherit the actual result selected in Stage 1. A nominal design recovery or independently reset configuration is not acceptable, even if it produces a plausible final number.</x:v>
      </x:c>
      <x:c r="B26" s="144" t="str">
        <x:v>Simulator pair: simulate_ro → equilibrate_feed. The task is judged by engineering lineage: a plausible final number without correct transfer of Stage-1 outputs into Stage 2 is not sufficient.</x:v>
      </x:c>
      <x:c r="C26" s="144" t="str">
        <x:v>Simulator pair: simulate_ro → equilibrate_feed. The task is judged by engineering lineage: a plausible final number without correct transfer of Stage-1 outputs into Stage 2 is not sufficient.</x:v>
      </x:c>
      <x:c r="D26" s="144" t="str">
        <x:v>Simulator pair: simulate_ro → equilibrate_feed. The task is judged by engineering lineage: a plausible final number without correct transfer of Stage-1 outputs into Stage 2 is not sufficient.</x:v>
      </x:c>
      <x:c r="E26" s="144" t="str">
        <x:v>Simulator pair: simulate_ro → equilibrate_feed. The task is judged by engineering lineage: a plausible final number without correct transfer of Stage-1 outputs into Stage 2 is not sufficient.</x:v>
      </x:c>
      <x:c r="F26" s="144" t="str">
        <x:v>Simulator pair: simulate_ro → equilibrate_feed. The task is judged by engineering lineage: a plausible final number without correct transfer of Stage-1 outputs into Stage 2 is not sufficient.</x:v>
      </x:c>
      <x:c r="G26" s="144" t="str">
        <x:v>Simulator pair: simulate_ro → equilibrate_feed. The task is judged by engineering lineage: a plausible final number without correct transfer of Stage-1 outputs into Stage 2 is not sufficient.</x:v>
      </x:c>
      <x:c r="H26" s="144" t="str">
        <x:v>Simulator pair: simulate_ro → equilibrate_feed. The task is judged by engineering lineage: a plausible final number without correct transfer of Stage-1 outputs into Stage 2 is not sufficient.</x:v>
      </x:c>
      <x:c r="I26" s="144" t="str">
        <x:v>Simulator pair: simulate_ro → equilibrate_feed. The task is judged by engineering lineage: a plausible final number without correct transfer of Stage-1 outputs into Stage 2 is not sufficient.</x:v>
      </x:c>
      <x:c r="J26" s="144" t="str">
        <x:v>Simulator pair: simulate_ro → equilibrate_feed. The task is judged by engineering lineage: a plausible final number without correct transfer of Stage-1 outputs into Stage 2 is not sufficient.</x:v>
      </x:c>
      <x:c r="K26" s="144" t="str">
        <x:v>Simulator pair: simulate_ro → equilibrate_feed. The task is judged by engineering lineage: a plausible final number without correct transfer of Stage-1 outputs into Stage 2 is not sufficient.</x:v>
      </x:c>
      <x:c r="L26" s="144" t="str">
        <x:v>Simulator pair: simulate_ro → equilibrate_feed. The task is judged by engineering lineage: a plausible final number without correct transfer of Stage-1 outputs into Stage 2 is not sufficient.</x:v>
      </x:c>
      <x:c r="M26" s="144" t="str">
        <x:v>Simulator pair: simulate_ro → equilibrate_feed. The task is judged by engineering lineage: a plausible final number without correct transfer of Stage-1 outputs into Stage 2 is not sufficient.</x:v>
      </x:c>
      <x:c r="N26" s="145" t="str">
        <x:v>Simulator pair: simulate_ro → equilibrate_feed. The task is judged by engineering lineage: a plausible final number without correct transfer of Stage-1 outputs into Stage 2 is not sufficient.</x:v>
      </x:c>
    </x:row>
    <x:row r="27">
      <x:c r="A27" s="146" t="str">
        <x:v>Simulator pair: simulate_ro → equilibrate_feed. The task is judged by engineering lineage: a plausible final number without correct transfer of Stage-1 outputs into Stage 2 is not sufficient.</x:v>
      </x:c>
      <x:c r="B27" s="147" t="str">
        <x:v>Simulator pair: simulate_ro → equilibrate_feed. The task is judged by engineering lineage: a plausible final number without correct transfer of Stage-1 outputs into Stage 2 is not sufficient.</x:v>
      </x:c>
      <x:c r="C27" s="147" t="str">
        <x:v>Simulator pair: simulate_ro → equilibrate_feed. The task is judged by engineering lineage: a plausible final number without correct transfer of Stage-1 outputs into Stage 2 is not sufficient.</x:v>
      </x:c>
      <x:c r="D27" s="147" t="str">
        <x:v>Simulator pair: simulate_ro → equilibrate_feed. The task is judged by engineering lineage: a plausible final number without correct transfer of Stage-1 outputs into Stage 2 is not sufficient.</x:v>
      </x:c>
      <x:c r="E27" s="147" t="str">
        <x:v>Simulator pair: simulate_ro → equilibrate_feed. The task is judged by engineering lineage: a plausible final number without correct transfer of Stage-1 outputs into Stage 2 is not sufficient.</x:v>
      </x:c>
      <x:c r="F27" s="147" t="str">
        <x:v>Simulator pair: simulate_ro → equilibrate_feed. The task is judged by engineering lineage: a plausible final number without correct transfer of Stage-1 outputs into Stage 2 is not sufficient.</x:v>
      </x:c>
      <x:c r="G27" s="147" t="str">
        <x:v>Simulator pair: simulate_ro → equilibrate_feed. The task is judged by engineering lineage: a plausible final number without correct transfer of Stage-1 outputs into Stage 2 is not sufficient.</x:v>
      </x:c>
      <x:c r="H27" s="147" t="str">
        <x:v>Simulator pair: simulate_ro → equilibrate_feed. The task is judged by engineering lineage: a plausible final number without correct transfer of Stage-1 outputs into Stage 2 is not sufficient.</x:v>
      </x:c>
      <x:c r="I27" s="147" t="str">
        <x:v>Simulator pair: simulate_ro → equilibrate_feed. The task is judged by engineering lineage: a plausible final number without correct transfer of Stage-1 outputs into Stage 2 is not sufficient.</x:v>
      </x:c>
      <x:c r="J27" s="147" t="str">
        <x:v>Simulator pair: simulate_ro → equilibrate_feed. The task is judged by engineering lineage: a plausible final number without correct transfer of Stage-1 outputs into Stage 2 is not sufficient.</x:v>
      </x:c>
      <x:c r="K27" s="147" t="str">
        <x:v>Simulator pair: simulate_ro → equilibrate_feed. The task is judged by engineering lineage: a plausible final number without correct transfer of Stage-1 outputs into Stage 2 is not sufficient.</x:v>
      </x:c>
      <x:c r="L27" s="147" t="str">
        <x:v>Simulator pair: simulate_ro → equilibrate_feed. The task is judged by engineering lineage: a plausible final number without correct transfer of Stage-1 outputs into Stage 2 is not sufficient.</x:v>
      </x:c>
      <x:c r="M27" s="147" t="str">
        <x:v>Simulator pair: simulate_ro → equilibrate_feed. The task is judged by engineering lineage: a plausible final number without correct transfer of Stage-1 outputs into Stage 2 is not sufficient.</x:v>
      </x:c>
      <x:c r="N27" s="148" t="str">
        <x:v>Simulator pair: simulate_ro → equilibrate_feed. The task is judged by engineering lineage: a plausible final number without correct transfer of Stage-1 outputs into Stage 2 is not sufficient.</x:v>
      </x:c>
    </x:row>
    <x:row r="28">
      <x:c r="A28" s="146" t="str">
        <x:v>Simulator pair: simulate_ro → equilibrate_feed. The task is judged by engineering lineage: a plausible final number without correct transfer of Stage-1 outputs into Stage 2 is not sufficient.</x:v>
      </x:c>
      <x:c r="B28" s="147" t="str">
        <x:v>Simulator pair: simulate_ro → equilibrate_feed. The task is judged by engineering lineage: a plausible final number without correct transfer of Stage-1 outputs into Stage 2 is not sufficient.</x:v>
      </x:c>
      <x:c r="C28" s="147" t="str">
        <x:v>Simulator pair: simulate_ro → equilibrate_feed. The task is judged by engineering lineage: a plausible final number without correct transfer of Stage-1 outputs into Stage 2 is not sufficient.</x:v>
      </x:c>
      <x:c r="D28" s="147" t="str">
        <x:v>Simulator pair: simulate_ro → equilibrate_feed. The task is judged by engineering lineage: a plausible final number without correct transfer of Stage-1 outputs into Stage 2 is not sufficient.</x:v>
      </x:c>
      <x:c r="E28" s="147" t="str">
        <x:v>Simulator pair: simulate_ro → equilibrate_feed. The task is judged by engineering lineage: a plausible final number without correct transfer of Stage-1 outputs into Stage 2 is not sufficient.</x:v>
      </x:c>
      <x:c r="F28" s="147" t="str">
        <x:v>Simulator pair: simulate_ro → equilibrate_feed. The task is judged by engineering lineage: a plausible final number without correct transfer of Stage-1 outputs into Stage 2 is not sufficient.</x:v>
      </x:c>
      <x:c r="G28" s="147" t="str">
        <x:v>Simulator pair: simulate_ro → equilibrate_feed. The task is judged by engineering lineage: a plausible final number without correct transfer of Stage-1 outputs into Stage 2 is not sufficient.</x:v>
      </x:c>
      <x:c r="H28" s="147" t="str">
        <x:v>Simulator pair: simulate_ro → equilibrate_feed. The task is judged by engineering lineage: a plausible final number without correct transfer of Stage-1 outputs into Stage 2 is not sufficient.</x:v>
      </x:c>
      <x:c r="I28" s="147" t="str">
        <x:v>Simulator pair: simulate_ro → equilibrate_feed. The task is judged by engineering lineage: a plausible final number without correct transfer of Stage-1 outputs into Stage 2 is not sufficient.</x:v>
      </x:c>
      <x:c r="J28" s="147" t="str">
        <x:v>Simulator pair: simulate_ro → equilibrate_feed. The task is judged by engineering lineage: a plausible final number without correct transfer of Stage-1 outputs into Stage 2 is not sufficient.</x:v>
      </x:c>
      <x:c r="K28" s="147" t="str">
        <x:v>Simulator pair: simulate_ro → equilibrate_feed. The task is judged by engineering lineage: a plausible final number without correct transfer of Stage-1 outputs into Stage 2 is not sufficient.</x:v>
      </x:c>
      <x:c r="L28" s="147" t="str">
        <x:v>Simulator pair: simulate_ro → equilibrate_feed. The task is judged by engineering lineage: a plausible final number without correct transfer of Stage-1 outputs into Stage 2 is not sufficient.</x:v>
      </x:c>
      <x:c r="M28" s="147" t="str">
        <x:v>Simulator pair: simulate_ro → equilibrate_feed. The task is judged by engineering lineage: a plausible final number without correct transfer of Stage-1 outputs into Stage 2 is not sufficient.</x:v>
      </x:c>
      <x:c r="N28" s="148" t="str">
        <x:v>Simulator pair: simulate_ro → equilibrate_feed. The task is judged by engineering lineage: a plausible final number without correct transfer of Stage-1 outputs into Stage 2 is not sufficient.</x:v>
      </x:c>
    </x:row>
    <x:row r="29">
      <x:c r="A29" s="149" t="str">
        <x:v>Simulator pair: simulate_ro → equilibrate_feed. The task is judged by engineering lineage: a plausible final number without correct transfer of Stage-1 outputs into Stage 2 is not sufficient.</x:v>
      </x:c>
      <x:c r="B29" s="150" t="str">
        <x:v>Simulator pair: simulate_ro → equilibrate_feed. The task is judged by engineering lineage: a plausible final number without correct transfer of Stage-1 outputs into Stage 2 is not sufficient.</x:v>
      </x:c>
      <x:c r="C29" s="150" t="str">
        <x:v>Simulator pair: simulate_ro → equilibrate_feed. The task is judged by engineering lineage: a plausible final number without correct transfer of Stage-1 outputs into Stage 2 is not sufficient.</x:v>
      </x:c>
      <x:c r="D29" s="150" t="str">
        <x:v>Simulator pair: simulate_ro → equilibrate_feed. The task is judged by engineering lineage: a plausible final number without correct transfer of Stage-1 outputs into Stage 2 is not sufficient.</x:v>
      </x:c>
      <x:c r="E29" s="150" t="str">
        <x:v>Simulator pair: simulate_ro → equilibrate_feed. The task is judged by engineering lineage: a plausible final number without correct transfer of Stage-1 outputs into Stage 2 is not sufficient.</x:v>
      </x:c>
      <x:c r="F29" s="150" t="str">
        <x:v>Simulator pair: simulate_ro → equilibrate_feed. The task is judged by engineering lineage: a plausible final number without correct transfer of Stage-1 outputs into Stage 2 is not sufficient.</x:v>
      </x:c>
      <x:c r="G29" s="150" t="str">
        <x:v>Simulator pair: simulate_ro → equilibrate_feed. The task is judged by engineering lineage: a plausible final number without correct transfer of Stage-1 outputs into Stage 2 is not sufficient.</x:v>
      </x:c>
      <x:c r="H29" s="150" t="str">
        <x:v>Simulator pair: simulate_ro → equilibrate_feed. The task is judged by engineering lineage: a plausible final number without correct transfer of Stage-1 outputs into Stage 2 is not sufficient.</x:v>
      </x:c>
      <x:c r="I29" s="150" t="str">
        <x:v>Simulator pair: simulate_ro → equilibrate_feed. The task is judged by engineering lineage: a plausible final number without correct transfer of Stage-1 outputs into Stage 2 is not sufficient.</x:v>
      </x:c>
      <x:c r="J29" s="150" t="str">
        <x:v>Simulator pair: simulate_ro → equilibrate_feed. The task is judged by engineering lineage: a plausible final number without correct transfer of Stage-1 outputs into Stage 2 is not sufficient.</x:v>
      </x:c>
      <x:c r="K29" s="150" t="str">
        <x:v>Simulator pair: simulate_ro → equilibrate_feed. The task is judged by engineering lineage: a plausible final number without correct transfer of Stage-1 outputs into Stage 2 is not sufficient.</x:v>
      </x:c>
      <x:c r="L29" s="150" t="str">
        <x:v>Simulator pair: simulate_ro → equilibrate_feed. The task is judged by engineering lineage: a plausible final number without correct transfer of Stage-1 outputs into Stage 2 is not sufficient.</x:v>
      </x:c>
      <x:c r="M29" s="150" t="str">
        <x:v>Simulator pair: simulate_ro → equilibrate_feed. The task is judged by engineering lineage: a plausible final number without correct transfer of Stage-1 outputs into Stage 2 is not sufficient.</x:v>
      </x:c>
      <x:c r="N29" s="151" t="str">
        <x:v>Simulator pair: simulate_ro → equilibrate_feed. The task is judged by engineering lineage: a plausible final number without correct transfer of Stage-1 outputs into Stage 2 is not sufficient.</x:v>
      </x:c>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7"/>
    <x:mergeCell ref="A9:F9"/>
    <x:mergeCell ref="H9:N9"/>
    <x:mergeCell ref="A10:F16"/>
    <x:mergeCell ref="H10:N16"/>
    <x:mergeCell ref="A18:F18"/>
    <x:mergeCell ref="A19:F23"/>
    <x:mergeCell ref="H18:N18"/>
    <x:mergeCell ref="I19:N19"/>
    <x:mergeCell ref="I20:N20"/>
    <x:mergeCell ref="I21:N21"/>
    <x:mergeCell ref="I22:N22"/>
    <x:mergeCell ref="I23:N23"/>
    <x:mergeCell ref="A25:N25"/>
    <x:mergeCell ref="A26: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Gold Answer | D6_6b-N01</x:v>
      </x:c>
      <x:c r="B1" s="6" t="str">
        <x:v>Gold Answer | D6_6b-N01</x:v>
      </x:c>
      <x:c r="C1" s="6" t="str">
        <x:v>Gold Answer | D6_6b-N01</x:v>
      </x:c>
      <x:c r="D1" s="6" t="str">
        <x:v>Gold Answer | D6_6b-N01</x:v>
      </x:c>
      <x:c r="E1" s="6" t="str">
        <x:v>Gold Answer | D6_6b-N01</x:v>
      </x:c>
      <x:c r="F1" s="6" t="str">
        <x:v>Gold Answer | D6_6b-N01</x:v>
      </x:c>
      <x:c r="G1" s="6" t="str">
        <x:v>Gold Answer | D6_6b-N01</x:v>
      </x:c>
      <x:c r="H1" s="6" t="str">
        <x:v>Gold Answer | D6_6b-N01</x:v>
      </x:c>
      <x:c r="I1" s="6" t="str">
        <x:v>Gold Answer | D6_6b-N01</x:v>
      </x:c>
      <x:c r="J1" s="6" t="str">
        <x:v>Gold Answer | D6_6b-N01</x:v>
      </x:c>
      <x:c r="K1" s="6" t="str">
        <x:v>Gold Answer | D6_6b-N01</x:v>
      </x:c>
      <x:c r="L1" s="6" t="str">
        <x:v>Gold Answer | D6_6b-N01</x:v>
      </x:c>
      <x:c r="M1" s="6" t="str">
        <x:v>Gold Answer | D6_6b-N01</x:v>
      </x:c>
      <x:c r="N1" s="6" t="str">
        <x:v>Gold Answer | D6_6b-N01</x:v>
      </x:c>
    </x:row>
    <x:row r="2" ht="28" customHeight="1">
      <x:c r="A2" s="6" t="str">
        <x:v>Gold Answer | D6_6b-N01</x:v>
      </x:c>
      <x:c r="B2" s="6" t="str">
        <x:v>Gold Answer | D6_6b-N01</x:v>
      </x:c>
      <x:c r="C2" s="6" t="str">
        <x:v>Gold Answer | D6_6b-N01</x:v>
      </x:c>
      <x:c r="D2" s="6" t="str">
        <x:v>Gold Answer | D6_6b-N01</x:v>
      </x:c>
      <x:c r="E2" s="6" t="str">
        <x:v>Gold Answer | D6_6b-N01</x:v>
      </x:c>
      <x:c r="F2" s="6" t="str">
        <x:v>Gold Answer | D6_6b-N01</x:v>
      </x:c>
      <x:c r="G2" s="6" t="str">
        <x:v>Gold Answer | D6_6b-N01</x:v>
      </x:c>
      <x:c r="H2" s="6" t="str">
        <x:v>Gold Answer | D6_6b-N01</x:v>
      </x:c>
      <x:c r="I2" s="6" t="str">
        <x:v>Gold Answer | D6_6b-N01</x:v>
      </x:c>
      <x:c r="J2" s="6" t="str">
        <x:v>Gold Answer | D6_6b-N01</x:v>
      </x:c>
      <x:c r="K2" s="6" t="str">
        <x:v>Gold Answer | D6_6b-N01</x:v>
      </x:c>
      <x:c r="L2" s="6" t="str">
        <x:v>Gold Answer | D6_6b-N01</x:v>
      </x:c>
      <x:c r="M2" s="6" t="str">
        <x:v>Gold Answer | D6_6b-N01</x:v>
      </x:c>
      <x:c r="N2" s="6" t="str">
        <x:v>Gold Answer | D6_6b-N01</x:v>
      </x:c>
    </x:row>
    <x:row r="3">
      <x:c r="A3" s="1"/>
      <x:c r="B3" s="1"/>
      <x:c r="C3" s="1"/>
      <x:c r="D3" s="1"/>
      <x:c r="E3" s="1"/>
      <x:c r="F3" s="1"/>
      <x:c r="G3" s="1"/>
      <x:c r="H3" s="1"/>
      <x:c r="I3" s="1"/>
      <x:c r="J3" s="1"/>
      <x:c r="K3" s="1"/>
      <x:c r="L3" s="1"/>
      <x:c r="M3" s="1"/>
      <x:c r="N3" s="1"/>
    </x:row>
    <x:row r="4">
      <x:c r="A4" s="170" t="str">
        <x:v>Recommend 66 bar + 0.0015 mol/s HCl. At 66 bar: water 0.36624 kg/s, NaCl 314.77 mg/L, recovery 37.7123% and CP 1.2650. At 0.0012 mol/s, Dolomite SI=+0.0162 fails; at 0.0015 mol/s all SI values are negative and pH=6.2040.</x:v>
      </x:c>
      <x:c r="B4" s="171" t="str">
        <x:v>Recommend 66 bar + 0.0015 mol/s HCl. At 66 bar: water 0.36624 kg/s, NaCl 314.77 mg/L, recovery 37.7123% and CP 1.2650. At 0.0012 mol/s, Dolomite SI=+0.0162 fails; at 0.0015 mol/s all SI values are negative and pH=6.2040.</x:v>
      </x:c>
      <x:c r="C4" s="171" t="str">
        <x:v>Recommend 66 bar + 0.0015 mol/s HCl. At 66 bar: water 0.36624 kg/s, NaCl 314.77 mg/L, recovery 37.7123% and CP 1.2650. At 0.0012 mol/s, Dolomite SI=+0.0162 fails; at 0.0015 mol/s all SI values are negative and pH=6.2040.</x:v>
      </x:c>
      <x:c r="D4" s="171" t="str">
        <x:v>Recommend 66 bar + 0.0015 mol/s HCl. At 66 bar: water 0.36624 kg/s, NaCl 314.77 mg/L, recovery 37.7123% and CP 1.2650. At 0.0012 mol/s, Dolomite SI=+0.0162 fails; at 0.0015 mol/s all SI values are negative and pH=6.2040.</x:v>
      </x:c>
      <x:c r="E4" s="171" t="str">
        <x:v>Recommend 66 bar + 0.0015 mol/s HCl. At 66 bar: water 0.36624 kg/s, NaCl 314.77 mg/L, recovery 37.7123% and CP 1.2650. At 0.0012 mol/s, Dolomite SI=+0.0162 fails; at 0.0015 mol/s all SI values are negative and pH=6.2040.</x:v>
      </x:c>
      <x:c r="F4" s="171" t="str">
        <x:v>Recommend 66 bar + 0.0015 mol/s HCl. At 66 bar: water 0.36624 kg/s, NaCl 314.77 mg/L, recovery 37.7123% and CP 1.2650. At 0.0012 mol/s, Dolomite SI=+0.0162 fails; at 0.0015 mol/s all SI values are negative and pH=6.2040.</x:v>
      </x:c>
      <x:c r="G4" s="171" t="str">
        <x:v>Recommend 66 bar + 0.0015 mol/s HCl. At 66 bar: water 0.36624 kg/s, NaCl 314.77 mg/L, recovery 37.7123% and CP 1.2650. At 0.0012 mol/s, Dolomite SI=+0.0162 fails; at 0.0015 mol/s all SI values are negative and pH=6.2040.</x:v>
      </x:c>
      <x:c r="H4" s="171" t="str">
        <x:v>Recommend 66 bar + 0.0015 mol/s HCl. At 66 bar: water 0.36624 kg/s, NaCl 314.77 mg/L, recovery 37.7123% and CP 1.2650. At 0.0012 mol/s, Dolomite SI=+0.0162 fails; at 0.0015 mol/s all SI values are negative and pH=6.2040.</x:v>
      </x:c>
      <x:c r="I4" s="171" t="str">
        <x:v>Recommend 66 bar + 0.0015 mol/s HCl. At 66 bar: water 0.36624 kg/s, NaCl 314.77 mg/L, recovery 37.7123% and CP 1.2650. At 0.0012 mol/s, Dolomite SI=+0.0162 fails; at 0.0015 mol/s all SI values are negative and pH=6.2040.</x:v>
      </x:c>
      <x:c r="J4" s="171" t="str">
        <x:v>Recommend 66 bar + 0.0015 mol/s HCl. At 66 bar: water 0.36624 kg/s, NaCl 314.77 mg/L, recovery 37.7123% and CP 1.2650. At 0.0012 mol/s, Dolomite SI=+0.0162 fails; at 0.0015 mol/s all SI values are negative and pH=6.2040.</x:v>
      </x:c>
      <x:c r="K4" s="171" t="str">
        <x:v>Recommend 66 bar + 0.0015 mol/s HCl. At 66 bar: water 0.36624 kg/s, NaCl 314.77 mg/L, recovery 37.7123% and CP 1.2650. At 0.0012 mol/s, Dolomite SI=+0.0162 fails; at 0.0015 mol/s all SI values are negative and pH=6.2040.</x:v>
      </x:c>
      <x:c r="L4" s="171" t="str">
        <x:v>Recommend 66 bar + 0.0015 mol/s HCl. At 66 bar: water 0.36624 kg/s, NaCl 314.77 mg/L, recovery 37.7123% and CP 1.2650. At 0.0012 mol/s, Dolomite SI=+0.0162 fails; at 0.0015 mol/s all SI values are negative and pH=6.2040.</x:v>
      </x:c>
      <x:c r="M4" s="171" t="str">
        <x:v>Recommend 66 bar + 0.0015 mol/s HCl. At 66 bar: water 0.36624 kg/s, NaCl 314.77 mg/L, recovery 37.7123% and CP 1.2650. At 0.0012 mol/s, Dolomite SI=+0.0162 fails; at 0.0015 mol/s all SI values are negative and pH=6.2040.</x:v>
      </x:c>
      <x:c r="N4" s="172" t="str">
        <x:v>Recommend 66 bar + 0.0015 mol/s HCl. At 66 bar: water 0.36624 kg/s, NaCl 314.77 mg/L, recovery 37.7123% and CP 1.2650. At 0.0012 mol/s, Dolomite SI=+0.0162 fails; at 0.0015 mol/s all SI values are negative and pH=6.2040.</x:v>
      </x:c>
    </x:row>
    <x:row r="5">
      <x:c r="A5" s="173" t="str">
        <x:v>Recommend 66 bar + 0.0015 mol/s HCl. At 66 bar: water 0.36624 kg/s, NaCl 314.77 mg/L, recovery 37.7123% and CP 1.2650. At 0.0012 mol/s, Dolomite SI=+0.0162 fails; at 0.0015 mol/s all SI values are negative and pH=6.2040.</x:v>
      </x:c>
      <x:c r="B5" s="174" t="str">
        <x:v>Recommend 66 bar + 0.0015 mol/s HCl. At 66 bar: water 0.36624 kg/s, NaCl 314.77 mg/L, recovery 37.7123% and CP 1.2650. At 0.0012 mol/s, Dolomite SI=+0.0162 fails; at 0.0015 mol/s all SI values are negative and pH=6.2040.</x:v>
      </x:c>
      <x:c r="C5" s="174" t="str">
        <x:v>Recommend 66 bar + 0.0015 mol/s HCl. At 66 bar: water 0.36624 kg/s, NaCl 314.77 mg/L, recovery 37.7123% and CP 1.2650. At 0.0012 mol/s, Dolomite SI=+0.0162 fails; at 0.0015 mol/s all SI values are negative and pH=6.2040.</x:v>
      </x:c>
      <x:c r="D5" s="174" t="str">
        <x:v>Recommend 66 bar + 0.0015 mol/s HCl. At 66 bar: water 0.36624 kg/s, NaCl 314.77 mg/L, recovery 37.7123% and CP 1.2650. At 0.0012 mol/s, Dolomite SI=+0.0162 fails; at 0.0015 mol/s all SI values are negative and pH=6.2040.</x:v>
      </x:c>
      <x:c r="E5" s="174" t="str">
        <x:v>Recommend 66 bar + 0.0015 mol/s HCl. At 66 bar: water 0.36624 kg/s, NaCl 314.77 mg/L, recovery 37.7123% and CP 1.2650. At 0.0012 mol/s, Dolomite SI=+0.0162 fails; at 0.0015 mol/s all SI values are negative and pH=6.2040.</x:v>
      </x:c>
      <x:c r="F5" s="174" t="str">
        <x:v>Recommend 66 bar + 0.0015 mol/s HCl. At 66 bar: water 0.36624 kg/s, NaCl 314.77 mg/L, recovery 37.7123% and CP 1.2650. At 0.0012 mol/s, Dolomite SI=+0.0162 fails; at 0.0015 mol/s all SI values are negative and pH=6.2040.</x:v>
      </x:c>
      <x:c r="G5" s="174" t="str">
        <x:v>Recommend 66 bar + 0.0015 mol/s HCl. At 66 bar: water 0.36624 kg/s, NaCl 314.77 mg/L, recovery 37.7123% and CP 1.2650. At 0.0012 mol/s, Dolomite SI=+0.0162 fails; at 0.0015 mol/s all SI values are negative and pH=6.2040.</x:v>
      </x:c>
      <x:c r="H5" s="174" t="str">
        <x:v>Recommend 66 bar + 0.0015 mol/s HCl. At 66 bar: water 0.36624 kg/s, NaCl 314.77 mg/L, recovery 37.7123% and CP 1.2650. At 0.0012 mol/s, Dolomite SI=+0.0162 fails; at 0.0015 mol/s all SI values are negative and pH=6.2040.</x:v>
      </x:c>
      <x:c r="I5" s="174" t="str">
        <x:v>Recommend 66 bar + 0.0015 mol/s HCl. At 66 bar: water 0.36624 kg/s, NaCl 314.77 mg/L, recovery 37.7123% and CP 1.2650. At 0.0012 mol/s, Dolomite SI=+0.0162 fails; at 0.0015 mol/s all SI values are negative and pH=6.2040.</x:v>
      </x:c>
      <x:c r="J5" s="174" t="str">
        <x:v>Recommend 66 bar + 0.0015 mol/s HCl. At 66 bar: water 0.36624 kg/s, NaCl 314.77 mg/L, recovery 37.7123% and CP 1.2650. At 0.0012 mol/s, Dolomite SI=+0.0162 fails; at 0.0015 mol/s all SI values are negative and pH=6.2040.</x:v>
      </x:c>
      <x:c r="K5" s="174" t="str">
        <x:v>Recommend 66 bar + 0.0015 mol/s HCl. At 66 bar: water 0.36624 kg/s, NaCl 314.77 mg/L, recovery 37.7123% and CP 1.2650. At 0.0012 mol/s, Dolomite SI=+0.0162 fails; at 0.0015 mol/s all SI values are negative and pH=6.2040.</x:v>
      </x:c>
      <x:c r="L5" s="174" t="str">
        <x:v>Recommend 66 bar + 0.0015 mol/s HCl. At 66 bar: water 0.36624 kg/s, NaCl 314.77 mg/L, recovery 37.7123% and CP 1.2650. At 0.0012 mol/s, Dolomite SI=+0.0162 fails; at 0.0015 mol/s all SI values are negative and pH=6.2040.</x:v>
      </x:c>
      <x:c r="M5" s="174" t="str">
        <x:v>Recommend 66 bar + 0.0015 mol/s HCl. At 66 bar: water 0.36624 kg/s, NaCl 314.77 mg/L, recovery 37.7123% and CP 1.2650. At 0.0012 mol/s, Dolomite SI=+0.0162 fails; at 0.0015 mol/s all SI values are negative and pH=6.2040.</x:v>
      </x:c>
      <x:c r="N5" s="175" t="str">
        <x:v>Recommend 66 bar + 0.0015 mol/s HCl. At 66 bar: water 0.36624 kg/s, NaCl 314.77 mg/L, recovery 37.7123% and CP 1.2650. At 0.0012 mol/s, Dolomite SI=+0.0162 fails; at 0.0015 mol/s all SI values are negative and pH=6.2040.</x:v>
      </x:c>
    </x:row>
    <x:row r="6">
      <x:c r="A6" s="176" t="str">
        <x:v>Recommend 66 bar + 0.0015 mol/s HCl. At 66 bar: water 0.36624 kg/s, NaCl 314.77 mg/L, recovery 37.7123% and CP 1.2650. At 0.0012 mol/s, Dolomite SI=+0.0162 fails; at 0.0015 mol/s all SI values are negative and pH=6.2040.</x:v>
      </x:c>
      <x:c r="B6" s="177" t="str">
        <x:v>Recommend 66 bar + 0.0015 mol/s HCl. At 66 bar: water 0.36624 kg/s, NaCl 314.77 mg/L, recovery 37.7123% and CP 1.2650. At 0.0012 mol/s, Dolomite SI=+0.0162 fails; at 0.0015 mol/s all SI values are negative and pH=6.2040.</x:v>
      </x:c>
      <x:c r="C6" s="177" t="str">
        <x:v>Recommend 66 bar + 0.0015 mol/s HCl. At 66 bar: water 0.36624 kg/s, NaCl 314.77 mg/L, recovery 37.7123% and CP 1.2650. At 0.0012 mol/s, Dolomite SI=+0.0162 fails; at 0.0015 mol/s all SI values are negative and pH=6.2040.</x:v>
      </x:c>
      <x:c r="D6" s="177" t="str">
        <x:v>Recommend 66 bar + 0.0015 mol/s HCl. At 66 bar: water 0.36624 kg/s, NaCl 314.77 mg/L, recovery 37.7123% and CP 1.2650. At 0.0012 mol/s, Dolomite SI=+0.0162 fails; at 0.0015 mol/s all SI values are negative and pH=6.2040.</x:v>
      </x:c>
      <x:c r="E6" s="177" t="str">
        <x:v>Recommend 66 bar + 0.0015 mol/s HCl. At 66 bar: water 0.36624 kg/s, NaCl 314.77 mg/L, recovery 37.7123% and CP 1.2650. At 0.0012 mol/s, Dolomite SI=+0.0162 fails; at 0.0015 mol/s all SI values are negative and pH=6.2040.</x:v>
      </x:c>
      <x:c r="F6" s="177" t="str">
        <x:v>Recommend 66 bar + 0.0015 mol/s HCl. At 66 bar: water 0.36624 kg/s, NaCl 314.77 mg/L, recovery 37.7123% and CP 1.2650. At 0.0012 mol/s, Dolomite SI=+0.0162 fails; at 0.0015 mol/s all SI values are negative and pH=6.2040.</x:v>
      </x:c>
      <x:c r="G6" s="177" t="str">
        <x:v>Recommend 66 bar + 0.0015 mol/s HCl. At 66 bar: water 0.36624 kg/s, NaCl 314.77 mg/L, recovery 37.7123% and CP 1.2650. At 0.0012 mol/s, Dolomite SI=+0.0162 fails; at 0.0015 mol/s all SI values are negative and pH=6.2040.</x:v>
      </x:c>
      <x:c r="H6" s="177" t="str">
        <x:v>Recommend 66 bar + 0.0015 mol/s HCl. At 66 bar: water 0.36624 kg/s, NaCl 314.77 mg/L, recovery 37.7123% and CP 1.2650. At 0.0012 mol/s, Dolomite SI=+0.0162 fails; at 0.0015 mol/s all SI values are negative and pH=6.2040.</x:v>
      </x:c>
      <x:c r="I6" s="177" t="str">
        <x:v>Recommend 66 bar + 0.0015 mol/s HCl. At 66 bar: water 0.36624 kg/s, NaCl 314.77 mg/L, recovery 37.7123% and CP 1.2650. At 0.0012 mol/s, Dolomite SI=+0.0162 fails; at 0.0015 mol/s all SI values are negative and pH=6.2040.</x:v>
      </x:c>
      <x:c r="J6" s="177" t="str">
        <x:v>Recommend 66 bar + 0.0015 mol/s HCl. At 66 bar: water 0.36624 kg/s, NaCl 314.77 mg/L, recovery 37.7123% and CP 1.2650. At 0.0012 mol/s, Dolomite SI=+0.0162 fails; at 0.0015 mol/s all SI values are negative and pH=6.2040.</x:v>
      </x:c>
      <x:c r="K6" s="177" t="str">
        <x:v>Recommend 66 bar + 0.0015 mol/s HCl. At 66 bar: water 0.36624 kg/s, NaCl 314.77 mg/L, recovery 37.7123% and CP 1.2650. At 0.0012 mol/s, Dolomite SI=+0.0162 fails; at 0.0015 mol/s all SI values are negative and pH=6.2040.</x:v>
      </x:c>
      <x:c r="L6" s="177" t="str">
        <x:v>Recommend 66 bar + 0.0015 mol/s HCl. At 66 bar: water 0.36624 kg/s, NaCl 314.77 mg/L, recovery 37.7123% and CP 1.2650. At 0.0012 mol/s, Dolomite SI=+0.0162 fails; at 0.0015 mol/s all SI values are negative and pH=6.2040.</x:v>
      </x:c>
      <x:c r="M6" s="177" t="str">
        <x:v>Recommend 66 bar + 0.0015 mol/s HCl. At 66 bar: water 0.36624 kg/s, NaCl 314.77 mg/L, recovery 37.7123% and CP 1.2650. At 0.0012 mol/s, Dolomite SI=+0.0162 fails; at 0.0015 mol/s all SI values are negative and pH=6.2040.</x:v>
      </x:c>
      <x:c r="N6" s="178" t="str">
        <x:v>Recommend 66 bar + 0.0015 mol/s HCl. At 66 bar: water 0.36624 kg/s, NaCl 314.77 mg/L, recovery 37.7123% and CP 1.2650. At 0.0012 mol/s, Dolomite SI=+0.0162 fails; at 0.0015 mol/s all SI values are negative and pH=6.2040.</x:v>
      </x:c>
    </x:row>
    <x:row r="7">
      <x:c r="A7" s="1"/>
      <x:c r="B7" s="1"/>
      <x:c r="C7" s="1"/>
      <x:c r="D7" s="1"/>
      <x:c r="E7" s="1"/>
      <x:c r="F7" s="1"/>
      <x:c r="G7" s="1"/>
      <x:c r="H7" s="1"/>
      <x:c r="I7" s="1"/>
      <x:c r="J7" s="1"/>
      <x:c r="K7" s="1"/>
      <x:c r="L7" s="1"/>
      <x:c r="M7" s="1"/>
      <x:c r="N7" s="1"/>
    </x:row>
    <x:row r="8">
      <x:c r="A8" s="37" t="str">
        <x:v>Stage 1 | simulate_ro results</x:v>
      </x:c>
      <x:c r="B8" s="37" t="str">
        <x:v>Stage 1 | simulate_ro results</x:v>
      </x:c>
      <x:c r="C8" s="37" t="str">
        <x:v>Stage 1 | simulate_ro results</x:v>
      </x:c>
      <x:c r="D8" s="37" t="str">
        <x:v>Stage 1 | simulate_ro results</x:v>
      </x:c>
      <x:c r="E8" s="37" t="str">
        <x:v>Stage 1 | simulate_ro results</x:v>
      </x:c>
      <x:c r="F8" s="37" t="str">
        <x:v>Stage 1 | simulate_ro results</x:v>
      </x:c>
      <x:c r="G8" s="37" t="str">
        <x:v>Stage 1 | simulate_ro results</x:v>
      </x:c>
      <x:c r="H8" s="37" t="str">
        <x:v>Stage 1 | simulate_ro results</x:v>
      </x:c>
      <x:c r="I8" s="37" t="str">
        <x:v>Stage 1 | simulate_ro results</x:v>
      </x:c>
      <x:c r="J8" s="37" t="str">
        <x:v>Stage 1 | simulate_ro results</x:v>
      </x:c>
      <x:c r="K8" s="1"/>
      <x:c r="L8" s="1"/>
      <x:c r="M8" s="1"/>
      <x:c r="N8" s="1"/>
    </x:row>
    <x:row r="9">
      <x:c r="A9" s="183" t="str">
        <x:v>ID</x:v>
      </x:c>
      <x:c r="B9" s="183" t="str">
        <x:v>Setting</x:v>
      </x:c>
      <x:c r="C9" s="183" t="str">
        <x:v>Water kg/s</x:v>
      </x:c>
      <x:c r="D9" s="183" t="str">
        <x:v>NaCl mg/L</x:v>
      </x:c>
      <x:c r="E9" s="183" t="str">
        <x:v>Recovery %</x:v>
      </x:c>
      <x:c r="F9" s="183" t="str">
        <x:v>Flux LMH</x:v>
      </x:c>
      <x:c r="G9" s="183" t="str">
        <x:v>Inlet CP</x:v>
      </x:c>
      <x:c r="H9" s="183" t="str">
        <x:v>Status</x:v>
      </x:c>
      <x:c r="I9" s="1"/>
      <x:c r="J9" s="1"/>
      <x:c r="K9" s="1" t="str">
        <x:v>Candidate</x:v>
      </x:c>
      <x:c r="L9" s="1" t="str">
        <x:v>Water kg/s</x:v>
      </x:c>
      <x:c r="M9" s="1"/>
      <x:c r="N9" s="1"/>
    </x:row>
    <x:row r="10">
      <x:c r="A10" s="187" t="str">
        <x:v>P60</x:v>
      </x:c>
      <x:c r="B10" s="187" t="str">
        <x:v>60 bar</x:v>
      </x:c>
      <x:c r="C10" s="188" t="n">
        <x:v>0.30848992748519133</x:v>
      </x:c>
      <x:c r="D10" s="188" t="n">
        <x:v>346.9671267914943</x:v>
      </x:c>
      <x:c r="E10" s="188" t="n">
        <x:v>31.76576538561316</x:v>
      </x:c>
      <x:c r="F10" s="188" t="n">
        <x:v>15.865196270666981</x:v>
      </x:c>
      <x:c r="G10" s="188" t="n">
        <x:v>1.2128782751695695</x:v>
      </x:c>
      <x:c r="H10" s="187" t="str">
        <x:f>IF(AND(C10&gt;=0.36,D10&lt;=330,G10&lt;=1.3),"PASS","FAIL")</x:f>
        <x:v>FAIL</x:v>
      </x:c>
      <x:c r="I10" s="1"/>
      <x:c r="J10" s="1"/>
      <x:c r="K10" s="1" t="str">
        <x:v>P60</x:v>
      </x:c>
      <x:c r="L10" s="1" t="n">
        <x:v>0.30848992748519133</x:v>
      </x:c>
      <x:c r="M10" s="1"/>
      <x:c r="N10" s="1"/>
    </x:row>
    <x:row r="11">
      <x:c r="A11" s="187" t="str">
        <x:v>P62</x:v>
      </x:c>
      <x:c r="B11" s="187" t="str">
        <x:v>62 bar</x:v>
      </x:c>
      <x:c r="C11" s="188" t="n">
        <x:v>0.3283203458347199</x:v>
      </x:c>
      <x:c r="D11" s="188" t="n">
        <x:v>334.26575262304607</x:v>
      </x:c>
      <x:c r="E11" s="188" t="n">
        <x:v>33.80763602975523</x:v>
      </x:c>
      <x:c r="F11" s="188" t="n">
        <x:v>16.885046357214165</x:v>
      </x:c>
      <x:c r="G11" s="188" t="n">
        <x:v>1.230083360499635</x:v>
      </x:c>
      <x:c r="H11" s="187" t="str">
        <x:f>IF(AND(C11&gt;=0.36,D11&lt;=330,G11&lt;=1.3),"PASS","FAIL")</x:f>
        <x:v>FAIL</x:v>
      </x:c>
      <x:c r="I11" s="1"/>
      <x:c r="J11" s="1"/>
      <x:c r="K11" s="1" t="str">
        <x:v>P62</x:v>
      </x:c>
      <x:c r="L11" s="1" t="n">
        <x:v>0.3283203458347199</x:v>
      </x:c>
      <x:c r="M11" s="1"/>
      <x:c r="N11" s="1"/>
    </x:row>
    <x:row r="12">
      <x:c r="A12" s="187" t="str">
        <x:v>P64</x:v>
      </x:c>
      <x:c r="B12" s="187" t="str">
        <x:v>64 bar</x:v>
      </x:c>
      <x:c r="C12" s="188" t="n">
        <x:v>0.3475687310730526</x:v>
      </x:c>
      <x:c r="D12" s="188" t="n">
        <x:v>323.6641535903439</x:v>
      </x:c>
      <x:c r="E12" s="188" t="n">
        <x:v>35.789579650315424</x:v>
      </x:c>
      <x:c r="F12" s="188" t="n">
        <x:v>17.874963312328422</x:v>
      </x:c>
      <x:c r="G12" s="188" t="n">
        <x:v>1.2474613843412856</x:v>
      </x:c>
      <x:c r="H12" s="187" t="str">
        <x:f>IF(AND(C12&gt;=0.36,D12&lt;=330,G12&lt;=1.3),"PASS","FAIL")</x:f>
        <x:v>FAIL</x:v>
      </x:c>
      <x:c r="I12" s="1"/>
      <x:c r="J12" s="1"/>
      <x:c r="K12" s="1" t="str">
        <x:v>P64</x:v>
      </x:c>
      <x:c r="L12" s="1" t="n">
        <x:v>0.3475687310730526</x:v>
      </x:c>
      <x:c r="M12" s="1"/>
      <x:c r="N12" s="1"/>
    </x:row>
    <x:row r="13">
      <x:c r="A13" s="187" t="str">
        <x:v>P66</x:v>
      </x:c>
      <x:c r="B13" s="187" t="str">
        <x:v>66 bar</x:v>
      </x:c>
      <x:c r="C13" s="188" t="n">
        <x:v>0.3662416007982426</x:v>
      </x:c>
      <x:c r="D13" s="188" t="n">
        <x:v>314.771401998074</x:v>
      </x:c>
      <x:c r="E13" s="188" t="n">
        <x:v>37.71226728412226</x:v>
      </x:c>
      <x:c r="F13" s="188" t="n">
        <x:v>18.835282326766762</x:v>
      </x:c>
      <x:c r="G13" s="188" t="n">
        <x:v>1.2650105572236272</x:v>
      </x:c>
      <x:c r="H13" s="187" t="str">
        <x:f>IF(AND(C13&gt;=0.36,D13&lt;=330,G13&lt;=1.3),"PASS","FAIL")</x:f>
        <x:v>PASS</x:v>
      </x:c>
      <x:c r="I13" s="1"/>
      <x:c r="J13" s="1"/>
      <x:c r="K13" s="1" t="str">
        <x:v>P66</x:v>
      </x:c>
      <x:c r="L13" s="1" t="n">
        <x:v>0.3662416007982426</x:v>
      </x:c>
      <x:c r="M13" s="1"/>
      <x:c r="N13" s="1"/>
    </x:row>
    <x:row r="14">
      <x:c r="A14" s="187" t="str">
        <x:v>P68</x:v>
      </x:c>
      <x:c r="B14" s="187" t="str">
        <x:v>68 bar</x:v>
      </x:c>
      <x:c r="C14" s="188" t="n">
        <x:v>0.3843479612722466</x:v>
      </x:c>
      <x:c r="D14" s="188" t="n">
        <x:v>307.28709018674783</x:v>
      </x:c>
      <x:c r="E14" s="188" t="n">
        <x:v>39.57662620314632</x:v>
      </x:c>
      <x:c r="F14" s="188" t="n">
        <x:v>19.766466579715537</x:v>
      </x:c>
      <x:c r="G14" s="188" t="n">
        <x:v>1.2827293978329912</x:v>
      </x:c>
      <x:c r="H14" s="187" t="str">
        <x:f>IF(AND(C14&gt;=0.36,D14&lt;=330,G14&lt;=1.3),"PASS","FAIL")</x:f>
        <x:v>PASS</x:v>
      </x:c>
      <x:c r="I14" s="1"/>
      <x:c r="J14" s="1"/>
      <x:c r="K14" s="1" t="str">
        <x:v>P68</x:v>
      </x:c>
      <x:c r="L14" s="1" t="n">
        <x:v>0.3843479612722466</x:v>
      </x:c>
      <x:c r="M14" s="1"/>
      <x:c r="N14" s="1"/>
    </x:row>
    <x:row r="15">
      <x:c r="A15" s="187" t="str">
        <x:v>P70</x:v>
      </x:c>
      <x:c r="B15" s="187" t="str">
        <x:v>70 bar</x:v>
      </x:c>
      <x:c r="C15" s="188" t="n">
        <x:v>0.40189877081598513</x:v>
      </x:c>
      <x:c r="D15" s="188" t="n">
        <x:v>300.9764986780076</x:v>
      </x:c>
      <x:c r="E15" s="188" t="n">
        <x:v>41.383784665143075</x:v>
      </x:c>
      <x:c r="F15" s="188" t="n">
        <x:v>20.66907964196495</x:v>
      </x:c>
      <x:c r="G15" s="188" t="n">
        <x:v>1.3006166393903762</x:v>
      </x:c>
      <x:c r="H15" s="187" t="str">
        <x:f>IF(AND(C15&gt;=0.36,D15&lt;=330,G15&lt;=1.3),"PASS","FAIL")</x:f>
        <x:v>FAIL</x:v>
      </x:c>
      <x:c r="I15" s="1"/>
      <x:c r="J15" s="1"/>
      <x:c r="K15" s="1" t="str">
        <x:v>P70</x:v>
      </x:c>
      <x:c r="L15" s="1" t="n">
        <x:v>0.40189877081598513</x:v>
      </x:c>
      <x:c r="M15" s="1"/>
      <x:c r="N15" s="1"/>
    </x:row>
    <x:row r="16">
      <x:c r="A16" s="1"/>
      <x:c r="B16" s="1"/>
      <x:c r="C16" s="1"/>
      <x:c r="D16" s="1"/>
      <x:c r="E16" s="1"/>
      <x:c r="F16" s="1"/>
      <x:c r="G16" s="1"/>
      <x:c r="H16" s="1"/>
      <x:c r="I16" s="1"/>
      <x:c r="J16" s="1"/>
      <x:c r="K16" s="1"/>
      <x:c r="L16" s="1"/>
      <x:c r="M16" s="1"/>
      <x:c r="N16" s="1"/>
    </x:row>
    <x:row r="17">
      <x:c r="A17" s="37" t="str">
        <x:v>Stage 2 | equilibrate_feed results</x:v>
      </x:c>
      <x:c r="B17" s="37" t="str">
        <x:v>Stage 2 | equilibrate_feed results</x:v>
      </x:c>
      <x:c r="C17" s="37" t="str">
        <x:v>Stage 2 | equilibrate_feed results</x:v>
      </x:c>
      <x:c r="D17" s="37" t="str">
        <x:v>Stage 2 | equilibrate_feed results</x:v>
      </x:c>
      <x:c r="E17" s="37" t="str">
        <x:v>Stage 2 | equilibrate_feed results</x:v>
      </x:c>
      <x:c r="F17" s="37" t="str">
        <x:v>Stage 2 | equilibrate_feed results</x:v>
      </x:c>
      <x:c r="G17" s="37" t="str">
        <x:v>Stage 2 | equilibrate_feed results</x:v>
      </x:c>
      <x:c r="H17" s="37" t="str">
        <x:v>Stage 2 | equilibrate_feed results</x:v>
      </x:c>
      <x:c r="I17" s="37" t="str">
        <x:v>Stage 2 | equilibrate_feed results</x:v>
      </x:c>
      <x:c r="J17" s="37" t="str">
        <x:v>Stage 2 | equilibrate_feed results</x:v>
      </x:c>
      <x:c r="K17" s="1"/>
      <x:c r="L17" s="1"/>
      <x:c r="M17" s="1"/>
      <x:c r="N17" s="1"/>
    </x:row>
    <x:row r="18">
      <x:c r="A18" s="183" t="str">
        <x:v>ID</x:v>
      </x:c>
      <x:c r="B18" s="183" t="str">
        <x:v>Inherited state</x:v>
      </x:c>
      <x:c r="C18" s="183" t="str">
        <x:v>Recovery</x:v>
      </x:c>
      <x:c r="D18" s="183" t="str">
        <x:v>HCl mol/s</x:v>
      </x:c>
      <x:c r="E18" s="183" t="str">
        <x:v>pH</x:v>
      </x:c>
      <x:c r="F18" s="183" t="str">
        <x:v>Calcite SI</x:v>
      </x:c>
      <x:c r="G18" s="183" t="str">
        <x:v>Dolomite SI</x:v>
      </x:c>
      <x:c r="H18" s="183" t="str">
        <x:v>Gypsum SI</x:v>
      </x:c>
      <x:c r="I18" s="183" t="str">
        <x:v>Anhydrite SI</x:v>
      </x:c>
      <x:c r="J18" s="183" t="str">
        <x:v>Status</x:v>
      </x:c>
      <x:c r="K18" s="1"/>
      <x:c r="L18" s="1"/>
      <x:c r="M18" s="1"/>
      <x:c r="N18" s="1"/>
    </x:row>
    <x:row r="19">
      <x:c r="A19" s="187" t="str">
        <x:v>D0.0012</x:v>
      </x:c>
      <x:c r="B19" s="187" t="str">
        <x:v>D0.0012</x:v>
      </x:c>
      <x:c r="C19" s="188" t="n">
        <x:v>0.37712267284122264</x:v>
      </x:c>
      <x:c r="D19" s="188" t="n">
        <x:v>0.0012</x:v>
      </x:c>
      <x:c r="E19" s="188" t="n">
        <x:v>6.314386195816712</x:v>
      </x:c>
      <x:c r="F19" s="188" t="n">
        <x:v>-0.5039778314881267</x:v>
      </x:c>
      <x:c r="G19" s="188" t="n">
        <x:v>0.016193245063374363</x:v>
      </x:c>
      <x:c r="H19" s="188" t="n">
        <x:v>-0.3711293774082082</x:v>
      </x:c>
      <x:c r="I19" s="188" t="n">
        <x:v>-0.6213185560997485</x:v>
      </x:c>
      <x:c r="J19" s="187" t="str">
        <x:f>IF(AND(E19&gt;=6.05,F19&lt;=0,G19&lt;=0,H19&lt;=0,I19&lt;=0),"PASS","FAIL")</x:f>
        <x:v>FAIL</x:v>
      </x:c>
      <x:c r="K19" s="1"/>
      <x:c r="L19" s="1"/>
      <x:c r="M19" s="1"/>
      <x:c r="N19" s="1"/>
    </x:row>
    <x:row r="20">
      <x:c r="A20" s="187" t="str">
        <x:v>D0.0015</x:v>
      </x:c>
      <x:c r="B20" s="187" t="str">
        <x:v>D0.0015</x:v>
      </x:c>
      <x:c r="C20" s="188" t="n">
        <x:v>0.37712267284122264</x:v>
      </x:c>
      <x:c r="D20" s="188" t="n">
        <x:v>0.0015</x:v>
      </x:c>
      <x:c r="E20" s="188" t="n">
        <x:v>6.203964510435787</x:v>
      </x:c>
      <x:c r="F20" s="188" t="n">
        <x:v>-0.6557059573865179</x:v>
      </x:c>
      <x:c r="G20" s="188" t="n">
        <x:v>-0.2869220853506927</x:v>
      </x:c>
      <x:c r="H20" s="188" t="n">
        <x:v>-0.3711741748908161</x:v>
      </x:c>
      <x:c r="I20" s="188" t="n">
        <x:v>-0.6213533125766746</x:v>
      </x:c>
      <x:c r="J20" s="187" t="str">
        <x:f>IF(AND(E20&gt;=6.05,F20&lt;=0,G20&lt;=0,H20&lt;=0,I20&lt;=0),"PASS","FAIL")</x:f>
        <x:v>PASS</x:v>
      </x:c>
      <x:c r="K20" s="1"/>
      <x:c r="L20" s="1"/>
      <x:c r="M20" s="1"/>
      <x:c r="N20" s="1"/>
    </x:row>
    <x:row r="21">
      <x:c r="A21" s="187" t="str">
        <x:v>D0.0018</x:v>
      </x:c>
      <x:c r="B21" s="187" t="str">
        <x:v>D0.0018</x:v>
      </x:c>
      <x:c r="C21" s="188" t="n">
        <x:v>0.37712267284122264</x:v>
      </x:c>
      <x:c r="D21" s="188" t="n">
        <x:v>0.0018</x:v>
      </x:c>
      <x:c r="E21" s="188" t="n">
        <x:v>6.098476483599103</x:v>
      </x:c>
      <x:c r="F21" s="188" t="n">
        <x:v>-0.8070034065996037</x:v>
      </x:c>
      <x:c r="G21" s="188" t="n">
        <x:v>-0.589177087380879</x:v>
      </x:c>
      <x:c r="H21" s="188" t="n">
        <x:v>-0.37121968244825404</x:v>
      </x:c>
      <x:c r="I21" s="188" t="n">
        <x:v>-0.6213887853134074</x:v>
      </x:c>
      <x:c r="J21" s="187" t="str">
        <x:f>IF(AND(E21&gt;=6.05,F21&lt;=0,G21&lt;=0,H21&lt;=0,I21&lt;=0),"PASS","FAIL")</x:f>
        <x:v>PASS</x:v>
      </x:c>
      <x:c r="K21" s="1"/>
      <x:c r="L21" s="1"/>
      <x:c r="M21" s="1"/>
      <x:c r="N21" s="1"/>
    </x:row>
    <x:row r="22">
      <x:c r="A22" s="187" t="str">
        <x:v>D0.0021</x:v>
      </x:c>
      <x:c r="B22" s="187" t="str">
        <x:v>D0.0021</x:v>
      </x:c>
      <x:c r="C22" s="188" t="n">
        <x:v>0.37712267284122264</x:v>
      </x:c>
      <x:c r="D22" s="188" t="n">
        <x:v>0.0021</x:v>
      </x:c>
      <x:c r="E22" s="188" t="n">
        <x:v>5.994667490905095</x:v>
      </x:c>
      <x:c r="F22" s="188" t="n">
        <x:v>-0.9621352575456855</x:v>
      </x:c>
      <x:c r="G22" s="188" t="n">
        <x:v>-0.8991016002886443</x:v>
      </x:c>
      <x:c r="H22" s="188" t="n">
        <x:v>-0.37126575674874174</x:v>
      </x:c>
      <x:c r="I22" s="188" t="n">
        <x:v>-0.6214248286539036</x:v>
      </x:c>
      <x:c r="J22" s="187" t="str">
        <x:f>IF(AND(E22&gt;=6.05,F22&lt;=0,G22&lt;=0,H22&lt;=0,I22&lt;=0),"PASS","FAIL")</x:f>
        <x:v>FAIL</x:v>
      </x:c>
      <x:c r="K22" s="1"/>
      <x:c r="L22" s="1"/>
      <x:c r="M22" s="1"/>
      <x:c r="N22" s="1"/>
    </x:row>
    <x:row r="23">
      <x:c r="A23" s="187" t="str">
        <x:v>D0.0024</x:v>
      </x:c>
      <x:c r="B23" s="187" t="str">
        <x:v>D0.0024</x:v>
      </x:c>
      <x:c r="C23" s="188" t="n">
        <x:v>0.37712267284122264</x:v>
      </x:c>
      <x:c r="D23" s="188" t="n">
        <x:v>0.0024</x:v>
      </x:c>
      <x:c r="E23" s="188" t="n">
        <x:v>5.889562445948378</x:v>
      </x:c>
      <x:c r="F23" s="188" t="n">
        <x:v>-1.1255201970429318</x:v>
      </x:c>
      <x:c r="G23" s="188" t="n">
        <x:v>-1.22553282535482</x:v>
      </x:c>
      <x:c r="H23" s="188" t="n">
        <x:v>-0.37131236222265646</x:v>
      </x:c>
      <x:c r="I23" s="188" t="n">
        <x:v>-0.6214614053879496</x:v>
      </x:c>
      <x:c r="J23" s="187" t="str">
        <x:f>IF(AND(E23&gt;=6.05,F23&lt;=0,G23&lt;=0,H23&lt;=0,I23&lt;=0),"PASS","FAIL")</x:f>
        <x:v>FAIL</x:v>
      </x:c>
      <x:c r="K23" s="1"/>
      <x:c r="L23" s="1"/>
      <x:c r="M23" s="1"/>
      <x:c r="N23" s="1"/>
    </x:row>
    <x:row r="24">
      <x:c r="A24" s="187" t="str">
        <x:v>D0.0027</x:v>
      </x:c>
      <x:c r="B24" s="187" t="str">
        <x:v>D0.0027</x:v>
      </x:c>
      <x:c r="C24" s="188" t="n">
        <x:v>0.37712267284122264</x:v>
      </x:c>
      <x:c r="D24" s="188" t="n">
        <x:v>0.0027</x:v>
      </x:c>
      <x:c r="E24" s="188" t="n">
        <x:v>5.779941478787663</x:v>
      </x:c>
      <x:c r="F24" s="188" t="n">
        <x:v>-1.302508889932701</x:v>
      </x:c>
      <x:c r="G24" s="188" t="n">
        <x:v>-1.5791720118478765</x:v>
      </x:c>
      <x:c r="H24" s="188" t="n">
        <x:v>-0.3713595597926235</x:v>
      </x:c>
      <x:c r="I24" s="188" t="n">
        <x:v>-0.6214985749766809</x:v>
      </x:c>
      <x:c r="J24" s="187" t="str">
        <x:f>IF(AND(E24&gt;=6.05,F24&lt;=0,G24&lt;=0,H24&lt;=0,I24&lt;=0),"PASS","FAIL")</x:f>
        <x:v>FAIL</x:v>
      </x:c>
      <x:c r="K24" s="1"/>
      <x:c r="L24" s="1"/>
      <x:c r="M24" s="1"/>
      <x:c r="N24" s="1"/>
    </x:row>
    <x:row r="25">
      <x:c r="A25" s="1"/>
      <x:c r="B25" s="1"/>
      <x:c r="C25" s="1"/>
      <x:c r="D25" s="1"/>
      <x:c r="E25" s="1"/>
      <x:c r="F25" s="1"/>
      <x:c r="G25" s="1"/>
      <x:c r="H25" s="1"/>
      <x:c r="I25" s="1"/>
      <x:c r="J25" s="1"/>
      <x:c r="K25" s="1"/>
      <x:c r="L25" s="1"/>
      <x:c r="M25" s="1"/>
      <x:c r="N25" s="1"/>
    </x:row>
    <x:row r="26">
      <x:c r="A26" s="37" t="str">
        <x:v>Engineering conversion / final KPI</x:v>
      </x:c>
      <x:c r="B26" s="37" t="str">
        <x:v>Engineering conversion / final KPI</x:v>
      </x:c>
      <x:c r="C26" s="37" t="str">
        <x:v>Engineering conversion / final KPI</x:v>
      </x:c>
      <x:c r="D26" s="37" t="str">
        <x:v>Engineering conversion / final KPI</x:v>
      </x:c>
      <x:c r="E26" s="37" t="str">
        <x:v>Engineering conversion / final KPI</x:v>
      </x:c>
      <x:c r="F26" s="37" t="str">
        <x:v>Engineering conversion / final KPI</x:v>
      </x:c>
      <x:c r="G26" s="1"/>
      <x:c r="H26" s="37" t="str">
        <x:v>Boundary evidence</x:v>
      </x:c>
      <x:c r="I26" s="37" t="str">
        <x:v>Boundary evidence</x:v>
      </x:c>
      <x:c r="J26" s="37" t="str">
        <x:v>Boundary evidence</x:v>
      </x:c>
      <x:c r="K26" s="37" t="str">
        <x:v>Boundary evidence</x:v>
      </x:c>
      <x:c r="L26" s="37" t="str">
        <x:v>Boundary evidence</x:v>
      </x:c>
      <x:c r="M26" s="37" t="str">
        <x:v>Boundary evidence</x:v>
      </x:c>
      <x:c r="N26" s="37" t="str">
        <x:v>Boundary evidence</x:v>
      </x:c>
    </x:row>
    <x:row r="27">
      <x:c r="A27" s="189" t="str">
        <x:v>Selected HCl mol/s</x:v>
      </x:c>
      <x:c r="B27" s="190" t="n">
        <x:v>0.0015</x:v>
      </x:c>
      <x:c r="C27" s="189" t="str"/>
      <x:c r="D27" s="1"/>
      <x:c r="E27" s="1"/>
      <x:c r="F27" s="1"/>
      <x:c r="G27" s="1"/>
      <x:c r="H27" s="84" t="str">
        <x:v>Final recommendation: Recommend 66 bar + 0.0015 mol/s HCl. At 66 bar: water 0.36624 kg/s, NaCl 314.77 mg/L, recovery 37.7123% and CP 1.2650. At 0.0012 mol/s, Dolomite SI=+0.0162 fails; at 0.0015 mol/s all SI values are negative and pH=6.2040.</x:v>
      </x:c>
      <x:c r="I27" s="85" t="str">
        <x:v>Final recommendation: Recommend 66 bar + 0.0015 mol/s HCl. At 66 bar: water 0.36624 kg/s, NaCl 314.77 mg/L, recovery 37.7123% and CP 1.2650. At 0.0012 mol/s, Dolomite SI=+0.0162 fails; at 0.0015 mol/s all SI values are negative and pH=6.2040.</x:v>
      </x:c>
      <x:c r="J27" s="85" t="str">
        <x:v>Final recommendation: Recommend 66 bar + 0.0015 mol/s HCl. At 66 bar: water 0.36624 kg/s, NaCl 314.77 mg/L, recovery 37.7123% and CP 1.2650. At 0.0012 mol/s, Dolomite SI=+0.0162 fails; at 0.0015 mol/s all SI values are negative and pH=6.2040.</x:v>
      </x:c>
      <x:c r="K27" s="85" t="str">
        <x:v>Final recommendation: Recommend 66 bar + 0.0015 mol/s HCl. At 66 bar: water 0.36624 kg/s, NaCl 314.77 mg/L, recovery 37.7123% and CP 1.2650. At 0.0012 mol/s, Dolomite SI=+0.0162 fails; at 0.0015 mol/s all SI values are negative and pH=6.2040.</x:v>
      </x:c>
      <x:c r="L27" s="85" t="str">
        <x:v>Final recommendation: Recommend 66 bar + 0.0015 mol/s HCl. At 66 bar: water 0.36624 kg/s, NaCl 314.77 mg/L, recovery 37.7123% and CP 1.2650. At 0.0012 mol/s, Dolomite SI=+0.0162 fails; at 0.0015 mol/s all SI values are negative and pH=6.2040.</x:v>
      </x:c>
      <x:c r="M27" s="85" t="str">
        <x:v>Final recommendation: Recommend 66 bar + 0.0015 mol/s HCl. At 66 bar: water 0.36624 kg/s, NaCl 314.77 mg/L, recovery 37.7123% and CP 1.2650. At 0.0012 mol/s, Dolomite SI=+0.0162 fails; at 0.0015 mol/s all SI values are negative and pH=6.2040.</x:v>
      </x:c>
      <x:c r="N27" s="86" t="str">
        <x:v>Final recommendation: Recommend 66 bar + 0.0015 mol/s HCl. At 66 bar: water 0.36624 kg/s, NaCl 314.77 mg/L, recovery 37.7123% and CP 1.2650. At 0.0012 mol/s, Dolomite SI=+0.0162 fails; at 0.0015 mol/s all SI values are negative and pH=6.2040.</x:v>
      </x:c>
    </x:row>
    <x:row r="28">
      <x:c r="A28" s="189" t="str">
        <x:v>Pure HCl g/h</x:v>
      </x:c>
      <x:c r="B28" s="190" t="n">
        <x:f>B27*36.46*3600</x:f>
        <x:v>196.88400000000001</x:v>
      </x:c>
      <x:c r="C28" s="189" t="str"/>
      <x:c r="D28" s="1"/>
      <x:c r="E28" s="1"/>
      <x:c r="F28" s="1"/>
      <x:c r="G28" s="1"/>
      <x:c r="H28" s="87" t="str">
        <x:v>Final recommendation: Recommend 66 bar + 0.0015 mol/s HCl. At 66 bar: water 0.36624 kg/s, NaCl 314.77 mg/L, recovery 37.7123% and CP 1.2650. At 0.0012 mol/s, Dolomite SI=+0.0162 fails; at 0.0015 mol/s all SI values are negative and pH=6.2040.</x:v>
      </x:c>
      <x:c r="I28" s="88" t="str">
        <x:v>Final recommendation: Recommend 66 bar + 0.0015 mol/s HCl. At 66 bar: water 0.36624 kg/s, NaCl 314.77 mg/L, recovery 37.7123% and CP 1.2650. At 0.0012 mol/s, Dolomite SI=+0.0162 fails; at 0.0015 mol/s all SI values are negative and pH=6.2040.</x:v>
      </x:c>
      <x:c r="J28" s="88" t="str">
        <x:v>Final recommendation: Recommend 66 bar + 0.0015 mol/s HCl. At 66 bar: water 0.36624 kg/s, NaCl 314.77 mg/L, recovery 37.7123% and CP 1.2650. At 0.0012 mol/s, Dolomite SI=+0.0162 fails; at 0.0015 mol/s all SI values are negative and pH=6.2040.</x:v>
      </x:c>
      <x:c r="K28" s="88" t="str">
        <x:v>Final recommendation: Recommend 66 bar + 0.0015 mol/s HCl. At 66 bar: water 0.36624 kg/s, NaCl 314.77 mg/L, recovery 37.7123% and CP 1.2650. At 0.0012 mol/s, Dolomite SI=+0.0162 fails; at 0.0015 mol/s all SI values are negative and pH=6.2040.</x:v>
      </x:c>
      <x:c r="L28" s="88" t="str">
        <x:v>Final recommendation: Recommend 66 bar + 0.0015 mol/s HCl. At 66 bar: water 0.36624 kg/s, NaCl 314.77 mg/L, recovery 37.7123% and CP 1.2650. At 0.0012 mol/s, Dolomite SI=+0.0162 fails; at 0.0015 mol/s all SI values are negative and pH=6.2040.</x:v>
      </x:c>
      <x:c r="M28" s="88" t="str">
        <x:v>Final recommendation: Recommend 66 bar + 0.0015 mol/s HCl. At 66 bar: water 0.36624 kg/s, NaCl 314.77 mg/L, recovery 37.7123% and CP 1.2650. At 0.0012 mol/s, Dolomite SI=+0.0162 fails; at 0.0015 mol/s all SI values are negative and pH=6.2040.</x:v>
      </x:c>
      <x:c r="N28" s="89" t="str">
        <x:v>Final recommendation: Recommend 66 bar + 0.0015 mol/s HCl. At 66 bar: water 0.36624 kg/s, NaCl 314.77 mg/L, recovery 37.7123% and CP 1.2650. At 0.0012 mol/s, Dolomite SI=+0.0162 fails; at 0.0015 mol/s all SI values are negative and pH=6.2040.</x:v>
      </x:c>
    </x:row>
    <x:row r="29">
      <x:c r="A29" s="189" t="str">
        <x:v>31 wt% HCl L/h</x:v>
      </x:c>
      <x:c r="B29" s="190" t="n">
        <x:f>B28/(31%*1150)</x:f>
        <x:v>0.5522692847124825</x:v>
      </x:c>
      <x:c r="C29" s="189" t="str"/>
      <x:c r="D29" s="1"/>
      <x:c r="E29" s="1"/>
      <x:c r="F29" s="1"/>
      <x:c r="G29" s="1"/>
      <x:c r="H29" s="90" t="str">
        <x:v>Final recommendation: Recommend 66 bar + 0.0015 mol/s HCl. At 66 bar: water 0.36624 kg/s, NaCl 314.77 mg/L, recovery 37.7123% and CP 1.2650. At 0.0012 mol/s, Dolomite SI=+0.0162 fails; at 0.0015 mol/s all SI values are negative and pH=6.2040.</x:v>
      </x:c>
      <x:c r="I29" s="91" t="str">
        <x:v>Final recommendation: Recommend 66 bar + 0.0015 mol/s HCl. At 66 bar: water 0.36624 kg/s, NaCl 314.77 mg/L, recovery 37.7123% and CP 1.2650. At 0.0012 mol/s, Dolomite SI=+0.0162 fails; at 0.0015 mol/s all SI values are negative and pH=6.2040.</x:v>
      </x:c>
      <x:c r="J29" s="91" t="str">
        <x:v>Final recommendation: Recommend 66 bar + 0.0015 mol/s HCl. At 66 bar: water 0.36624 kg/s, NaCl 314.77 mg/L, recovery 37.7123% and CP 1.2650. At 0.0012 mol/s, Dolomite SI=+0.0162 fails; at 0.0015 mol/s all SI values are negative and pH=6.2040.</x:v>
      </x:c>
      <x:c r="K29" s="91" t="str">
        <x:v>Final recommendation: Recommend 66 bar + 0.0015 mol/s HCl. At 66 bar: water 0.36624 kg/s, NaCl 314.77 mg/L, recovery 37.7123% and CP 1.2650. At 0.0012 mol/s, Dolomite SI=+0.0162 fails; at 0.0015 mol/s all SI values are negative and pH=6.2040.</x:v>
      </x:c>
      <x:c r="L29" s="91" t="str">
        <x:v>Final recommendation: Recommend 66 bar + 0.0015 mol/s HCl. At 66 bar: water 0.36624 kg/s, NaCl 314.77 mg/L, recovery 37.7123% and CP 1.2650. At 0.0012 mol/s, Dolomite SI=+0.0162 fails; at 0.0015 mol/s all SI values are negative and pH=6.2040.</x:v>
      </x:c>
      <x:c r="M29" s="91" t="str">
        <x:v>Final recommendation: Recommend 66 bar + 0.0015 mol/s HCl. At 66 bar: water 0.36624 kg/s, NaCl 314.77 mg/L, recovery 37.7123% and CP 1.2650. At 0.0012 mol/s, Dolomite SI=+0.0162 fails; at 0.0015 mol/s all SI values are negative and pH=6.2040.</x:v>
      </x:c>
      <x:c r="N29" s="92" t="str">
        <x:v>Final recommendation: Recommend 66 bar + 0.0015 mol/s HCl. At 66 bar: water 0.36624 kg/s, NaCl 314.77 mg/L, recovery 37.7123% and CP 1.2650. At 0.0012 mol/s, Dolomite SI=+0.0162 fails; at 0.0015 mol/s all SI values are negative and pH=6.2040.</x:v>
      </x:c>
    </x:row>
    <x:row r="30">
      <x:c r="A30" s="1"/>
      <x:c r="B30" s="1"/>
      <x:c r="C30" s="1"/>
      <x:c r="D30" s="1"/>
      <x:c r="E30" s="1"/>
      <x:c r="F30" s="1"/>
      <x:c r="G30" s="1"/>
      <x:c r="H30" s="1"/>
      <x:c r="I30" s="1"/>
      <x:c r="J30" s="1"/>
      <x:c r="K30" s="1"/>
      <x:c r="L30" s="1"/>
      <x:c r="M30" s="1"/>
      <x:c r="N30" s="1"/>
    </x:row>
    <x:row r="31">
      <x:c r="A31" s="37" t="str">
        <x:v>Model scope and audit note</x:v>
      </x:c>
      <x:c r="B31" s="37" t="str">
        <x:v>Model scope and audit note</x:v>
      </x:c>
      <x:c r="C31" s="37" t="str">
        <x:v>Model scope and audit note</x:v>
      </x:c>
      <x:c r="D31" s="37" t="str">
        <x:v>Model scope and audit note</x:v>
      </x:c>
      <x:c r="E31" s="37" t="str">
        <x:v>Model scope and audit note</x:v>
      </x:c>
      <x:c r="F31" s="37" t="str">
        <x:v>Model scope and audit note</x:v>
      </x:c>
      <x:c r="G31" s="37" t="str">
        <x:v>Model scope and audit note</x:v>
      </x:c>
      <x:c r="H31" s="37" t="str">
        <x:v>Model scope and audit note</x:v>
      </x:c>
      <x:c r="I31" s="37" t="str">
        <x:v>Model scope and audit note</x:v>
      </x:c>
      <x:c r="J31" s="37" t="str">
        <x:v>Model scope and audit note</x:v>
      </x:c>
      <x:c r="K31" s="37" t="str">
        <x:v>Model scope and audit note</x:v>
      </x:c>
      <x:c r="L31" s="37" t="str">
        <x:v>Model scope and audit note</x:v>
      </x:c>
      <x:c r="M31" s="37" t="str">
        <x:v>Model scope and audit note</x:v>
      </x:c>
      <x:c r="N31" s="37" t="str">
        <x:v>Model scope and audit note</x:v>
      </x:c>
    </x:row>
    <x:row r="32">
      <x:c r="A32" s="143"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2"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2" s="145"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3">
      <x:c r="A33"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3"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3"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4">
      <x:c r="A34"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4"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4"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5">
      <x:c r="A35" s="149"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5"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5" s="151"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A8:J8"/>
    <x:mergeCell ref="A17:J17"/>
    <x:mergeCell ref="A26:F26"/>
    <x:mergeCell ref="H26:N26"/>
    <x:mergeCell ref="H27:N29"/>
    <x:mergeCell ref="A31:N31"/>
    <x:mergeCell ref="A32:N35"/>
  </x:mergeCells>
  <x:pageMargins left="0.7" right="0.7" top="0.75" bottom="0.75" header="0.3" footer="0.3"/>
  <x:drawing xmlns:r="http://schemas.openxmlformats.org/officeDocument/2006/relationships" r:id="Rf82931c7a8bb4c85"/>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D6_6b-N01 | Trajectory rubric (100 points)</x:v>
      </x:c>
      <x:c r="B1" s="6" t="str">
        <x:v>D6_6b-N01 | Trajectory rubric (100 points)</x:v>
      </x:c>
      <x:c r="C1" s="6" t="str">
        <x:v>D6_6b-N01 | Trajectory rubric (100 points)</x:v>
      </x:c>
      <x:c r="D1" s="6" t="str">
        <x:v>D6_6b-N01 | Trajectory rubric (100 points)</x:v>
      </x:c>
      <x:c r="E1" s="6" t="str">
        <x:v>D6_6b-N01 | Trajectory rubric (100 points)</x:v>
      </x:c>
      <x:c r="F1" s="6" t="str">
        <x:v>D6_6b-N01 | Trajectory rubric (100 points)</x:v>
      </x:c>
      <x:c r="G1" s="6" t="str">
        <x:v>D6_6b-N01 | Trajectory rubric (100 points)</x:v>
      </x:c>
      <x:c r="H1" s="6" t="str">
        <x:v>D6_6b-N01 | Trajectory rubric (100 points)</x:v>
      </x:c>
      <x:c r="I1" s="6" t="str">
        <x:v>D6_6b-N01 | Trajectory rubric (100 points)</x:v>
      </x:c>
      <x:c r="J1" s="6" t="str">
        <x:v>D6_6b-N01 | Trajectory rubric (100 points)</x:v>
      </x:c>
      <x:c r="K1" s="6" t="str">
        <x:v>D6_6b-N01 | Trajectory rubric (100 points)</x:v>
      </x:c>
      <x:c r="L1" s="6" t="str">
        <x:v>D6_6b-N01 | Trajectory rubric (100 points)</x:v>
      </x:c>
      <x:c r="M1" s="6" t="str">
        <x:v>D6_6b-N01 | Trajectory rubric (100 points)</x:v>
      </x:c>
      <x:c r="N1" s="6" t="str">
        <x:v>D6_6b-N01 | Trajectory rubric (100 points)</x:v>
      </x:c>
    </x:row>
    <x:row r="2" ht="28" customHeight="1">
      <x:c r="A2" s="6" t="str">
        <x:v>D6_6b-N01 | Trajectory rubric (100 points)</x:v>
      </x:c>
      <x:c r="B2" s="6" t="str">
        <x:v>D6_6b-N01 | Trajectory rubric (100 points)</x:v>
      </x:c>
      <x:c r="C2" s="6" t="str">
        <x:v>D6_6b-N01 | Trajectory rubric (100 points)</x:v>
      </x:c>
      <x:c r="D2" s="6" t="str">
        <x:v>D6_6b-N01 | Trajectory rubric (100 points)</x:v>
      </x:c>
      <x:c r="E2" s="6" t="str">
        <x:v>D6_6b-N01 | Trajectory rubric (100 points)</x:v>
      </x:c>
      <x:c r="F2" s="6" t="str">
        <x:v>D6_6b-N01 | Trajectory rubric (100 points)</x:v>
      </x:c>
      <x:c r="G2" s="6" t="str">
        <x:v>D6_6b-N01 | Trajectory rubric (100 points)</x:v>
      </x:c>
      <x:c r="H2" s="6" t="str">
        <x:v>D6_6b-N01 | Trajectory rubric (100 points)</x:v>
      </x:c>
      <x:c r="I2" s="6" t="str">
        <x:v>D6_6b-N01 | Trajectory rubric (100 points)</x:v>
      </x:c>
      <x:c r="J2" s="6" t="str">
        <x:v>D6_6b-N01 | Trajectory rubric (100 points)</x:v>
      </x:c>
      <x:c r="K2" s="6" t="str">
        <x:v>D6_6b-N01 | Trajectory rubric (100 points)</x:v>
      </x:c>
      <x:c r="L2" s="6" t="str">
        <x:v>D6_6b-N01 | Trajectory rubric (100 points)</x:v>
      </x:c>
      <x:c r="M2" s="6" t="str">
        <x:v>D6_6b-N01 | Trajectory rubric (100 points)</x:v>
      </x:c>
      <x:c r="N2" s="6" t="str">
        <x:v>D6_6b-N01 | Trajectory rubric (100 points)</x:v>
      </x:c>
    </x:row>
    <x:row r="3">
      <x:c r="A3" s="1"/>
      <x:c r="B3" s="1"/>
      <x:c r="C3" s="1"/>
      <x:c r="D3" s="1"/>
      <x:c r="E3" s="1"/>
      <x:c r="F3" s="1"/>
      <x:c r="G3" s="1"/>
      <x:c r="H3" s="1"/>
      <x:c r="I3" s="1"/>
      <x:c r="J3" s="1"/>
      <x:c r="K3" s="1"/>
      <x:c r="L3" s="1"/>
      <x:c r="M3" s="1"/>
      <x:c r="N3" s="1"/>
    </x:row>
    <x:row r="4">
      <x:c r="A4" s="147" t="str">
        <x:v>Score the complete state-plan-tool-call-observation-update-branch-verification-stop trajectory. Correct serial transfer is central; a guessed final setting is not sufficient.</x:v>
      </x:c>
      <x:c r="B4" s="147" t="str">
        <x:v>Score the complete state-plan-tool-call-observation-update-branch-verification-stop trajectory. Correct serial transfer is central; a guessed final setting is not sufficient.</x:v>
      </x:c>
      <x:c r="C4" s="147" t="str">
        <x:v>Score the complete state-plan-tool-call-observation-update-branch-verification-stop trajectory. Correct serial transfer is central; a guessed final setting is not sufficient.</x:v>
      </x:c>
      <x:c r="D4" s="147" t="str">
        <x:v>Score the complete state-plan-tool-call-observation-update-branch-verification-stop trajectory. Correct serial transfer is central; a guessed final setting is not sufficient.</x:v>
      </x:c>
      <x:c r="E4" s="147" t="str">
        <x:v>Score the complete state-plan-tool-call-observation-update-branch-verification-stop trajectory. Correct serial transfer is central; a guessed final setting is not sufficient.</x:v>
      </x:c>
      <x:c r="F4" s="147" t="str">
        <x:v>Score the complete state-plan-tool-call-observation-update-branch-verification-stop trajectory. Correct serial transfer is central; a guessed final setting is not sufficient.</x:v>
      </x:c>
      <x:c r="G4" s="147" t="str">
        <x:v>Score the complete state-plan-tool-call-observation-update-branch-verification-stop trajectory. Correct serial transfer is central; a guessed final setting is not sufficient.</x:v>
      </x:c>
      <x:c r="H4" s="147" t="str">
        <x:v>Score the complete state-plan-tool-call-observation-update-branch-verification-stop trajectory. Correct serial transfer is central; a guessed final setting is not sufficient.</x:v>
      </x:c>
      <x:c r="I4" s="147" t="str">
        <x:v>Score the complete state-plan-tool-call-observation-update-branch-verification-stop trajectory. Correct serial transfer is central; a guessed final setting is not sufficient.</x:v>
      </x:c>
      <x:c r="J4" s="147" t="str">
        <x:v>Score the complete state-plan-tool-call-observation-update-branch-verification-stop trajectory. Correct serial transfer is central; a guessed final setting is not sufficient.</x:v>
      </x:c>
      <x:c r="K4" s="147" t="str">
        <x:v>Score the complete state-plan-tool-call-observation-update-branch-verification-stop trajectory. Correct serial transfer is central; a guessed final setting is not sufficient.</x:v>
      </x:c>
      <x:c r="L4" s="147" t="str">
        <x:v>Score the complete state-plan-tool-call-observation-update-branch-verification-stop trajectory. Correct serial transfer is central; a guessed final setting is not sufficient.</x:v>
      </x:c>
      <x:c r="M4" s="147" t="str">
        <x:v>Score the complete state-plan-tool-call-observation-update-branch-verification-stop trajectory. Correct serial transfer is central; a guessed final setting is not sufficient.</x:v>
      </x:c>
      <x:c r="N4" s="147" t="str">
        <x:v>Score the complete state-plan-tool-call-observation-update-branch-verification-stop trajectory. Correct serial transfer is central; a guessed final setting is not sufficient.</x:v>
      </x:c>
    </x:row>
    <x:row r="5">
      <x:c r="A5" s="147" t="str">
        <x:v>Score the complete state-plan-tool-call-observation-update-branch-verification-stop trajectory. Correct serial transfer is central; a guessed final setting is not sufficient.</x:v>
      </x:c>
      <x:c r="B5" s="147" t="str">
        <x:v>Score the complete state-plan-tool-call-observation-update-branch-verification-stop trajectory. Correct serial transfer is central; a guessed final setting is not sufficient.</x:v>
      </x:c>
      <x:c r="C5" s="147" t="str">
        <x:v>Score the complete state-plan-tool-call-observation-update-branch-verification-stop trajectory. Correct serial transfer is central; a guessed final setting is not sufficient.</x:v>
      </x:c>
      <x:c r="D5" s="147" t="str">
        <x:v>Score the complete state-plan-tool-call-observation-update-branch-verification-stop trajectory. Correct serial transfer is central; a guessed final setting is not sufficient.</x:v>
      </x:c>
      <x:c r="E5" s="147" t="str">
        <x:v>Score the complete state-plan-tool-call-observation-update-branch-verification-stop trajectory. Correct serial transfer is central; a guessed final setting is not sufficient.</x:v>
      </x:c>
      <x:c r="F5" s="147" t="str">
        <x:v>Score the complete state-plan-tool-call-observation-update-branch-verification-stop trajectory. Correct serial transfer is central; a guessed final setting is not sufficient.</x:v>
      </x:c>
      <x:c r="G5" s="147" t="str">
        <x:v>Score the complete state-plan-tool-call-observation-update-branch-verification-stop trajectory. Correct serial transfer is central; a guessed final setting is not sufficient.</x:v>
      </x:c>
      <x:c r="H5" s="147" t="str">
        <x:v>Score the complete state-plan-tool-call-observation-update-branch-verification-stop trajectory. Correct serial transfer is central; a guessed final setting is not sufficient.</x:v>
      </x:c>
      <x:c r="I5" s="147" t="str">
        <x:v>Score the complete state-plan-tool-call-observation-update-branch-verification-stop trajectory. Correct serial transfer is central; a guessed final setting is not sufficient.</x:v>
      </x:c>
      <x:c r="J5" s="147" t="str">
        <x:v>Score the complete state-plan-tool-call-observation-update-branch-verification-stop trajectory. Correct serial transfer is central; a guessed final setting is not sufficient.</x:v>
      </x:c>
      <x:c r="K5" s="147" t="str">
        <x:v>Score the complete state-plan-tool-call-observation-update-branch-verification-stop trajectory. Correct serial transfer is central; a guessed final setting is not sufficient.</x:v>
      </x:c>
      <x:c r="L5" s="147" t="str">
        <x:v>Score the complete state-plan-tool-call-observation-update-branch-verification-stop trajectory. Correct serial transfer is central; a guessed final setting is not sufficient.</x:v>
      </x:c>
      <x:c r="M5" s="147" t="str">
        <x:v>Score the complete state-plan-tool-call-observation-update-branch-verification-stop trajectory. Correct serial transfer is central; a guessed final setting is not sufficient.</x:v>
      </x:c>
      <x:c r="N5" s="147" t="str">
        <x:v>Score the complete state-plan-tool-call-observation-update-branch-verification-stop trajectory. Correct serial transfer is central; a guessed final setting is not sufficient.</x:v>
      </x:c>
    </x:row>
    <x:row r="6">
      <x:c r="A6" s="147" t="str">
        <x:v>Score the complete state-plan-tool-call-observation-update-branch-verification-stop trajectory. Correct serial transfer is central; a guessed final setting is not sufficient.</x:v>
      </x:c>
      <x:c r="B6" s="147" t="str">
        <x:v>Score the complete state-plan-tool-call-observation-update-branch-verification-stop trajectory. Correct serial transfer is central; a guessed final setting is not sufficient.</x:v>
      </x:c>
      <x:c r="C6" s="147" t="str">
        <x:v>Score the complete state-plan-tool-call-observation-update-branch-verification-stop trajectory. Correct serial transfer is central; a guessed final setting is not sufficient.</x:v>
      </x:c>
      <x:c r="D6" s="147" t="str">
        <x:v>Score the complete state-plan-tool-call-observation-update-branch-verification-stop trajectory. Correct serial transfer is central; a guessed final setting is not sufficient.</x:v>
      </x:c>
      <x:c r="E6" s="147" t="str">
        <x:v>Score the complete state-plan-tool-call-observation-update-branch-verification-stop trajectory. Correct serial transfer is central; a guessed final setting is not sufficient.</x:v>
      </x:c>
      <x:c r="F6" s="147" t="str">
        <x:v>Score the complete state-plan-tool-call-observation-update-branch-verification-stop trajectory. Correct serial transfer is central; a guessed final setting is not sufficient.</x:v>
      </x:c>
      <x:c r="G6" s="147" t="str">
        <x:v>Score the complete state-plan-tool-call-observation-update-branch-verification-stop trajectory. Correct serial transfer is central; a guessed final setting is not sufficient.</x:v>
      </x:c>
      <x:c r="H6" s="147" t="str">
        <x:v>Score the complete state-plan-tool-call-observation-update-branch-verification-stop trajectory. Correct serial transfer is central; a guessed final setting is not sufficient.</x:v>
      </x:c>
      <x:c r="I6" s="147" t="str">
        <x:v>Score the complete state-plan-tool-call-observation-update-branch-verification-stop trajectory. Correct serial transfer is central; a guessed final setting is not sufficient.</x:v>
      </x:c>
      <x:c r="J6" s="147" t="str">
        <x:v>Score the complete state-plan-tool-call-observation-update-branch-verification-stop trajectory. Correct serial transfer is central; a guessed final setting is not sufficient.</x:v>
      </x:c>
      <x:c r="K6" s="147" t="str">
        <x:v>Score the complete state-plan-tool-call-observation-update-branch-verification-stop trajectory. Correct serial transfer is central; a guessed final setting is not sufficient.</x:v>
      </x:c>
      <x:c r="L6" s="147" t="str">
        <x:v>Score the complete state-plan-tool-call-observation-update-branch-verification-stop trajectory. Correct serial transfer is central; a guessed final setting is not sufficient.</x:v>
      </x:c>
      <x:c r="M6" s="147" t="str">
        <x:v>Score the complete state-plan-tool-call-observation-update-branch-verification-stop trajectory. Correct serial transfer is central; a guessed final setting is not sufficient.</x:v>
      </x:c>
      <x:c r="N6" s="147" t="str">
        <x:v>Score the complete state-plan-tool-call-observation-update-branch-verification-stop trajectory. Correct serial transfer is central; a guessed final setting is not sufficient.</x:v>
      </x:c>
    </x:row>
    <x:row r="7">
      <x:c r="A7" s="1"/>
      <x:c r="B7" s="1"/>
      <x:c r="C7" s="1"/>
      <x:c r="D7" s="1"/>
      <x:c r="E7" s="1"/>
      <x:c r="F7" s="1"/>
      <x:c r="G7" s="1"/>
      <x:c r="H7" s="1"/>
      <x:c r="I7" s="1"/>
      <x:c r="J7" s="1"/>
      <x:c r="K7" s="1"/>
      <x:c r="L7" s="1"/>
      <x:c r="M7" s="1"/>
      <x:c r="N7" s="1"/>
    </x:row>
    <x:row r="8">
      <x:c r="A8" s="183" t="str">
        <x:v>Dimension</x:v>
      </x:c>
      <x:c r="B8" s="183" t="str">
        <x:v>Focus</x:v>
      </x:c>
      <x:c r="C8" s="183" t="str">
        <x:v>Full-credit evidence</x:v>
      </x:c>
      <x:c r="D8" s="183" t="str">
        <x:v>Partial</x:v>
      </x:c>
      <x:c r="E8" s="183" t="str">
        <x:v>Critical failure</x:v>
      </x:c>
      <x:c r="F8" s="183" t="str">
        <x:v>Weight</x:v>
      </x:c>
      <x:c r="G8" s="183" t="str"/>
      <x:c r="H8" s="183" t="str"/>
      <x:c r="I8" s="183" t="str"/>
      <x:c r="J8" s="183" t="str"/>
      <x:c r="K8" s="183" t="str"/>
      <x:c r="L8" s="183" t="str"/>
      <x:c r="M8" s="183" t="str"/>
      <x:c r="N8" s="183" t="str"/>
    </x:row>
    <x:row r="9" ht="54" customHeight="1">
      <x:c r="A9" s="187" t="str">
        <x:v>TQ1 Formulation</x:v>
      </x:c>
      <x:c r="B9" s="187" t="str">
        <x:v>Recognizes two-stage constraints</x:v>
      </x:c>
      <x:c r="C9" s="187" t="str">
        <x:v>States stage order, units and objective.</x:v>
      </x:c>
      <x:c r="D9" s="187" t="str">
        <x:v>One secondary omission.</x:v>
      </x:c>
      <x:c r="E9" s="187" t="str">
        <x:v>Treats the two models as independent.</x:v>
      </x:c>
      <x:c r="F9" s="187" t="n">
        <x:v>15</x:v>
      </x:c>
      <x:c r="G9" s="187" t="str"/>
      <x:c r="H9" s="187" t="str"/>
      <x:c r="I9" s="187" t="str"/>
      <x:c r="J9" s="187" t="str"/>
      <x:c r="K9" s="187" t="str"/>
      <x:c r="L9" s="187" t="str"/>
      <x:c r="M9" s="187" t="str"/>
      <x:c r="N9" s="187" t="str"/>
    </x:row>
    <x:row r="10" ht="54" customHeight="1">
      <x:c r="A10" s="187" t="str">
        <x:v>TQ2 Stage-1 fidelity</x:v>
      </x:c>
      <x:c r="B10" s="187" t="str">
        <x:v>ro</x:v>
      </x:c>
      <x:c r="C10" s="187" t="str">
        <x:v>Runs the full Stage-1 grid with consistent inputs.</x:v>
      </x:c>
      <x:c r="D10" s="187" t="str">
        <x:v>Minor transcription issue.</x:v>
      </x:c>
      <x:c r="E10" s="187" t="str">
        <x:v>Changes non-target variables silently.</x:v>
      </x:c>
      <x:c r="F10" s="187" t="n">
        <x:v>15</x:v>
      </x:c>
      <x:c r="G10" s="187" t="str"/>
      <x:c r="H10" s="187" t="str"/>
      <x:c r="I10" s="187" t="str"/>
      <x:c r="J10" s="187" t="str"/>
      <x:c r="K10" s="187" t="str"/>
      <x:c r="L10" s="187" t="str"/>
      <x:c r="M10" s="187" t="str"/>
      <x:c r="N10" s="187" t="str"/>
    </x:row>
    <x:row r="11" ht="54" customHeight="1">
      <x:c r="A11" s="187" t="str">
        <x:v>TQ3 Boundary logic</x:v>
      </x:c>
      <x:c r="B11" s="187" t="str">
        <x:v>Pass/fail boundary</x:v>
      </x:c>
      <x:c r="C11" s="187" t="str">
        <x:v>Shows adjacent failure and first/last feasible point.</x:v>
      </x:c>
      <x:c r="D11" s="187" t="str">
        <x:v>Limited boundary evidence.</x:v>
      </x:c>
      <x:c r="E11" s="187" t="str">
        <x:v>Selects by one metric only.</x:v>
      </x:c>
      <x:c r="F11" s="187" t="n">
        <x:v>15</x:v>
      </x:c>
      <x:c r="G11" s="187" t="str"/>
      <x:c r="H11" s="187" t="str"/>
      <x:c r="I11" s="187" t="str"/>
      <x:c r="J11" s="187" t="str"/>
      <x:c r="K11" s="187" t="str"/>
      <x:c r="L11" s="187" t="str"/>
      <x:c r="M11" s="187" t="str"/>
      <x:c r="N11" s="187" t="str"/>
    </x:row>
    <x:row r="12" ht="54" customHeight="1">
      <x:c r="A12" s="187" t="str">
        <x:v>TQ4 Serial coupling</x:v>
      </x:c>
      <x:c r="B12" s="187" t="str">
        <x:v>Lineage transfer</x:v>
      </x:c>
      <x:c r="C12" s="187" t="str">
        <x:v>Transfers actual recovery or survivor configuration exactly.</x:v>
      </x:c>
      <x:c r="D12" s="187" t="str">
        <x:v>Rounded but non-decisive transfer.</x:v>
      </x:c>
      <x:c r="E12" s="187" t="str">
        <x:v>Uses target recovery or resets configuration.</x:v>
      </x:c>
      <x:c r="F12" s="187" t="n">
        <x:v>20</x:v>
      </x:c>
      <x:c r="G12" s="187" t="str"/>
      <x:c r="H12" s="187" t="str"/>
      <x:c r="I12" s="187" t="str"/>
      <x:c r="J12" s="187" t="str"/>
      <x:c r="K12" s="187" t="str"/>
      <x:c r="L12" s="187" t="str"/>
      <x:c r="M12" s="187" t="str"/>
      <x:c r="N12" s="187" t="str"/>
    </x:row>
    <x:row r="13" ht="54" customHeight="1">
      <x:c r="A13" s="187" t="str">
        <x:v>TQ5 Stage-2 verification</x:v>
      </x:c>
      <x:c r="B13" s="187" t="str">
        <x:v>eq</x:v>
      </x:c>
      <x:c r="C13" s="187" t="str">
        <x:v>Evaluates every required dose/state/finalist and all constraints.</x:v>
      </x:c>
      <x:c r="D13" s="187" t="str">
        <x:v>One non-decisive omission.</x:v>
      </x:c>
      <x:c r="E13" s="187" t="str">
        <x:v>Averages away a failed state.</x:v>
      </x:c>
      <x:c r="F13" s="187" t="n">
        <x:v>20</x:v>
      </x:c>
      <x:c r="G13" s="187" t="str"/>
      <x:c r="H13" s="187" t="str"/>
      <x:c r="I13" s="187" t="str"/>
      <x:c r="J13" s="187" t="str"/>
      <x:c r="K13" s="187" t="str"/>
      <x:c r="L13" s="187" t="str"/>
      <x:c r="M13" s="187" t="str"/>
      <x:c r="N13" s="187" t="str"/>
    </x:row>
    <x:row r="14" ht="54" customHeight="1">
      <x:c r="A14" s="187" t="str">
        <x:v>TQ6 Decision and scope</x:v>
      </x:c>
      <x:c r="B14" s="187" t="str">
        <x:v>Final recommendation</x:v>
      </x:c>
      <x:c r="C14" s="187" t="str">
        <x:v>Reports final setting, decisive numbers and model limits.</x:v>
      </x:c>
      <x:c r="D14" s="187" t="str">
        <x:v>Correct setting with weak explanation.</x:v>
      </x:c>
      <x:c r="E14" s="187" t="str">
        <x:v>Wrong setting or unsupported certainty.</x:v>
      </x:c>
      <x:c r="F14" s="187" t="n">
        <x:v>15</x:v>
      </x:c>
      <x:c r="G14" s="187" t="str"/>
      <x:c r="H14" s="187" t="str"/>
      <x:c r="I14" s="187" t="str"/>
      <x:c r="J14" s="187" t="str"/>
      <x:c r="K14" s="187" t="str"/>
      <x:c r="L14" s="187" t="str"/>
      <x:c r="M14" s="187" t="str"/>
      <x:c r="N14" s="187" t="str"/>
    </x:row>
    <x:row r="15">
      <x:c r="A15" s="1"/>
      <x:c r="B15" s="1"/>
      <x:c r="C15" s="1"/>
      <x:c r="D15" s="1"/>
      <x:c r="E15" s="1"/>
      <x:c r="F15" s="1"/>
      <x:c r="G15" s="1"/>
      <x:c r="H15" s="1"/>
      <x:c r="I15" s="1"/>
      <x:c r="J15" s="1"/>
      <x:c r="K15" s="1"/>
      <x:c r="L15" s="1"/>
      <x:c r="M15" s="1"/>
      <x:c r="N15" s="1"/>
    </x:row>
    <x:row r="16">
      <x:c r="A16" s="37" t="str">
        <x:v>Gold Answer anchors</x:v>
      </x:c>
      <x:c r="B16" s="37" t="str">
        <x:v>Gold Answer anchors</x:v>
      </x:c>
      <x:c r="C16" s="37" t="str">
        <x:v>Gold Answer anchors</x:v>
      </x:c>
      <x:c r="D16" s="37" t="str">
        <x:v>Gold Answer anchors</x:v>
      </x:c>
      <x:c r="E16" s="37" t="str">
        <x:v>Gold Answer anchors</x:v>
      </x:c>
      <x:c r="F16" s="37" t="str">
        <x:v>Gold Answer anchors</x:v>
      </x:c>
      <x:c r="G16" s="37" t="str">
        <x:v>Gold Answer anchors</x:v>
      </x:c>
      <x:c r="H16" s="37" t="str">
        <x:v>Gold Answer anchors</x:v>
      </x:c>
      <x:c r="I16" s="37" t="str">
        <x:v>Gold Answer anchors</x:v>
      </x:c>
      <x:c r="J16" s="37" t="str">
        <x:v>Gold Answer anchors</x:v>
      </x:c>
      <x:c r="K16" s="37" t="str">
        <x:v>Gold Answer anchors</x:v>
      </x:c>
      <x:c r="L16" s="37" t="str">
        <x:v>Gold Answer anchors</x:v>
      </x:c>
      <x:c r="M16" s="37" t="str">
        <x:v>Gold Answer anchors</x:v>
      </x:c>
      <x:c r="N16" s="37" t="str">
        <x:v>Gold Answer anchors</x:v>
      </x:c>
    </x:row>
    <x:row r="17">
      <x:c r="A17" s="125" t="str">
        <x:v>Stage-1 recommendation</x:v>
      </x:c>
      <x:c r="B17" s="125" t="str">
        <x:v>P66</x:v>
      </x:c>
      <x:c r="C17" s="125" t="str"/>
      <x:c r="D17" s="125" t="str"/>
      <x:c r="E17" s="125" t="str"/>
      <x:c r="F17" s="125" t="str"/>
      <x:c r="G17" s="125" t="str"/>
      <x:c r="H17" s="125" t="str"/>
      <x:c r="I17" s="125" t="str"/>
      <x:c r="J17" s="125" t="str"/>
      <x:c r="K17" s="125" t="str"/>
      <x:c r="L17" s="125" t="str"/>
      <x:c r="M17" s="125" t="str"/>
      <x:c r="N17" s="125" t="str"/>
    </x:row>
    <x:row r="18">
      <x:c r="A18" s="125" t="str">
        <x:v>Stage-2 recommendation</x:v>
      </x:c>
      <x:c r="B18" s="125" t="str">
        <x:v>D0.0015</x:v>
      </x:c>
      <x:c r="C18" s="125" t="str"/>
      <x:c r="D18" s="125" t="str"/>
      <x:c r="E18" s="125" t="str"/>
      <x:c r="F18" s="125" t="str"/>
      <x:c r="G18" s="125" t="str"/>
      <x:c r="H18" s="125" t="str"/>
      <x:c r="I18" s="125" t="str"/>
      <x:c r="J18" s="125" t="str"/>
      <x:c r="K18" s="125" t="str"/>
      <x:c r="L18" s="125" t="str"/>
      <x:c r="M18" s="125" t="str"/>
      <x:c r="N18" s="125" t="str"/>
    </x:row>
    <x:row r="19">
      <x:c r="A19" s="125" t="str">
        <x:v>Simulator pair</x:v>
      </x:c>
      <x:c r="B19" s="125" t="str">
        <x:v>simulate_ro → equilibrate_feed</x:v>
      </x:c>
      <x:c r="C19" s="125" t="str"/>
      <x:c r="D19" s="125" t="str"/>
      <x:c r="E19" s="125" t="str"/>
      <x:c r="F19" s="125" t="str"/>
      <x:c r="G19" s="125" t="str"/>
      <x:c r="H19" s="125" t="str"/>
      <x:c r="I19" s="125" t="str"/>
      <x:c r="J19" s="125" t="str"/>
      <x:c r="K19" s="125" t="str"/>
      <x:c r="L19" s="125" t="str"/>
      <x:c r="M19" s="125" t="str"/>
      <x:c r="N19" s="125" t="str"/>
    </x:row>
    <x:row r="20">
      <x:c r="A20" s="125" t="str">
        <x:v>Stage-1 calls</x:v>
      </x:c>
      <x:c r="B20" s="125" t="n">
        <x:v>6</x:v>
      </x:c>
      <x:c r="C20" s="125" t="str"/>
      <x:c r="D20" s="125" t="str"/>
      <x:c r="E20" s="125" t="str"/>
      <x:c r="F20" s="125" t="str"/>
      <x:c r="G20" s="125" t="str"/>
      <x:c r="H20" s="125" t="str"/>
      <x:c r="I20" s="125" t="str"/>
      <x:c r="J20" s="125" t="str"/>
      <x:c r="K20" s="125" t="str"/>
      <x:c r="L20" s="125" t="str"/>
      <x:c r="M20" s="125" t="str"/>
      <x:c r="N20" s="125" t="str"/>
    </x:row>
    <x:row r="21">
      <x:c r="A21" s="125" t="str">
        <x:v>Stage-2 calls</x:v>
      </x:c>
      <x:c r="B21" s="125" t="n">
        <x:v>6</x:v>
      </x:c>
      <x:c r="C21" s="125" t="str"/>
      <x:c r="D21" s="125" t="str"/>
      <x:c r="E21" s="125" t="str"/>
      <x:c r="F21" s="125" t="str"/>
      <x:c r="G21" s="125" t="str"/>
      <x:c r="H21" s="125" t="str"/>
      <x:c r="I21" s="125" t="str"/>
      <x:c r="J21" s="125" t="str"/>
      <x:c r="K21" s="125" t="str"/>
      <x:c r="L21" s="125" t="str"/>
      <x:c r="M21" s="125" t="str"/>
      <x:c r="N21" s="125" t="str"/>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G8:N8"/>
    <x:mergeCell ref="G9:N9"/>
    <x:mergeCell ref="G10:N10"/>
    <x:mergeCell ref="G11:N11"/>
    <x:mergeCell ref="G12:N12"/>
    <x:mergeCell ref="G13:N13"/>
    <x:mergeCell ref="G14:N14"/>
    <x:mergeCell ref="A16:N16"/>
    <x:mergeCell ref="C17:N17"/>
    <x:mergeCell ref="C18:N18"/>
    <x:mergeCell ref="C19:N19"/>
    <x:mergeCell ref="C20:N20"/>
    <x:mergeCell ref="C21:N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D6_6b-N01 | Tool efficiency (100 points)</x:v>
      </x:c>
      <x:c r="B1" s="6" t="str">
        <x:v>D6_6b-N01 | Tool efficiency (100 points)</x:v>
      </x:c>
      <x:c r="C1" s="6" t="str">
        <x:v>D6_6b-N01 | Tool efficiency (100 points)</x:v>
      </x:c>
      <x:c r="D1" s="6" t="str">
        <x:v>D6_6b-N01 | Tool efficiency (100 points)</x:v>
      </x:c>
      <x:c r="E1" s="6" t="str">
        <x:v>D6_6b-N01 | Tool efficiency (100 points)</x:v>
      </x:c>
      <x:c r="F1" s="6" t="str">
        <x:v>D6_6b-N01 | Tool efficiency (100 points)</x:v>
      </x:c>
      <x:c r="G1" s="6" t="str">
        <x:v>D6_6b-N01 | Tool efficiency (100 points)</x:v>
      </x:c>
      <x:c r="H1" s="6" t="str">
        <x:v>D6_6b-N01 | Tool efficiency (100 points)</x:v>
      </x:c>
      <x:c r="I1" s="6" t="str">
        <x:v>D6_6b-N01 | Tool efficiency (100 points)</x:v>
      </x:c>
      <x:c r="J1" s="6" t="str">
        <x:v>D6_6b-N01 | Tool efficiency (100 points)</x:v>
      </x:c>
      <x:c r="K1" s="6" t="str">
        <x:v>D6_6b-N01 | Tool efficiency (100 points)</x:v>
      </x:c>
      <x:c r="L1" s="6" t="str">
        <x:v>D6_6b-N01 | Tool efficiency (100 points)</x:v>
      </x:c>
      <x:c r="M1" s="6" t="str">
        <x:v>D6_6b-N01 | Tool efficiency (100 points)</x:v>
      </x:c>
      <x:c r="N1" s="6" t="str">
        <x:v>D6_6b-N01 | Tool efficiency (100 points)</x:v>
      </x:c>
    </x:row>
    <x:row r="2" ht="28" customHeight="1">
      <x:c r="A2" s="6" t="str">
        <x:v>D6_6b-N01 | Tool efficiency (100 points)</x:v>
      </x:c>
      <x:c r="B2" s="6" t="str">
        <x:v>D6_6b-N01 | Tool efficiency (100 points)</x:v>
      </x:c>
      <x:c r="C2" s="6" t="str">
        <x:v>D6_6b-N01 | Tool efficiency (100 points)</x:v>
      </x:c>
      <x:c r="D2" s="6" t="str">
        <x:v>D6_6b-N01 | Tool efficiency (100 points)</x:v>
      </x:c>
      <x:c r="E2" s="6" t="str">
        <x:v>D6_6b-N01 | Tool efficiency (100 points)</x:v>
      </x:c>
      <x:c r="F2" s="6" t="str">
        <x:v>D6_6b-N01 | Tool efficiency (100 points)</x:v>
      </x:c>
      <x:c r="G2" s="6" t="str">
        <x:v>D6_6b-N01 | Tool efficiency (100 points)</x:v>
      </x:c>
      <x:c r="H2" s="6" t="str">
        <x:v>D6_6b-N01 | Tool efficiency (100 points)</x:v>
      </x:c>
      <x:c r="I2" s="6" t="str">
        <x:v>D6_6b-N01 | Tool efficiency (100 points)</x:v>
      </x:c>
      <x:c r="J2" s="6" t="str">
        <x:v>D6_6b-N01 | Tool efficiency (100 points)</x:v>
      </x:c>
      <x:c r="K2" s="6" t="str">
        <x:v>D6_6b-N01 | Tool efficiency (100 points)</x:v>
      </x:c>
      <x:c r="L2" s="6" t="str">
        <x:v>D6_6b-N01 | Tool efficiency (100 points)</x:v>
      </x:c>
      <x:c r="M2" s="6" t="str">
        <x:v>D6_6b-N01 | Tool efficiency (100 points)</x:v>
      </x:c>
      <x:c r="N2" s="6" t="str">
        <x:v>D6_6b-N01 | Tool efficiency (100 points)</x:v>
      </x:c>
    </x:row>
    <x:row r="3">
      <x:c r="A3" s="1"/>
      <x:c r="B3" s="1"/>
      <x:c r="C3" s="1"/>
      <x:c r="D3" s="1"/>
      <x:c r="E3" s="1"/>
      <x:c r="F3" s="1"/>
      <x:c r="G3" s="1"/>
      <x:c r="H3" s="1"/>
      <x:c r="I3" s="1"/>
      <x:c r="J3" s="1"/>
      <x:c r="K3" s="1"/>
      <x:c r="L3" s="1"/>
      <x:c r="M3" s="1"/>
      <x:c r="N3" s="1"/>
    </x:row>
    <x:row r="4">
      <x:c r="A4" s="147" t="str">
        <x:v>Reference trajectory: 6 Stage-1 calls + 6 Stage-2 calls. Efficiency means every call changes the next decision boundary, not merely fewer calls.</x:v>
      </x:c>
      <x:c r="B4" s="147" t="str">
        <x:v>Reference trajectory: 6 Stage-1 calls + 6 Stage-2 calls. Efficiency means every call changes the next decision boundary, not merely fewer calls.</x:v>
      </x:c>
      <x:c r="C4" s="147" t="str">
        <x:v>Reference trajectory: 6 Stage-1 calls + 6 Stage-2 calls. Efficiency means every call changes the next decision boundary, not merely fewer calls.</x:v>
      </x:c>
      <x:c r="D4" s="147" t="str">
        <x:v>Reference trajectory: 6 Stage-1 calls + 6 Stage-2 calls. Efficiency means every call changes the next decision boundary, not merely fewer calls.</x:v>
      </x:c>
      <x:c r="E4" s="147" t="str">
        <x:v>Reference trajectory: 6 Stage-1 calls + 6 Stage-2 calls. Efficiency means every call changes the next decision boundary, not merely fewer calls.</x:v>
      </x:c>
      <x:c r="F4" s="147" t="str">
        <x:v>Reference trajectory: 6 Stage-1 calls + 6 Stage-2 calls. Efficiency means every call changes the next decision boundary, not merely fewer calls.</x:v>
      </x:c>
      <x:c r="G4" s="147" t="str">
        <x:v>Reference trajectory: 6 Stage-1 calls + 6 Stage-2 calls. Efficiency means every call changes the next decision boundary, not merely fewer calls.</x:v>
      </x:c>
      <x:c r="H4" s="147" t="str">
        <x:v>Reference trajectory: 6 Stage-1 calls + 6 Stage-2 calls. Efficiency means every call changes the next decision boundary, not merely fewer calls.</x:v>
      </x:c>
      <x:c r="I4" s="147" t="str">
        <x:v>Reference trajectory: 6 Stage-1 calls + 6 Stage-2 calls. Efficiency means every call changes the next decision boundary, not merely fewer calls.</x:v>
      </x:c>
      <x:c r="J4" s="147" t="str">
        <x:v>Reference trajectory: 6 Stage-1 calls + 6 Stage-2 calls. Efficiency means every call changes the next decision boundary, not merely fewer calls.</x:v>
      </x:c>
      <x:c r="K4" s="147" t="str">
        <x:v>Reference trajectory: 6 Stage-1 calls + 6 Stage-2 calls. Efficiency means every call changes the next decision boundary, not merely fewer calls.</x:v>
      </x:c>
      <x:c r="L4" s="147" t="str">
        <x:v>Reference trajectory: 6 Stage-1 calls + 6 Stage-2 calls. Efficiency means every call changes the next decision boundary, not merely fewer calls.</x:v>
      </x:c>
      <x:c r="M4" s="147" t="str">
        <x:v>Reference trajectory: 6 Stage-1 calls + 6 Stage-2 calls. Efficiency means every call changes the next decision boundary, not merely fewer calls.</x:v>
      </x:c>
      <x:c r="N4" s="147" t="str">
        <x:v>Reference trajectory: 6 Stage-1 calls + 6 Stage-2 calls. Efficiency means every call changes the next decision boundary, not merely fewer calls.</x:v>
      </x:c>
    </x:row>
    <x:row r="5">
      <x:c r="A5" s="147" t="str">
        <x:v>Reference trajectory: 6 Stage-1 calls + 6 Stage-2 calls. Efficiency means every call changes the next decision boundary, not merely fewer calls.</x:v>
      </x:c>
      <x:c r="B5" s="147" t="str">
        <x:v>Reference trajectory: 6 Stage-1 calls + 6 Stage-2 calls. Efficiency means every call changes the next decision boundary, not merely fewer calls.</x:v>
      </x:c>
      <x:c r="C5" s="147" t="str">
        <x:v>Reference trajectory: 6 Stage-1 calls + 6 Stage-2 calls. Efficiency means every call changes the next decision boundary, not merely fewer calls.</x:v>
      </x:c>
      <x:c r="D5" s="147" t="str">
        <x:v>Reference trajectory: 6 Stage-1 calls + 6 Stage-2 calls. Efficiency means every call changes the next decision boundary, not merely fewer calls.</x:v>
      </x:c>
      <x:c r="E5" s="147" t="str">
        <x:v>Reference trajectory: 6 Stage-1 calls + 6 Stage-2 calls. Efficiency means every call changes the next decision boundary, not merely fewer calls.</x:v>
      </x:c>
      <x:c r="F5" s="147" t="str">
        <x:v>Reference trajectory: 6 Stage-1 calls + 6 Stage-2 calls. Efficiency means every call changes the next decision boundary, not merely fewer calls.</x:v>
      </x:c>
      <x:c r="G5" s="147" t="str">
        <x:v>Reference trajectory: 6 Stage-1 calls + 6 Stage-2 calls. Efficiency means every call changes the next decision boundary, not merely fewer calls.</x:v>
      </x:c>
      <x:c r="H5" s="147" t="str">
        <x:v>Reference trajectory: 6 Stage-1 calls + 6 Stage-2 calls. Efficiency means every call changes the next decision boundary, not merely fewer calls.</x:v>
      </x:c>
      <x:c r="I5" s="147" t="str">
        <x:v>Reference trajectory: 6 Stage-1 calls + 6 Stage-2 calls. Efficiency means every call changes the next decision boundary, not merely fewer calls.</x:v>
      </x:c>
      <x:c r="J5" s="147" t="str">
        <x:v>Reference trajectory: 6 Stage-1 calls + 6 Stage-2 calls. Efficiency means every call changes the next decision boundary, not merely fewer calls.</x:v>
      </x:c>
      <x:c r="K5" s="147" t="str">
        <x:v>Reference trajectory: 6 Stage-1 calls + 6 Stage-2 calls. Efficiency means every call changes the next decision boundary, not merely fewer calls.</x:v>
      </x:c>
      <x:c r="L5" s="147" t="str">
        <x:v>Reference trajectory: 6 Stage-1 calls + 6 Stage-2 calls. Efficiency means every call changes the next decision boundary, not merely fewer calls.</x:v>
      </x:c>
      <x:c r="M5" s="147" t="str">
        <x:v>Reference trajectory: 6 Stage-1 calls + 6 Stage-2 calls. Efficiency means every call changes the next decision boundary, not merely fewer calls.</x:v>
      </x:c>
      <x:c r="N5" s="147" t="str">
        <x:v>Reference trajectory: 6 Stage-1 calls + 6 Stage-2 calls. Efficiency means every call changes the next decision boundary, not merely fewer calls.</x:v>
      </x:c>
    </x:row>
    <x:row r="6">
      <x:c r="A6" s="147" t="str">
        <x:v>Reference trajectory: 6 Stage-1 calls + 6 Stage-2 calls. Efficiency means every call changes the next decision boundary, not merely fewer calls.</x:v>
      </x:c>
      <x:c r="B6" s="147" t="str">
        <x:v>Reference trajectory: 6 Stage-1 calls + 6 Stage-2 calls. Efficiency means every call changes the next decision boundary, not merely fewer calls.</x:v>
      </x:c>
      <x:c r="C6" s="147" t="str">
        <x:v>Reference trajectory: 6 Stage-1 calls + 6 Stage-2 calls. Efficiency means every call changes the next decision boundary, not merely fewer calls.</x:v>
      </x:c>
      <x:c r="D6" s="147" t="str">
        <x:v>Reference trajectory: 6 Stage-1 calls + 6 Stage-2 calls. Efficiency means every call changes the next decision boundary, not merely fewer calls.</x:v>
      </x:c>
      <x:c r="E6" s="147" t="str">
        <x:v>Reference trajectory: 6 Stage-1 calls + 6 Stage-2 calls. Efficiency means every call changes the next decision boundary, not merely fewer calls.</x:v>
      </x:c>
      <x:c r="F6" s="147" t="str">
        <x:v>Reference trajectory: 6 Stage-1 calls + 6 Stage-2 calls. Efficiency means every call changes the next decision boundary, not merely fewer calls.</x:v>
      </x:c>
      <x:c r="G6" s="147" t="str">
        <x:v>Reference trajectory: 6 Stage-1 calls + 6 Stage-2 calls. Efficiency means every call changes the next decision boundary, not merely fewer calls.</x:v>
      </x:c>
      <x:c r="H6" s="147" t="str">
        <x:v>Reference trajectory: 6 Stage-1 calls + 6 Stage-2 calls. Efficiency means every call changes the next decision boundary, not merely fewer calls.</x:v>
      </x:c>
      <x:c r="I6" s="147" t="str">
        <x:v>Reference trajectory: 6 Stage-1 calls + 6 Stage-2 calls. Efficiency means every call changes the next decision boundary, not merely fewer calls.</x:v>
      </x:c>
      <x:c r="J6" s="147" t="str">
        <x:v>Reference trajectory: 6 Stage-1 calls + 6 Stage-2 calls. Efficiency means every call changes the next decision boundary, not merely fewer calls.</x:v>
      </x:c>
      <x:c r="K6" s="147" t="str">
        <x:v>Reference trajectory: 6 Stage-1 calls + 6 Stage-2 calls. Efficiency means every call changes the next decision boundary, not merely fewer calls.</x:v>
      </x:c>
      <x:c r="L6" s="147" t="str">
        <x:v>Reference trajectory: 6 Stage-1 calls + 6 Stage-2 calls. Efficiency means every call changes the next decision boundary, not merely fewer calls.</x:v>
      </x:c>
      <x:c r="M6" s="147" t="str">
        <x:v>Reference trajectory: 6 Stage-1 calls + 6 Stage-2 calls. Efficiency means every call changes the next decision boundary, not merely fewer calls.</x:v>
      </x:c>
      <x:c r="N6" s="147" t="str">
        <x:v>Reference trajectory: 6 Stage-1 calls + 6 Stage-2 calls. Efficiency means every call changes the next decision boundary, not merely fewer calls.</x:v>
      </x:c>
    </x:row>
    <x:row r="7">
      <x:c r="A7" s="1"/>
      <x:c r="B7" s="1"/>
      <x:c r="C7" s="1"/>
      <x:c r="D7" s="1"/>
      <x:c r="E7" s="1"/>
      <x:c r="F7" s="1"/>
      <x:c r="G7" s="1"/>
      <x:c r="H7" s="1"/>
      <x:c r="I7" s="1"/>
      <x:c r="J7" s="1"/>
      <x:c r="K7" s="1"/>
      <x:c r="L7" s="1"/>
      <x:c r="M7" s="1"/>
      <x:c r="N7" s="1"/>
    </x:row>
    <x:row r="8">
      <x:c r="A8" s="183" t="str">
        <x:v>Stage</x:v>
      </x:c>
      <x:c r="B8" s="183" t="str">
        <x:v>Tool</x:v>
      </x:c>
      <x:c r="C8" s="183" t="str">
        <x:v>Calls</x:v>
      </x:c>
      <x:c r="D8" s="183" t="str">
        <x:v>Key input</x:v>
      </x:c>
      <x:c r="E8" s="183" t="str">
        <x:v>Key observation</x:v>
      </x:c>
      <x:c r="F8" s="183" t="str">
        <x:v>State update</x:v>
      </x:c>
      <x:c r="G8" s="183" t="str">
        <x:v>Next step</x:v>
      </x:c>
      <x:c r="H8" s="183" t="str"/>
      <x:c r="I8" s="183" t="str"/>
      <x:c r="J8" s="183" t="str"/>
      <x:c r="K8" s="183" t="str"/>
      <x:c r="L8" s="183" t="str"/>
      <x:c r="M8" s="183" t="str"/>
      <x:c r="N8" s="183" t="str"/>
    </x:row>
    <x:row r="9" ht="52" customHeight="1">
      <x:c r="A9" s="187" t="str">
        <x:v>1 Metadata</x:v>
      </x:c>
      <x:c r="B9" s="187" t="str">
        <x:v>describe_*</x:v>
      </x:c>
      <x:c r="C9" s="187" t="n">
        <x:v>0</x:v>
      </x:c>
      <x:c r="D9" s="187" t="str">
        <x:v>Units, species and parameter scope</x:v>
      </x:c>
      <x:c r="E9" s="187" t="str">
        <x:v>Confirm valid inputs</x:v>
      </x:c>
      <x:c r="F9" s="187" t="str">
        <x:v>Lock the candidate table</x:v>
      </x:c>
      <x:c r="G9" s="187" t="str">
        <x:v>Run Stage 1</x:v>
      </x:c>
      <x:c r="H9" s="187" t="str"/>
      <x:c r="I9" s="187" t="str"/>
      <x:c r="J9" s="187" t="str"/>
      <x:c r="K9" s="187" t="str"/>
      <x:c r="L9" s="187" t="str"/>
      <x:c r="M9" s="187" t="str"/>
      <x:c r="N9" s="187" t="str"/>
    </x:row>
    <x:row r="10" ht="52" customHeight="1">
      <x:c r="A10" s="187" t="str">
        <x:v>2 Stage 1</x:v>
      </x:c>
      <x:c r="B10" s="187" t="str">
        <x:v>simulate_ro</x:v>
      </x:c>
      <x:c r="C10" s="187" t="n">
        <x:v>6</x:v>
      </x:c>
      <x:c r="D10" s="187" t="str">
        <x:v>Vary only declared design variables</x:v>
      </x:c>
      <x:c r="E10" s="187" t="str">
        <x:v>Locate pass/fail boundary</x:v>
      </x:c>
      <x:c r="F10" s="187" t="str">
        <x:v>Keep survivors or actual recovery</x:v>
      </x:c>
      <x:c r="G10" s="187" t="str">
        <x:v>Transfer lineage</x:v>
      </x:c>
      <x:c r="H10" s="187" t="str"/>
      <x:c r="I10" s="187" t="str"/>
      <x:c r="J10" s="187" t="str"/>
      <x:c r="K10" s="187" t="str"/>
      <x:c r="L10" s="187" t="str"/>
      <x:c r="M10" s="187" t="str"/>
      <x:c r="N10" s="187" t="str"/>
    </x:row>
    <x:row r="11" ht="52" customHeight="1">
      <x:c r="A11" s="187" t="str">
        <x:v>3 Coupling</x:v>
      </x:c>
      <x:c r="B11" s="187" t="str">
        <x:v>—</x:v>
      </x:c>
      <x:c r="C11" s="187" t="n">
        <x:v>0</x:v>
      </x:c>
      <x:c r="D11" s="187" t="str">
        <x:v>Stage-1 IDs and exact outputs</x:v>
      </x:c>
      <x:c r="E11" s="187" t="str">
        <x:v>No target-value substitution</x:v>
      </x:c>
      <x:c r="F11" s="187" t="str">
        <x:v>Create Stage-2 inputs</x:v>
      </x:c>
      <x:c r="G11" s="187" t="str">
        <x:v>Run Stage 2</x:v>
      </x:c>
      <x:c r="H11" s="187" t="str"/>
      <x:c r="I11" s="187" t="str"/>
      <x:c r="J11" s="187" t="str"/>
      <x:c r="K11" s="187" t="str"/>
      <x:c r="L11" s="187" t="str"/>
      <x:c r="M11" s="187" t="str"/>
      <x:c r="N11" s="187" t="str"/>
    </x:row>
    <x:row r="12" ht="52" customHeight="1">
      <x:c r="A12" s="187" t="str">
        <x:v>4 Stage 2</x:v>
      </x:c>
      <x:c r="B12" s="187" t="str">
        <x:v>equilibrate_feed</x:v>
      </x:c>
      <x:c r="C12" s="187" t="n">
        <x:v>6</x:v>
      </x:c>
      <x:c r="D12" s="187" t="str">
        <x:v>Inherited recovery/configuration</x:v>
      </x:c>
      <x:c r="E12" s="187" t="str">
        <x:v>Evaluate all second-stage constraints</x:v>
      </x:c>
      <x:c r="F12" s="187" t="str">
        <x:v>Lock final feasible set</x:v>
      </x:c>
      <x:c r="G12" s="187" t="str">
        <x:v>Check adjacent failures</x:v>
      </x:c>
      <x:c r="H12" s="187" t="str"/>
      <x:c r="I12" s="187" t="str"/>
      <x:c r="J12" s="187" t="str"/>
      <x:c r="K12" s="187" t="str"/>
      <x:c r="L12" s="187" t="str"/>
      <x:c r="M12" s="187" t="str"/>
      <x:c r="N12" s="187" t="str"/>
    </x:row>
    <x:row r="13" ht="52" customHeight="1">
      <x:c r="A13" s="187" t="str">
        <x:v>5 Stop</x:v>
      </x:c>
      <x:c r="B13" s="187" t="str">
        <x:v>—</x:v>
      </x:c>
      <x:c r="C13" s="187" t="n">
        <x:v>0</x:v>
      </x:c>
      <x:c r="D13" s="187" t="str">
        <x:v>Winner plus failure evidence</x:v>
      </x:c>
      <x:c r="E13" s="187" t="str">
        <x:v>No unresolved boundary</x:v>
      </x:c>
      <x:c r="F13" s="187" t="str">
        <x:v>Report recommendation and limits</x:v>
      </x:c>
      <x:c r="G13" s="187" t="str">
        <x:v>Stop</x:v>
      </x:c>
      <x:c r="H13" s="187" t="str"/>
      <x:c r="I13" s="187" t="str"/>
      <x:c r="J13" s="187" t="str"/>
      <x:c r="K13" s="187" t="str"/>
      <x:c r="L13" s="187" t="str"/>
      <x:c r="M13" s="187" t="str"/>
      <x:c r="N13" s="187" t="str"/>
    </x:row>
    <x:row r="14">
      <x:c r="A14" s="1"/>
      <x:c r="B14" s="1"/>
      <x:c r="C14" s="1"/>
      <x:c r="D14" s="1"/>
      <x:c r="E14" s="1"/>
      <x:c r="F14" s="1"/>
      <x:c r="G14" s="1"/>
      <x:c r="H14" s="1"/>
      <x:c r="I14" s="1"/>
      <x:c r="J14" s="1"/>
      <x:c r="K14" s="1"/>
      <x:c r="L14" s="1"/>
      <x:c r="M14" s="1"/>
      <x:c r="N14" s="1"/>
    </x:row>
    <x:row r="15">
      <x:c r="A15" s="1"/>
      <x:c r="B15" s="1"/>
      <x:c r="C15" s="1"/>
      <x:c r="D15" s="1"/>
      <x:c r="E15" s="1"/>
      <x:c r="F15" s="1"/>
      <x:c r="G15" s="1"/>
      <x:c r="H15" s="1"/>
      <x:c r="I15" s="1"/>
      <x:c r="J15" s="1"/>
      <x:c r="K15" s="1"/>
      <x:c r="L15" s="1"/>
      <x:c r="M15" s="1"/>
      <x:c r="N15" s="1"/>
    </x:row>
    <x:row r="16">
      <x:c r="A16" s="37" t="str">
        <x:v>Serial trajectory audit</x:v>
      </x:c>
      <x:c r="B16" s="37" t="str">
        <x:v>Serial trajectory audit</x:v>
      </x:c>
      <x:c r="C16" s="37" t="str">
        <x:v>Serial trajectory audit</x:v>
      </x:c>
      <x:c r="D16" s="37" t="str">
        <x:v>Serial trajectory audit</x:v>
      </x:c>
      <x:c r="E16" s="37" t="str">
        <x:v>Serial trajectory audit</x:v>
      </x:c>
      <x:c r="F16" s="37" t="str">
        <x:v>Serial trajectory audit</x:v>
      </x:c>
      <x:c r="G16" s="37" t="str">
        <x:v>Serial trajectory audit</x:v>
      </x:c>
      <x:c r="H16" s="37" t="str">
        <x:v>Serial trajectory audit</x:v>
      </x:c>
      <x:c r="I16" s="37" t="str">
        <x:v>Serial trajectory audit</x:v>
      </x:c>
      <x:c r="J16" s="37" t="str">
        <x:v>Serial trajectory audit</x:v>
      </x:c>
      <x:c r="K16" s="37" t="str">
        <x:v>Serial trajectory audit</x:v>
      </x:c>
      <x:c r="L16" s="37" t="str">
        <x:v>Serial trajectory audit</x:v>
      </x:c>
      <x:c r="M16" s="37" t="str">
        <x:v>Serial trajectory audit</x:v>
      </x:c>
      <x:c r="N16" s="37" t="str">
        <x:v>Serial trajectory audit</x:v>
      </x:c>
    </x:row>
    <x:row r="17">
      <x:c r="A17" s="84"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7" s="86"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8">
      <x:c r="A18"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8"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9">
      <x:c r="A19"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9"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0">
      <x:c r="A20" s="90"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20" s="92"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1">
      <x:c r="A21" s="1"/>
      <x:c r="B21" s="1"/>
      <x:c r="C21" s="1"/>
      <x:c r="D21" s="1"/>
      <x:c r="E21" s="1"/>
      <x:c r="F21" s="1"/>
      <x:c r="G21" s="1"/>
      <x:c r="H21" s="1"/>
      <x:c r="I21" s="1"/>
      <x:c r="J21" s="1"/>
      <x:c r="K21" s="1"/>
      <x:c r="L21" s="1"/>
      <x:c r="M21" s="1"/>
      <x:c r="N21" s="1"/>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H8:N8"/>
    <x:mergeCell ref="H9:N9"/>
    <x:mergeCell ref="H10:N10"/>
    <x:mergeCell ref="H11:N11"/>
    <x:mergeCell ref="H12:N12"/>
    <x:mergeCell ref="H13:N13"/>
    <x:mergeCell ref="A16:N16"/>
    <x:mergeCell ref="A17:N20"/>
  </x:mergeCells>
  <x:pageMargins left="0.7" right="0.7" top="0.75" bottom="0.75" header="0.3" footer="0.3"/>
</x:worksheet>
</file>