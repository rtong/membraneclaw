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74771416fb4e5b" /></Relationships>
</file>

<file path=xl/workbook.xml><?xml version="1.0" encoding="utf-8"?>
<x:workbook xmlns:x="http://schemas.openxmlformats.org/spreadsheetml/2006/main">
  <x:sheets>
    <x:sheet xmlns:r="http://schemas.openxmlformats.org/officeDocument/2006/relationships" name="Question_Q" sheetId="1" r:id="Rcc5e37a3800742a0"/>
    <x:sheet xmlns:r="http://schemas.openxmlformats.org/officeDocument/2006/relationships" name="Gold_Answer_A" sheetId="2" r:id="R5dade42963bc4d91"/>
    <x:sheet xmlns:r="http://schemas.openxmlformats.org/officeDocument/2006/relationships" name="Trajectory_Rubric" sheetId="3" r:id="R4766144022d14977"/>
    <x:sheet xmlns:r="http://schemas.openxmlformats.org/officeDocument/2006/relationships" name="Tool_Efficiency" sheetId="4" r:id="R5c13da0d89404e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6">
    <x:font>
      <x:sz val="11"/>
      <x:name val="Carlito"/>
    </x:font>
    <x:font>
      <x:sz val="10"/>
      <x:color rgb="FF24364B"/>
      <x:name val="Aptos"/>
    </x:font>
    <x:font>
      <x:b/>
      <x:sz val="18"/>
      <x:color rgb="FFFFFFFF"/>
      <x:name val="Aptos"/>
    </x:font>
    <x:font>
      <x:b/>
      <x:sz val="11"/>
      <x:color rgb="FFFFFFFF"/>
      <x:name val="Aptos"/>
    </x:font>
    <x:font>
      <x:b/>
      <x:sz val="10"/>
      <x:color rgb="FF24364B"/>
      <x:name val="Aptos"/>
    </x:font>
    <x:font>
      <x:b/>
      <x:sz val="10"/>
      <x:color rgb="FF244A76"/>
      <x:name val="Aptos"/>
    </x:font>
  </x:fonts>
  <x:fills count="9">
    <x:fill>
      <x:patternFill patternType="none"/>
    </x:fill>
    <x:fill>
      <x:patternFill patternType="gray125"/>
    </x:fill>
    <x:fill>
      <x:patternFill patternType="solid">
        <x:fgColor rgb="FF244A76"/>
      </x:patternFill>
    </x:fill>
    <x:fill>
      <x:patternFill patternType="solid">
        <x:fgColor rgb="FFFFF2CC"/>
      </x:patternFill>
    </x:fill>
    <x:fill>
      <x:patternFill patternType="solid">
        <x:fgColor rgb="FF2F75B5"/>
      </x:patternFill>
    </x:fill>
    <x:fill>
      <x:patternFill patternType="solid">
        <x:fgColor rgb="FFF3F6FA"/>
      </x:patternFill>
    </x:fill>
    <x:fill>
      <x:patternFill patternType="solid">
        <x:fgColor rgb="FFE2F0D9"/>
      </x:patternFill>
    </x:fill>
    <x:fill>
      <x:patternFill patternType="solid">
        <x:fgColor rgb="FFDDEBF7"/>
      </x:patternFill>
    </x:fill>
    <x:fill>
      <x:patternFill patternType="solid">
        <x:fgColor rgb="FFF4B183"/>
      </x:patternFill>
    </x:fill>
  </x:fills>
  <x:borders count="10">
    <x:border/>
    <x:border>
      <x:left style="thin">
        <x:color rgb="FFB4C7E7"/>
      </x:left>
      <x:top style="thin">
        <x:color rgb="FFB4C7E7"/>
      </x:top>
    </x:border>
    <x:border>
      <x:top style="thin">
        <x:color rgb="FFB4C7E7"/>
      </x:top>
    </x:border>
    <x:border>
      <x:right style="thin">
        <x:color rgb="FFB4C7E7"/>
      </x:right>
      <x:top style="thin">
        <x:color rgb="FFB4C7E7"/>
      </x:top>
    </x:border>
    <x:border>
      <x:left style="thin">
        <x:color rgb="FFB4C7E7"/>
      </x:left>
    </x:border>
    <x:border>
      <x:right style="thin">
        <x:color rgb="FFB4C7E7"/>
      </x:right>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
      <x:left style="thin">
        <x:color rgb="FFB4C7E7"/>
      </x:left>
      <x:right style="thin">
        <x:color rgb="FFB4C7E7"/>
      </x:right>
      <x:top style="thin">
        <x:color rgb="FFB4C7E7"/>
      </x:top>
      <x:bottom style="thin">
        <x:color rgb="FFB4C7E7"/>
      </x:bottom>
    </x:border>
  </x:borders>
  <x:cellStyleXfs count="1">
    <x:xf numFmtId="0" fontId="0" fillId="0" borderId="0"/>
  </x:cellStyleXfs>
  <x:cellXfs count="13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1" fillId="3" borderId="7" xfId="0" applyNumberFormat="1" applyFont="1" applyFill="1" applyBorder="1"/>
    <x:xf numFmtId="0" fontId="1" fillId="3" borderId="8" xfId="0" applyNumberFormat="1" applyFont="1" applyFill="1" applyBorder="1"/>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6" xfId="0" applyNumberFormat="1" applyFont="1" applyFill="1" applyBorder="1" applyAlignment="1">
      <x:alignment wrapText="1"/>
    </x:xf>
    <x:xf numFmtId="0" fontId="1" fillId="3" borderId="7" xfId="0" applyNumberFormat="1" applyFont="1" applyFill="1" applyBorder="1" applyAlignment="1">
      <x:alignment wrapText="1"/>
    </x:xf>
    <x:xf numFmtId="0" fontId="1" fillId="3" borderId="8" xfId="0" applyNumberFormat="1" applyFont="1" applyFill="1" applyBorder="1" applyAlignment="1">
      <x:alignment wrapText="1"/>
    </x:xf>
    <x:xf numFmtId="0" fontId="1" fillId="3" borderId="1"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1" fillId="5" borderId="0" xfId="0" applyNumberFormat="1" applyFont="1" applyFill="1" applyBorder="1"/>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4" xfId="0" applyNumberFormat="1" applyFont="1" applyFill="1" applyBorder="1"/>
    <x:xf numFmtId="0" fontId="4" fillId="6" borderId="5"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4"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7"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1" fillId="7" borderId="0" xfId="0" applyNumberFormat="1" applyFont="1" applyFill="1" applyBorder="1"/>
    <x:xf numFmtId="0" fontId="1" fillId="7" borderId="1" xfId="0" applyNumberFormat="1" applyFont="1" applyFill="1" applyBorder="1"/>
    <x:xf numFmtId="0" fontId="1" fillId="7" borderId="2" xfId="0" applyNumberFormat="1" applyFont="1" applyFill="1" applyBorder="1"/>
    <x:xf numFmtId="0" fontId="1" fillId="7" borderId="3" xfId="0" applyNumberFormat="1" applyFont="1" applyFill="1" applyBorder="1"/>
    <x:xf numFmtId="0" fontId="1" fillId="7" borderId="4" xfId="0" applyNumberFormat="1" applyFont="1" applyFill="1" applyBorder="1"/>
    <x:xf numFmtId="0" fontId="1" fillId="7" borderId="5" xfId="0" applyNumberFormat="1" applyFont="1" applyFill="1" applyBorder="1"/>
    <x:xf numFmtId="0" fontId="1" fillId="7" borderId="6" xfId="0" applyNumberFormat="1" applyFont="1" applyFill="1" applyBorder="1"/>
    <x:xf numFmtId="0" fontId="1" fillId="7" borderId="7" xfId="0" applyNumberFormat="1" applyFont="1" applyFill="1" applyBorder="1"/>
    <x:xf numFmtId="0" fontId="1" fillId="7" borderId="8" xfId="0" applyNumberFormat="1" applyFont="1" applyFill="1" applyBorder="1"/>
    <x:xf numFmtId="0" fontId="1" fillId="7" borderId="1" xfId="0" applyNumberFormat="1" applyFont="1" applyFill="1" applyBorder="1" applyAlignment="1">
      <x:alignment wrapText="1"/>
    </x:xf>
    <x:xf numFmtId="0" fontId="1" fillId="7" borderId="2" xfId="0" applyNumberFormat="1" applyFont="1" applyFill="1" applyBorder="1" applyAlignment="1">
      <x:alignment wrapText="1"/>
    </x:xf>
    <x:xf numFmtId="0" fontId="1" fillId="7" borderId="3" xfId="0" applyNumberFormat="1" applyFont="1" applyFill="1" applyBorder="1" applyAlignment="1">
      <x:alignment wrapText="1"/>
    </x:xf>
    <x:xf numFmtId="0" fontId="1" fillId="7" borderId="4"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5" xfId="0" applyNumberFormat="1" applyFont="1" applyFill="1" applyBorder="1" applyAlignment="1">
      <x:alignment wrapText="1"/>
    </x:xf>
    <x:xf numFmtId="0" fontId="1" fillId="7" borderId="6" xfId="0" applyNumberFormat="1" applyFont="1" applyFill="1" applyBorder="1" applyAlignment="1">
      <x:alignment wrapText="1"/>
    </x:xf>
    <x:xf numFmtId="0" fontId="1" fillId="7" borderId="7" xfId="0" applyNumberFormat="1" applyFont="1" applyFill="1" applyBorder="1" applyAlignment="1">
      <x:alignment wrapText="1"/>
    </x:xf>
    <x:xf numFmtId="0" fontId="1" fillId="7" borderId="8" xfId="0" applyNumberFormat="1" applyFont="1" applyFill="1" applyBorder="1" applyAlignment="1">
      <x:alignment wrapText="1"/>
    </x:xf>
    <x:xf numFmtId="0" fontId="1" fillId="7" borderId="1"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7" borderId="3"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1" fillId="7" borderId="6" xfId="0" applyNumberFormat="1" applyFont="1" applyFill="1" applyBorder="1" applyAlignment="1">
      <x:alignment vertical="top" wrapText="1"/>
    </x:xf>
    <x:xf numFmtId="0" fontId="1" fillId="7" borderId="7" xfId="0" applyNumberFormat="1" applyFont="1" applyFill="1" applyBorder="1" applyAlignment="1">
      <x:alignment vertical="top" wrapText="1"/>
    </x:xf>
    <x:xf numFmtId="0" fontId="1" fillId="7" borderId="8" xfId="0" applyNumberFormat="1" applyFont="1" applyFill="1" applyBorder="1" applyAlignment="1">
      <x:alignment vertical="top" wrapText="1"/>
    </x:xf>
    <x:xf numFmtId="0" fontId="1" fillId="8" borderId="0" xfId="0" applyNumberFormat="1" applyFont="1" applyFill="1" applyBorder="1"/>
    <x:xf numFmtId="0" fontId="5" fillId="8" borderId="0" xfId="0" applyNumberFormat="1" applyFont="1" applyFill="1" applyBorder="1"/>
    <x:xf numFmtId="0" fontId="5" fillId="8" borderId="9" xfId="0" applyNumberFormat="1" applyFont="1" applyFill="1" applyBorder="1"/>
    <x:xf numFmtId="0" fontId="5" fillId="8" borderId="9" xfId="0" applyNumberFormat="1" applyFont="1" applyFill="1" applyBorder="1" applyAlignment="1">
      <x:alignment horizontal="center"/>
    </x:xf>
    <x:xf numFmtId="0" fontId="1" fillId="0" borderId="9" xfId="0" applyNumberFormat="1" applyFont="1" applyFill="1" applyBorder="1"/>
    <x:xf numFmtId="0" fontId="1" fillId="0" borderId="9" xfId="0" applyNumberFormat="1" applyFont="1" applyFill="1" applyBorder="1" applyAlignment="1">
      <x:alignment wrapText="1"/>
    </x:xf>
    <x:xf numFmtId="0" fontId="5" fillId="7" borderId="0" xfId="0" applyNumberFormat="1" applyFont="1" applyFill="1" applyBorder="1"/>
    <x:xf numFmtId="0" fontId="5" fillId="7" borderId="9" xfId="0" applyNumberFormat="1" applyFont="1" applyFill="1" applyBorder="1"/>
    <x:xf numFmtId="0" fontId="5" fillId="7" borderId="9" xfId="0" applyNumberFormat="1" applyFont="1" applyFill="1" applyBorder="1" applyAlignment="1">
      <x:alignment wrapText="1"/>
    </x:xf>
    <x:xf numFmtId="0" fontId="5" fillId="7" borderId="9" xfId="0" applyNumberFormat="1" applyFont="1" applyFill="1" applyBorder="1" applyAlignment="1">
      <x:alignment horizontal="center" wrapText="1"/>
    </x:xf>
    <x:xf numFmtId="0" fontId="5" fillId="7" borderId="9" xfId="0" applyNumberFormat="1" applyFont="1" applyFill="1" applyBorder="1" applyAlignment="1">
      <x:alignment horizontal="center" vertical="center" wrapText="1"/>
    </x:xf>
    <x:xf numFmtId="0" fontId="1" fillId="6" borderId="9" xfId="0" applyNumberFormat="1" applyFont="1" applyFill="1" applyBorder="1"/>
    <x:xf numFmtId="0" fontId="1" fillId="6" borderId="9" xfId="0" applyNumberFormat="1" applyFont="1" applyFill="1" applyBorder="1" applyAlignment="1">
      <x:alignment wrapText="1"/>
    </x:xf>
    <x:xf numFmtId="200" fontId="1" fillId="0" borderId="9" xfId="0" applyNumberFormat="1" applyFont="1" applyFill="1" applyBorder="1" applyAlignment="1">
      <x:alignment wrapText="1"/>
    </x:xf>
    <x:xf numFmtId="200" fontId="1" fillId="6" borderId="9" xfId="0" applyNumberFormat="1" applyFont="1" applyFill="1" applyBorder="1" applyAlignment="1">
      <x:alignment wrapText="1"/>
    </x:xf>
    <x:xf numFmtId="0" fontId="1" fillId="5" borderId="9" xfId="0" applyNumberFormat="1" applyFont="1" applyFill="1" applyBorder="1" applyAlignment="1">
      <x:alignment wrapText="1"/>
    </x:xf>
    <x:xf numFmtId="200" fontId="1" fillId="5"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acd5a497c14599" /><Relationship Type="http://schemas.openxmlformats.org/officeDocument/2006/relationships/theme" Target="/xl/theme/theme1.xml" Id="R277e55926d4940c8" /><Relationship Type="http://schemas.openxmlformats.org/officeDocument/2006/relationships/sharedStrings" Target="/xl/sharedStrings.xml" Id="R7ea79a497852428a" /><Relationship Type="http://schemas.openxmlformats.org/officeDocument/2006/relationships/worksheet" Target="/xl/worksheets/sheet1.xml" Id="Rcc5e37a3800742a0" /><Relationship Type="http://schemas.openxmlformats.org/officeDocument/2006/relationships/worksheet" Target="/xl/worksheets/sheet2.xml" Id="R5dade42963bc4d91" /><Relationship Type="http://schemas.openxmlformats.org/officeDocument/2006/relationships/worksheet" Target="/xl/worksheets/sheet3.xml" Id="R4766144022d14977" /><Relationship Type="http://schemas.openxmlformats.org/officeDocument/2006/relationships/worksheet" Target="/xl/worksheets/sheet4.xml" Id="R5c13da0d89404e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D6_6a-N03 | Lexicographic optimization of aged-membrane restoration, pressure and acidification</x:v>
      </x:c>
      <x:c r="B1" s="6" t="str">
        <x:v>D6_6a-N03 | Lexicographic optimization of aged-membrane restoration, pressure and acidification</x:v>
      </x:c>
      <x:c r="C1" s="6" t="str">
        <x:v>D6_6a-N03 | Lexicographic optimization of aged-membrane restoration, pressure and acidification</x:v>
      </x:c>
      <x:c r="D1" s="6" t="str">
        <x:v>D6_6a-N03 | Lexicographic optimization of aged-membrane restoration, pressure and acidification</x:v>
      </x:c>
      <x:c r="E1" s="6" t="str">
        <x:v>D6_6a-N03 | Lexicographic optimization of aged-membrane restoration, pressure and acidification</x:v>
      </x:c>
      <x:c r="F1" s="6" t="str">
        <x:v>D6_6a-N03 | Lexicographic optimization of aged-membrane restoration, pressure and acidification</x:v>
      </x:c>
      <x:c r="G1" s="6" t="str">
        <x:v>D6_6a-N03 | Lexicographic optimization of aged-membrane restoration, pressure and acidification</x:v>
      </x:c>
      <x:c r="H1" s="6" t="str">
        <x:v>D6_6a-N03 | Lexicographic optimization of aged-membrane restoration, pressure and acidification</x:v>
      </x:c>
      <x:c r="I1" s="6" t="str">
        <x:v>D6_6a-N03 | Lexicographic optimization of aged-membrane restoration, pressure and acidification</x:v>
      </x:c>
      <x:c r="J1" s="6" t="str">
        <x:v>D6_6a-N03 | Lexicographic optimization of aged-membrane restoration, pressure and acidification</x:v>
      </x:c>
      <x:c r="K1" s="6" t="str">
        <x:v>D6_6a-N03 | Lexicographic optimization of aged-membrane restoration, pressure and acidification</x:v>
      </x:c>
      <x:c r="L1" s="6" t="str">
        <x:v>D6_6a-N03 | Lexicographic optimization of aged-membrane restoration, pressure and acidification</x:v>
      </x:c>
      <x:c r="M1" s="6" t="str">
        <x:v>D6_6a-N03 | Lexicographic optimization of aged-membrane restoration, pressure and acidification</x:v>
      </x:c>
      <x:c r="N1" s="6" t="str">
        <x:v>D6_6a-N03 | Lexicographic optimization of aged-membrane restoration, pressure and acidification</x:v>
      </x:c>
    </x:row>
    <x:row r="2" ht="28" customHeight="1">
      <x:c r="A2" s="6" t="str">
        <x:v>D6_6a-N03 | Lexicographic optimization of aged-membrane restoration, pressure and acidification</x:v>
      </x:c>
      <x:c r="B2" s="6" t="str">
        <x:v>D6_6a-N03 | Lexicographic optimization of aged-membrane restoration, pressure and acidification</x:v>
      </x:c>
      <x:c r="C2" s="6" t="str">
        <x:v>D6_6a-N03 | Lexicographic optimization of aged-membrane restoration, pressure and acidification</x:v>
      </x:c>
      <x:c r="D2" s="6" t="str">
        <x:v>D6_6a-N03 | Lexicographic optimization of aged-membrane restoration, pressure and acidification</x:v>
      </x:c>
      <x:c r="E2" s="6" t="str">
        <x:v>D6_6a-N03 | Lexicographic optimization of aged-membrane restoration, pressure and acidification</x:v>
      </x:c>
      <x:c r="F2" s="6" t="str">
        <x:v>D6_6a-N03 | Lexicographic optimization of aged-membrane restoration, pressure and acidification</x:v>
      </x:c>
      <x:c r="G2" s="6" t="str">
        <x:v>D6_6a-N03 | Lexicographic optimization of aged-membrane restoration, pressure and acidification</x:v>
      </x:c>
      <x:c r="H2" s="6" t="str">
        <x:v>D6_6a-N03 | Lexicographic optimization of aged-membrane restoration, pressure and acidification</x:v>
      </x:c>
      <x:c r="I2" s="6" t="str">
        <x:v>D6_6a-N03 | Lexicographic optimization of aged-membrane restoration, pressure and acidification</x:v>
      </x:c>
      <x:c r="J2" s="6" t="str">
        <x:v>D6_6a-N03 | Lexicographic optimization of aged-membrane restoration, pressure and acidification</x:v>
      </x:c>
      <x:c r="K2" s="6" t="str">
        <x:v>D6_6a-N03 | Lexicographic optimization of aged-membrane restoration, pressure and acidification</x:v>
      </x:c>
      <x:c r="L2" s="6" t="str">
        <x:v>D6_6a-N03 | Lexicographic optimization of aged-membrane restoration, pressure and acidification</x:v>
      </x:c>
      <x:c r="M2" s="6" t="str">
        <x:v>D6_6a-N03 | Lexicographic optimization of aged-membrane restoration, pressure and acidification</x:v>
      </x:c>
      <x:c r="N2" s="6" t="str">
        <x:v>D6_6a-N03 | Lexicographic optimization of aged-membrane restoration, pressure and acidification</x:v>
      </x:c>
    </x:row>
    <x:row r="3">
      <x:c r="A3" s="1"/>
      <x:c r="B3" s="1"/>
      <x:c r="C3" s="1"/>
      <x:c r="D3" s="1"/>
      <x:c r="E3" s="1"/>
      <x:c r="F3" s="1"/>
      <x:c r="G3" s="1"/>
      <x:c r="H3" s="1"/>
      <x:c r="I3" s="1"/>
      <x:c r="J3" s="1"/>
      <x:c r="K3" s="1"/>
      <x:c r="L3" s="1"/>
      <x:c r="M3" s="1"/>
      <x:c r="N3" s="1"/>
    </x:row>
    <x:row r="4">
      <x:c r="A4" s="25"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B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C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D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E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F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G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H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I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J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K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L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M4" s="26"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N4" s="27"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row>
    <x:row r="5">
      <x:c r="A5" s="28"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B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C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D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E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F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G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H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I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J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K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L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M5"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N5" s="30"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row>
    <x:row r="6">
      <x:c r="A6" s="28"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B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C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D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E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F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G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H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I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J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K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L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M6" s="29"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N6" s="30"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row>
    <x:row r="7">
      <x:c r="A7" s="31"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B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C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D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E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F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G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H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I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J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K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L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M7" s="32"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c r="N7" s="33" t="str">
        <x:v>A long-serving SWRO train is scheduled for cleaning. Stronger cleaning restores water permeability and salt rejection but increases downtime, chemical exposure and damage risk. Determine the minimum restoration state that meets production and quality, then select pressure and acid dose for that state.</x:v>
      </x:c>
    </x:row>
    <x:row r="8">
      <x:c r="A8" s="1"/>
      <x:c r="B8" s="1"/>
      <x:c r="C8" s="1"/>
      <x:c r="D8" s="1"/>
      <x:c r="E8" s="1"/>
      <x:c r="F8" s="1"/>
      <x:c r="G8" s="1"/>
      <x:c r="H8" s="1"/>
      <x:c r="I8" s="1"/>
      <x:c r="J8" s="1"/>
      <x:c r="K8" s="1"/>
      <x:c r="L8" s="1"/>
      <x:c r="M8" s="1"/>
      <x:c r="N8" s="1"/>
    </x:row>
    <x:row r="9">
      <x:c r="A9" s="36" t="str">
        <x:v>Engineering inputs and design boundary</x:v>
      </x:c>
      <x:c r="B9" s="36" t="str">
        <x:v>Engineering inputs and design boundary</x:v>
      </x:c>
      <x:c r="C9" s="36" t="str">
        <x:v>Engineering inputs and design boundary</x:v>
      </x:c>
      <x:c r="D9" s="36" t="str">
        <x:v>Engineering inputs and design boundary</x:v>
      </x:c>
      <x:c r="E9" s="36" t="str">
        <x:v>Engineering inputs and design boundary</x:v>
      </x:c>
      <x:c r="F9" s="36" t="str">
        <x:v>Engineering inputs and design boundary</x:v>
      </x:c>
      <x:c r="G9" s="1"/>
      <x:c r="H9" s="36" t="str">
        <x:v>Hard constraints and decision rule</x:v>
      </x:c>
      <x:c r="I9" s="36" t="str">
        <x:v>Hard constraints and decision rule</x:v>
      </x:c>
      <x:c r="J9" s="36" t="str">
        <x:v>Hard constraints and decision rule</x:v>
      </x:c>
      <x:c r="K9" s="36" t="str">
        <x:v>Hard constraints and decision rule</x:v>
      </x:c>
      <x:c r="L9" s="36" t="str">
        <x:v>Hard constraints and decision rule</x:v>
      </x:c>
      <x:c r="M9" s="36" t="str">
        <x:v>Hard constraints and decision rule</x:v>
      </x:c>
      <x:c r="N9" s="36" t="str">
        <x:v>Hard constraints and decision rule</x:v>
      </x:c>
    </x:row>
    <x:row r="10">
      <x:c r="A10" s="55" t="str">
        <x:v>Feed is 37 g/kg at 26°C with 68 m² module area; pressure may vary from 66 to 68 bar. Restoration raises A from 3.2×10⁻¹² to 4.0×10⁻¹² m/s/Pa while lowering B from 5.0×10⁻⁸ to 3.4×10⁻⁸ m/s. Construct reproducible restoration-pressure combinations.</x:v>
      </x:c>
      <x:c r="B10" s="56" t="str">
        <x:v>Feed is 37 g/kg at 26°C with 68 m² module area; pressure may vary from 66 to 68 bar. Restoration raises A from 3.2×10⁻¹² to 4.0×10⁻¹² m/s/Pa while lowering B from 5.0×10⁻⁸ to 3.4×10⁻⁸ m/s. Construct reproducible restoration-pressure combinations.</x:v>
      </x:c>
      <x:c r="C10" s="56" t="str">
        <x:v>Feed is 37 g/kg at 26°C with 68 m² module area; pressure may vary from 66 to 68 bar. Restoration raises A from 3.2×10⁻¹² to 4.0×10⁻¹² m/s/Pa while lowering B from 5.0×10⁻⁸ to 3.4×10⁻⁸ m/s. Construct reproducible restoration-pressure combinations.</x:v>
      </x:c>
      <x:c r="D10" s="56" t="str">
        <x:v>Feed is 37 g/kg at 26°C with 68 m² module area; pressure may vary from 66 to 68 bar. Restoration raises A from 3.2×10⁻¹² to 4.0×10⁻¹² m/s/Pa while lowering B from 5.0×10⁻⁸ to 3.4×10⁻⁸ m/s. Construct reproducible restoration-pressure combinations.</x:v>
      </x:c>
      <x:c r="E10" s="56" t="str">
        <x:v>Feed is 37 g/kg at 26°C with 68 m² module area; pressure may vary from 66 to 68 bar. Restoration raises A from 3.2×10⁻¹² to 4.0×10⁻¹² m/s/Pa while lowering B from 5.0×10⁻⁸ to 3.4×10⁻⁸ m/s. Construct reproducible restoration-pressure combinations.</x:v>
      </x:c>
      <x:c r="F10" s="57" t="str">
        <x:v>Feed is 37 g/kg at 26°C with 68 m² module area; pressure may vary from 66 to 68 bar. Restoration raises A from 3.2×10⁻¹² to 4.0×10⁻¹² m/s/Pa while lowering B from 5.0×10⁻⁸ to 3.4×10⁻⁸ m/s. Construct reproducible restoration-pressure combinations.</x:v>
      </x:c>
      <x:c r="G10" s="1"/>
      <x:c r="H10" s="83" t="str">
        <x:v>Module: water≥0.390 kg/s, NaCl≤420 mg/L, CP≤1.33. Plant: product≥0.043 m³/s and SEC≤2.85 kWh/m³. Chemistry: pH≥6.15 and all four SI≤0. Decision order: minimum restoration state, then lowest pressure, then lowest acid dose.</x:v>
      </x:c>
      <x:c r="I10" s="84" t="str">
        <x:v>Module: water≥0.390 kg/s, NaCl≤420 mg/L, CP≤1.33. Plant: product≥0.043 m³/s and SEC≤2.85 kWh/m³. Chemistry: pH≥6.15 and all four SI≤0. Decision order: minimum restoration state, then lowest pressure, then lowest acid dose.</x:v>
      </x:c>
      <x:c r="J10" s="84" t="str">
        <x:v>Module: water≥0.390 kg/s, NaCl≤420 mg/L, CP≤1.33. Plant: product≥0.043 m³/s and SEC≤2.85 kWh/m³. Chemistry: pH≥6.15 and all four SI≤0. Decision order: minimum restoration state, then lowest pressure, then lowest acid dose.</x:v>
      </x:c>
      <x:c r="K10" s="84" t="str">
        <x:v>Module: water≥0.390 kg/s, NaCl≤420 mg/L, CP≤1.33. Plant: product≥0.043 m³/s and SEC≤2.85 kWh/m³. Chemistry: pH≥6.15 and all four SI≤0. Decision order: minimum restoration state, then lowest pressure, then lowest acid dose.</x:v>
      </x:c>
      <x:c r="L10" s="84" t="str">
        <x:v>Module: water≥0.390 kg/s, NaCl≤420 mg/L, CP≤1.33. Plant: product≥0.043 m³/s and SEC≤2.85 kWh/m³. Chemistry: pH≥6.15 and all four SI≤0. Decision order: minimum restoration state, then lowest pressure, then lowest acid dose.</x:v>
      </x:c>
      <x:c r="M10" s="84" t="str">
        <x:v>Module: water≥0.390 kg/s, NaCl≤420 mg/L, CP≤1.33. Plant: product≥0.043 m³/s and SEC≤2.85 kWh/m³. Chemistry: pH≥6.15 and all four SI≤0. Decision order: minimum restoration state, then lowest pressure, then lowest acid dose.</x:v>
      </x:c>
      <x:c r="N10" s="85" t="str">
        <x:v>Module: water≥0.390 kg/s, NaCl≤420 mg/L, CP≤1.33. Plant: product≥0.043 m³/s and SEC≤2.85 kWh/m³. Chemistry: pH≥6.15 and all four SI≤0. Decision order: minimum restoration state, then lowest pressure, then lowest acid dose.</x:v>
      </x:c>
    </x:row>
    <x:row r="11">
      <x:c r="A11" s="58" t="str">
        <x:v>Feed is 37 g/kg at 26°C with 68 m² module area; pressure may vary from 66 to 68 bar. Restoration raises A from 3.2×10⁻¹² to 4.0×10⁻¹² m/s/Pa while lowering B from 5.0×10⁻⁸ to 3.4×10⁻⁸ m/s. Construct reproducible restoration-pressure combinations.</x:v>
      </x:c>
      <x:c r="B11" s="59" t="str">
        <x:v>Feed is 37 g/kg at 26°C with 68 m² module area; pressure may vary from 66 to 68 bar. Restoration raises A from 3.2×10⁻¹² to 4.0×10⁻¹² m/s/Pa while lowering B from 5.0×10⁻⁸ to 3.4×10⁻⁸ m/s. Construct reproducible restoration-pressure combinations.</x:v>
      </x:c>
      <x:c r="C11" s="59" t="str">
        <x:v>Feed is 37 g/kg at 26°C with 68 m² module area; pressure may vary from 66 to 68 bar. Restoration raises A from 3.2×10⁻¹² to 4.0×10⁻¹² m/s/Pa while lowering B from 5.0×10⁻⁸ to 3.4×10⁻⁸ m/s. Construct reproducible restoration-pressure combinations.</x:v>
      </x:c>
      <x:c r="D11" s="59" t="str">
        <x:v>Feed is 37 g/kg at 26°C with 68 m² module area; pressure may vary from 66 to 68 bar. Restoration raises A from 3.2×10⁻¹² to 4.0×10⁻¹² m/s/Pa while lowering B from 5.0×10⁻⁸ to 3.4×10⁻⁸ m/s. Construct reproducible restoration-pressure combinations.</x:v>
      </x:c>
      <x:c r="E11" s="59" t="str">
        <x:v>Feed is 37 g/kg at 26°C with 68 m² module area; pressure may vary from 66 to 68 bar. Restoration raises A from 3.2×10⁻¹² to 4.0×10⁻¹² m/s/Pa while lowering B from 5.0×10⁻⁸ to 3.4×10⁻⁸ m/s. Construct reproducible restoration-pressure combinations.</x:v>
      </x:c>
      <x:c r="F11" s="60" t="str">
        <x:v>Feed is 37 g/kg at 26°C with 68 m² module area; pressure may vary from 66 to 68 bar. Restoration raises A from 3.2×10⁻¹² to 4.0×10⁻¹² m/s/Pa while lowering B from 5.0×10⁻⁸ to 3.4×10⁻⁸ m/s. Construct reproducible restoration-pressure combinations.</x:v>
      </x:c>
      <x:c r="G11" s="1"/>
      <x:c r="H11" s="86" t="str">
        <x:v>Module: water≥0.390 kg/s, NaCl≤420 mg/L, CP≤1.33. Plant: product≥0.043 m³/s and SEC≤2.85 kWh/m³. Chemistry: pH≥6.15 and all four SI≤0. Decision order: minimum restoration state, then lowest pressure, then lowest acid dose.</x:v>
      </x:c>
      <x:c r="I11" s="87" t="str">
        <x:v>Module: water≥0.390 kg/s, NaCl≤420 mg/L, CP≤1.33. Plant: product≥0.043 m³/s and SEC≤2.85 kWh/m³. Chemistry: pH≥6.15 and all four SI≤0. Decision order: minimum restoration state, then lowest pressure, then lowest acid dose.</x:v>
      </x:c>
      <x:c r="J11" s="87" t="str">
        <x:v>Module: water≥0.390 kg/s, NaCl≤420 mg/L, CP≤1.33. Plant: product≥0.043 m³/s and SEC≤2.85 kWh/m³. Chemistry: pH≥6.15 and all four SI≤0. Decision order: minimum restoration state, then lowest pressure, then lowest acid dose.</x:v>
      </x:c>
      <x:c r="K11" s="87" t="str">
        <x:v>Module: water≥0.390 kg/s, NaCl≤420 mg/L, CP≤1.33. Plant: product≥0.043 m³/s and SEC≤2.85 kWh/m³. Chemistry: pH≥6.15 and all four SI≤0. Decision order: minimum restoration state, then lowest pressure, then lowest acid dose.</x:v>
      </x:c>
      <x:c r="L11" s="87" t="str">
        <x:v>Module: water≥0.390 kg/s, NaCl≤420 mg/L, CP≤1.33. Plant: product≥0.043 m³/s and SEC≤2.85 kWh/m³. Chemistry: pH≥6.15 and all four SI≤0. Decision order: minimum restoration state, then lowest pressure, then lowest acid dose.</x:v>
      </x:c>
      <x:c r="M11" s="87" t="str">
        <x:v>Module: water≥0.390 kg/s, NaCl≤420 mg/L, CP≤1.33. Plant: product≥0.043 m³/s and SEC≤2.85 kWh/m³. Chemistry: pH≥6.15 and all four SI≤0. Decision order: minimum restoration state, then lowest pressure, then lowest acid dose.</x:v>
      </x:c>
      <x:c r="N11" s="88" t="str">
        <x:v>Module: water≥0.390 kg/s, NaCl≤420 mg/L, CP≤1.33. Plant: product≥0.043 m³/s and SEC≤2.85 kWh/m³. Chemistry: pH≥6.15 and all four SI≤0. Decision order: minimum restoration state, then lowest pressure, then lowest acid dose.</x:v>
      </x:c>
    </x:row>
    <x:row r="12">
      <x:c r="A12" s="58" t="str">
        <x:v>Feed is 37 g/kg at 26°C with 68 m² module area; pressure may vary from 66 to 68 bar. Restoration raises A from 3.2×10⁻¹² to 4.0×10⁻¹² m/s/Pa while lowering B from 5.0×10⁻⁸ to 3.4×10⁻⁸ m/s. Construct reproducible restoration-pressure combinations.</x:v>
      </x:c>
      <x:c r="B12" s="59" t="str">
        <x:v>Feed is 37 g/kg at 26°C with 68 m² module area; pressure may vary from 66 to 68 bar. Restoration raises A from 3.2×10⁻¹² to 4.0×10⁻¹² m/s/Pa while lowering B from 5.0×10⁻⁸ to 3.4×10⁻⁸ m/s. Construct reproducible restoration-pressure combinations.</x:v>
      </x:c>
      <x:c r="C12" s="59" t="str">
        <x:v>Feed is 37 g/kg at 26°C with 68 m² module area; pressure may vary from 66 to 68 bar. Restoration raises A from 3.2×10⁻¹² to 4.0×10⁻¹² m/s/Pa while lowering B from 5.0×10⁻⁸ to 3.4×10⁻⁸ m/s. Construct reproducible restoration-pressure combinations.</x:v>
      </x:c>
      <x:c r="D12" s="59" t="str">
        <x:v>Feed is 37 g/kg at 26°C with 68 m² module area; pressure may vary from 66 to 68 bar. Restoration raises A from 3.2×10⁻¹² to 4.0×10⁻¹² m/s/Pa while lowering B from 5.0×10⁻⁸ to 3.4×10⁻⁸ m/s. Construct reproducible restoration-pressure combinations.</x:v>
      </x:c>
      <x:c r="E12" s="59" t="str">
        <x:v>Feed is 37 g/kg at 26°C with 68 m² module area; pressure may vary from 66 to 68 bar. Restoration raises A from 3.2×10⁻¹² to 4.0×10⁻¹² m/s/Pa while lowering B from 5.0×10⁻⁸ to 3.4×10⁻⁸ m/s. Construct reproducible restoration-pressure combinations.</x:v>
      </x:c>
      <x:c r="F12" s="60" t="str">
        <x:v>Feed is 37 g/kg at 26°C with 68 m² module area; pressure may vary from 66 to 68 bar. Restoration raises A from 3.2×10⁻¹² to 4.0×10⁻¹² m/s/Pa while lowering B from 5.0×10⁻⁸ to 3.4×10⁻⁸ m/s. Construct reproducible restoration-pressure combinations.</x:v>
      </x:c>
      <x:c r="G12" s="1"/>
      <x:c r="H12" s="86" t="str">
        <x:v>Module: water≥0.390 kg/s, NaCl≤420 mg/L, CP≤1.33. Plant: product≥0.043 m³/s and SEC≤2.85 kWh/m³. Chemistry: pH≥6.15 and all four SI≤0. Decision order: minimum restoration state, then lowest pressure, then lowest acid dose.</x:v>
      </x:c>
      <x:c r="I12" s="87" t="str">
        <x:v>Module: water≥0.390 kg/s, NaCl≤420 mg/L, CP≤1.33. Plant: product≥0.043 m³/s and SEC≤2.85 kWh/m³. Chemistry: pH≥6.15 and all four SI≤0. Decision order: minimum restoration state, then lowest pressure, then lowest acid dose.</x:v>
      </x:c>
      <x:c r="J12" s="87" t="str">
        <x:v>Module: water≥0.390 kg/s, NaCl≤420 mg/L, CP≤1.33. Plant: product≥0.043 m³/s and SEC≤2.85 kWh/m³. Chemistry: pH≥6.15 and all four SI≤0. Decision order: minimum restoration state, then lowest pressure, then lowest acid dose.</x:v>
      </x:c>
      <x:c r="K12" s="87" t="str">
        <x:v>Module: water≥0.390 kg/s, NaCl≤420 mg/L, CP≤1.33. Plant: product≥0.043 m³/s and SEC≤2.85 kWh/m³. Chemistry: pH≥6.15 and all four SI≤0. Decision order: minimum restoration state, then lowest pressure, then lowest acid dose.</x:v>
      </x:c>
      <x:c r="L12" s="87" t="str">
        <x:v>Module: water≥0.390 kg/s, NaCl≤420 mg/L, CP≤1.33. Plant: product≥0.043 m³/s and SEC≤2.85 kWh/m³. Chemistry: pH≥6.15 and all four SI≤0. Decision order: minimum restoration state, then lowest pressure, then lowest acid dose.</x:v>
      </x:c>
      <x:c r="M12" s="87" t="str">
        <x:v>Module: water≥0.390 kg/s, NaCl≤420 mg/L, CP≤1.33. Plant: product≥0.043 m³/s and SEC≤2.85 kWh/m³. Chemistry: pH≥6.15 and all four SI≤0. Decision order: minimum restoration state, then lowest pressure, then lowest acid dose.</x:v>
      </x:c>
      <x:c r="N12" s="88" t="str">
        <x:v>Module: water≥0.390 kg/s, NaCl≤420 mg/L, CP≤1.33. Plant: product≥0.043 m³/s and SEC≤2.85 kWh/m³. Chemistry: pH≥6.15 and all four SI≤0. Decision order: minimum restoration state, then lowest pressure, then lowest acid dose.</x:v>
      </x:c>
    </x:row>
    <x:row r="13">
      <x:c r="A13" s="58" t="str">
        <x:v>Feed is 37 g/kg at 26°C with 68 m² module area; pressure may vary from 66 to 68 bar. Restoration raises A from 3.2×10⁻¹² to 4.0×10⁻¹² m/s/Pa while lowering B from 5.0×10⁻⁸ to 3.4×10⁻⁸ m/s. Construct reproducible restoration-pressure combinations.</x:v>
      </x:c>
      <x:c r="B13" s="59" t="str">
        <x:v>Feed is 37 g/kg at 26°C with 68 m² module area; pressure may vary from 66 to 68 bar. Restoration raises A from 3.2×10⁻¹² to 4.0×10⁻¹² m/s/Pa while lowering B from 5.0×10⁻⁸ to 3.4×10⁻⁸ m/s. Construct reproducible restoration-pressure combinations.</x:v>
      </x:c>
      <x:c r="C13" s="59" t="str">
        <x:v>Feed is 37 g/kg at 26°C with 68 m² module area; pressure may vary from 66 to 68 bar. Restoration raises A from 3.2×10⁻¹² to 4.0×10⁻¹² m/s/Pa while lowering B from 5.0×10⁻⁸ to 3.4×10⁻⁸ m/s. Construct reproducible restoration-pressure combinations.</x:v>
      </x:c>
      <x:c r="D13" s="59" t="str">
        <x:v>Feed is 37 g/kg at 26°C with 68 m² module area; pressure may vary from 66 to 68 bar. Restoration raises A from 3.2×10⁻¹² to 4.0×10⁻¹² m/s/Pa while lowering B from 5.0×10⁻⁸ to 3.4×10⁻⁸ m/s. Construct reproducible restoration-pressure combinations.</x:v>
      </x:c>
      <x:c r="E13" s="59" t="str">
        <x:v>Feed is 37 g/kg at 26°C with 68 m² module area; pressure may vary from 66 to 68 bar. Restoration raises A from 3.2×10⁻¹² to 4.0×10⁻¹² m/s/Pa while lowering B from 5.0×10⁻⁸ to 3.4×10⁻⁸ m/s. Construct reproducible restoration-pressure combinations.</x:v>
      </x:c>
      <x:c r="F13" s="60" t="str">
        <x:v>Feed is 37 g/kg at 26°C with 68 m² module area; pressure may vary from 66 to 68 bar. Restoration raises A from 3.2×10⁻¹² to 4.0×10⁻¹² m/s/Pa while lowering B from 5.0×10⁻⁸ to 3.4×10⁻⁸ m/s. Construct reproducible restoration-pressure combinations.</x:v>
      </x:c>
      <x:c r="G13" s="1"/>
      <x:c r="H13" s="86" t="str">
        <x:v>Module: water≥0.390 kg/s, NaCl≤420 mg/L, CP≤1.33. Plant: product≥0.043 m³/s and SEC≤2.85 kWh/m³. Chemistry: pH≥6.15 and all four SI≤0. Decision order: minimum restoration state, then lowest pressure, then lowest acid dose.</x:v>
      </x:c>
      <x:c r="I13" s="87" t="str">
        <x:v>Module: water≥0.390 kg/s, NaCl≤420 mg/L, CP≤1.33. Plant: product≥0.043 m³/s and SEC≤2.85 kWh/m³. Chemistry: pH≥6.15 and all four SI≤0. Decision order: minimum restoration state, then lowest pressure, then lowest acid dose.</x:v>
      </x:c>
      <x:c r="J13" s="87" t="str">
        <x:v>Module: water≥0.390 kg/s, NaCl≤420 mg/L, CP≤1.33. Plant: product≥0.043 m³/s and SEC≤2.85 kWh/m³. Chemistry: pH≥6.15 and all four SI≤0. Decision order: minimum restoration state, then lowest pressure, then lowest acid dose.</x:v>
      </x:c>
      <x:c r="K13" s="87" t="str">
        <x:v>Module: water≥0.390 kg/s, NaCl≤420 mg/L, CP≤1.33. Plant: product≥0.043 m³/s and SEC≤2.85 kWh/m³. Chemistry: pH≥6.15 and all four SI≤0. Decision order: minimum restoration state, then lowest pressure, then lowest acid dose.</x:v>
      </x:c>
      <x:c r="L13" s="87" t="str">
        <x:v>Module: water≥0.390 kg/s, NaCl≤420 mg/L, CP≤1.33. Plant: product≥0.043 m³/s and SEC≤2.85 kWh/m³. Chemistry: pH≥6.15 and all four SI≤0. Decision order: minimum restoration state, then lowest pressure, then lowest acid dose.</x:v>
      </x:c>
      <x:c r="M13" s="87" t="str">
        <x:v>Module: water≥0.390 kg/s, NaCl≤420 mg/L, CP≤1.33. Plant: product≥0.043 m³/s and SEC≤2.85 kWh/m³. Chemistry: pH≥6.15 and all four SI≤0. Decision order: minimum restoration state, then lowest pressure, then lowest acid dose.</x:v>
      </x:c>
      <x:c r="N13" s="88" t="str">
        <x:v>Module: water≥0.390 kg/s, NaCl≤420 mg/L, CP≤1.33. Plant: product≥0.043 m³/s and SEC≤2.85 kWh/m³. Chemistry: pH≥6.15 and all four SI≤0. Decision order: minimum restoration state, then lowest pressure, then lowest acid dose.</x:v>
      </x:c>
    </x:row>
    <x:row r="14">
      <x:c r="A14" s="58" t="str">
        <x:v>Feed is 37 g/kg at 26°C with 68 m² module area; pressure may vary from 66 to 68 bar. Restoration raises A from 3.2×10⁻¹² to 4.0×10⁻¹² m/s/Pa while lowering B from 5.0×10⁻⁸ to 3.4×10⁻⁸ m/s. Construct reproducible restoration-pressure combinations.</x:v>
      </x:c>
      <x:c r="B14" s="59" t="str">
        <x:v>Feed is 37 g/kg at 26°C with 68 m² module area; pressure may vary from 66 to 68 bar. Restoration raises A from 3.2×10⁻¹² to 4.0×10⁻¹² m/s/Pa while lowering B from 5.0×10⁻⁸ to 3.4×10⁻⁸ m/s. Construct reproducible restoration-pressure combinations.</x:v>
      </x:c>
      <x:c r="C14" s="59" t="str">
        <x:v>Feed is 37 g/kg at 26°C with 68 m² module area; pressure may vary from 66 to 68 bar. Restoration raises A from 3.2×10⁻¹² to 4.0×10⁻¹² m/s/Pa while lowering B from 5.0×10⁻⁸ to 3.4×10⁻⁸ m/s. Construct reproducible restoration-pressure combinations.</x:v>
      </x:c>
      <x:c r="D14" s="59" t="str">
        <x:v>Feed is 37 g/kg at 26°C with 68 m² module area; pressure may vary from 66 to 68 bar. Restoration raises A from 3.2×10⁻¹² to 4.0×10⁻¹² m/s/Pa while lowering B from 5.0×10⁻⁸ to 3.4×10⁻⁸ m/s. Construct reproducible restoration-pressure combinations.</x:v>
      </x:c>
      <x:c r="E14" s="59" t="str">
        <x:v>Feed is 37 g/kg at 26°C with 68 m² module area; pressure may vary from 66 to 68 bar. Restoration raises A from 3.2×10⁻¹² to 4.0×10⁻¹² m/s/Pa while lowering B from 5.0×10⁻⁸ to 3.4×10⁻⁸ m/s. Construct reproducible restoration-pressure combinations.</x:v>
      </x:c>
      <x:c r="F14" s="60" t="str">
        <x:v>Feed is 37 g/kg at 26°C with 68 m² module area; pressure may vary from 66 to 68 bar. Restoration raises A from 3.2×10⁻¹² to 4.0×10⁻¹² m/s/Pa while lowering B from 5.0×10⁻⁸ to 3.4×10⁻⁸ m/s. Construct reproducible restoration-pressure combinations.</x:v>
      </x:c>
      <x:c r="G14" s="1"/>
      <x:c r="H14" s="86" t="str">
        <x:v>Module: water≥0.390 kg/s, NaCl≤420 mg/L, CP≤1.33. Plant: product≥0.043 m³/s and SEC≤2.85 kWh/m³. Chemistry: pH≥6.15 and all four SI≤0. Decision order: minimum restoration state, then lowest pressure, then lowest acid dose.</x:v>
      </x:c>
      <x:c r="I14" s="87" t="str">
        <x:v>Module: water≥0.390 kg/s, NaCl≤420 mg/L, CP≤1.33. Plant: product≥0.043 m³/s and SEC≤2.85 kWh/m³. Chemistry: pH≥6.15 and all four SI≤0. Decision order: minimum restoration state, then lowest pressure, then lowest acid dose.</x:v>
      </x:c>
      <x:c r="J14" s="87" t="str">
        <x:v>Module: water≥0.390 kg/s, NaCl≤420 mg/L, CP≤1.33. Plant: product≥0.043 m³/s and SEC≤2.85 kWh/m³. Chemistry: pH≥6.15 and all four SI≤0. Decision order: minimum restoration state, then lowest pressure, then lowest acid dose.</x:v>
      </x:c>
      <x:c r="K14" s="87" t="str">
        <x:v>Module: water≥0.390 kg/s, NaCl≤420 mg/L, CP≤1.33. Plant: product≥0.043 m³/s and SEC≤2.85 kWh/m³. Chemistry: pH≥6.15 and all four SI≤0. Decision order: minimum restoration state, then lowest pressure, then lowest acid dose.</x:v>
      </x:c>
      <x:c r="L14" s="87" t="str">
        <x:v>Module: water≥0.390 kg/s, NaCl≤420 mg/L, CP≤1.33. Plant: product≥0.043 m³/s and SEC≤2.85 kWh/m³. Chemistry: pH≥6.15 and all four SI≤0. Decision order: minimum restoration state, then lowest pressure, then lowest acid dose.</x:v>
      </x:c>
      <x:c r="M14" s="87" t="str">
        <x:v>Module: water≥0.390 kg/s, NaCl≤420 mg/L, CP≤1.33. Plant: product≥0.043 m³/s and SEC≤2.85 kWh/m³. Chemistry: pH≥6.15 and all four SI≤0. Decision order: minimum restoration state, then lowest pressure, then lowest acid dose.</x:v>
      </x:c>
      <x:c r="N14" s="88" t="str">
        <x:v>Module: water≥0.390 kg/s, NaCl≤420 mg/L, CP≤1.33. Plant: product≥0.043 m³/s and SEC≤2.85 kWh/m³. Chemistry: pH≥6.15 and all four SI≤0. Decision order: minimum restoration state, then lowest pressure, then lowest acid dose.</x:v>
      </x:c>
    </x:row>
    <x:row r="15">
      <x:c r="A15" s="58" t="str">
        <x:v>Feed is 37 g/kg at 26°C with 68 m² module area; pressure may vary from 66 to 68 bar. Restoration raises A from 3.2×10⁻¹² to 4.0×10⁻¹² m/s/Pa while lowering B from 5.0×10⁻⁸ to 3.4×10⁻⁸ m/s. Construct reproducible restoration-pressure combinations.</x:v>
      </x:c>
      <x:c r="B15" s="59" t="str">
        <x:v>Feed is 37 g/kg at 26°C with 68 m² module area; pressure may vary from 66 to 68 bar. Restoration raises A from 3.2×10⁻¹² to 4.0×10⁻¹² m/s/Pa while lowering B from 5.0×10⁻⁸ to 3.4×10⁻⁸ m/s. Construct reproducible restoration-pressure combinations.</x:v>
      </x:c>
      <x:c r="C15" s="59" t="str">
        <x:v>Feed is 37 g/kg at 26°C with 68 m² module area; pressure may vary from 66 to 68 bar. Restoration raises A from 3.2×10⁻¹² to 4.0×10⁻¹² m/s/Pa while lowering B from 5.0×10⁻⁸ to 3.4×10⁻⁸ m/s. Construct reproducible restoration-pressure combinations.</x:v>
      </x:c>
      <x:c r="D15" s="59" t="str">
        <x:v>Feed is 37 g/kg at 26°C with 68 m² module area; pressure may vary from 66 to 68 bar. Restoration raises A from 3.2×10⁻¹² to 4.0×10⁻¹² m/s/Pa while lowering B from 5.0×10⁻⁸ to 3.4×10⁻⁸ m/s. Construct reproducible restoration-pressure combinations.</x:v>
      </x:c>
      <x:c r="E15" s="59" t="str">
        <x:v>Feed is 37 g/kg at 26°C with 68 m² module area; pressure may vary from 66 to 68 bar. Restoration raises A from 3.2×10⁻¹² to 4.0×10⁻¹² m/s/Pa while lowering B from 5.0×10⁻⁸ to 3.4×10⁻⁸ m/s. Construct reproducible restoration-pressure combinations.</x:v>
      </x:c>
      <x:c r="F15" s="60" t="str">
        <x:v>Feed is 37 g/kg at 26°C with 68 m² module area; pressure may vary from 66 to 68 bar. Restoration raises A from 3.2×10⁻¹² to 4.0×10⁻¹² m/s/Pa while lowering B from 5.0×10⁻⁸ to 3.4×10⁻⁸ m/s. Construct reproducible restoration-pressure combinations.</x:v>
      </x:c>
      <x:c r="G15" s="1"/>
      <x:c r="H15" s="86" t="str">
        <x:v>Module: water≥0.390 kg/s, NaCl≤420 mg/L, CP≤1.33. Plant: product≥0.043 m³/s and SEC≤2.85 kWh/m³. Chemistry: pH≥6.15 and all four SI≤0. Decision order: minimum restoration state, then lowest pressure, then lowest acid dose.</x:v>
      </x:c>
      <x:c r="I15" s="87" t="str">
        <x:v>Module: water≥0.390 kg/s, NaCl≤420 mg/L, CP≤1.33. Plant: product≥0.043 m³/s and SEC≤2.85 kWh/m³. Chemistry: pH≥6.15 and all four SI≤0. Decision order: minimum restoration state, then lowest pressure, then lowest acid dose.</x:v>
      </x:c>
      <x:c r="J15" s="87" t="str">
        <x:v>Module: water≥0.390 kg/s, NaCl≤420 mg/L, CP≤1.33. Plant: product≥0.043 m³/s and SEC≤2.85 kWh/m³. Chemistry: pH≥6.15 and all four SI≤0. Decision order: minimum restoration state, then lowest pressure, then lowest acid dose.</x:v>
      </x:c>
      <x:c r="K15" s="87" t="str">
        <x:v>Module: water≥0.390 kg/s, NaCl≤420 mg/L, CP≤1.33. Plant: product≥0.043 m³/s and SEC≤2.85 kWh/m³. Chemistry: pH≥6.15 and all four SI≤0. Decision order: minimum restoration state, then lowest pressure, then lowest acid dose.</x:v>
      </x:c>
      <x:c r="L15" s="87" t="str">
        <x:v>Module: water≥0.390 kg/s, NaCl≤420 mg/L, CP≤1.33. Plant: product≥0.043 m³/s and SEC≤2.85 kWh/m³. Chemistry: pH≥6.15 and all four SI≤0. Decision order: minimum restoration state, then lowest pressure, then lowest acid dose.</x:v>
      </x:c>
      <x:c r="M15" s="87" t="str">
        <x:v>Module: water≥0.390 kg/s, NaCl≤420 mg/L, CP≤1.33. Plant: product≥0.043 m³/s and SEC≤2.85 kWh/m³. Chemistry: pH≥6.15 and all four SI≤0. Decision order: minimum restoration state, then lowest pressure, then lowest acid dose.</x:v>
      </x:c>
      <x:c r="N15" s="88" t="str">
        <x:v>Module: water≥0.390 kg/s, NaCl≤420 mg/L, CP≤1.33. Plant: product≥0.043 m³/s and SEC≤2.85 kWh/m³. Chemistry: pH≥6.15 and all four SI≤0. Decision order: minimum restoration state, then lowest pressure, then lowest acid dose.</x:v>
      </x:c>
    </x:row>
    <x:row r="16">
      <x:c r="A16" s="61" t="str">
        <x:v>Feed is 37 g/kg at 26°C with 68 m² module area; pressure may vary from 66 to 68 bar. Restoration raises A from 3.2×10⁻¹² to 4.0×10⁻¹² m/s/Pa while lowering B from 5.0×10⁻⁸ to 3.4×10⁻⁸ m/s. Construct reproducible restoration-pressure combinations.</x:v>
      </x:c>
      <x:c r="B16" s="62" t="str">
        <x:v>Feed is 37 g/kg at 26°C with 68 m² module area; pressure may vary from 66 to 68 bar. Restoration raises A from 3.2×10⁻¹² to 4.0×10⁻¹² m/s/Pa while lowering B from 5.0×10⁻⁸ to 3.4×10⁻⁸ m/s. Construct reproducible restoration-pressure combinations.</x:v>
      </x:c>
      <x:c r="C16" s="62" t="str">
        <x:v>Feed is 37 g/kg at 26°C with 68 m² module area; pressure may vary from 66 to 68 bar. Restoration raises A from 3.2×10⁻¹² to 4.0×10⁻¹² m/s/Pa while lowering B from 5.0×10⁻⁸ to 3.4×10⁻⁸ m/s. Construct reproducible restoration-pressure combinations.</x:v>
      </x:c>
      <x:c r="D16" s="62" t="str">
        <x:v>Feed is 37 g/kg at 26°C with 68 m² module area; pressure may vary from 66 to 68 bar. Restoration raises A from 3.2×10⁻¹² to 4.0×10⁻¹² m/s/Pa while lowering B from 5.0×10⁻⁸ to 3.4×10⁻⁸ m/s. Construct reproducible restoration-pressure combinations.</x:v>
      </x:c>
      <x:c r="E16" s="62" t="str">
        <x:v>Feed is 37 g/kg at 26°C with 68 m² module area; pressure may vary from 66 to 68 bar. Restoration raises A from 3.2×10⁻¹² to 4.0×10⁻¹² m/s/Pa while lowering B from 5.0×10⁻⁸ to 3.4×10⁻⁸ m/s. Construct reproducible restoration-pressure combinations.</x:v>
      </x:c>
      <x:c r="F16" s="63" t="str">
        <x:v>Feed is 37 g/kg at 26°C with 68 m² module area; pressure may vary from 66 to 68 bar. Restoration raises A from 3.2×10⁻¹² to 4.0×10⁻¹² m/s/Pa while lowering B from 5.0×10⁻⁸ to 3.4×10⁻⁸ m/s. Construct reproducible restoration-pressure combinations.</x:v>
      </x:c>
      <x:c r="G16" s="1"/>
      <x:c r="H16" s="89" t="str">
        <x:v>Module: water≥0.390 kg/s, NaCl≤420 mg/L, CP≤1.33. Plant: product≥0.043 m³/s and SEC≤2.85 kWh/m³. Chemistry: pH≥6.15 and all four SI≤0. Decision order: minimum restoration state, then lowest pressure, then lowest acid dose.</x:v>
      </x:c>
      <x:c r="I16" s="90" t="str">
        <x:v>Module: water≥0.390 kg/s, NaCl≤420 mg/L, CP≤1.33. Plant: product≥0.043 m³/s and SEC≤2.85 kWh/m³. Chemistry: pH≥6.15 and all four SI≤0. Decision order: minimum restoration state, then lowest pressure, then lowest acid dose.</x:v>
      </x:c>
      <x:c r="J16" s="90" t="str">
        <x:v>Module: water≥0.390 kg/s, NaCl≤420 mg/L, CP≤1.33. Plant: product≥0.043 m³/s and SEC≤2.85 kWh/m³. Chemistry: pH≥6.15 and all four SI≤0. Decision order: minimum restoration state, then lowest pressure, then lowest acid dose.</x:v>
      </x:c>
      <x:c r="K16" s="90" t="str">
        <x:v>Module: water≥0.390 kg/s, NaCl≤420 mg/L, CP≤1.33. Plant: product≥0.043 m³/s and SEC≤2.85 kWh/m³. Chemistry: pH≥6.15 and all four SI≤0. Decision order: minimum restoration state, then lowest pressure, then lowest acid dose.</x:v>
      </x:c>
      <x:c r="L16" s="90" t="str">
        <x:v>Module: water≥0.390 kg/s, NaCl≤420 mg/L, CP≤1.33. Plant: product≥0.043 m³/s and SEC≤2.85 kWh/m³. Chemistry: pH≥6.15 and all four SI≤0. Decision order: minimum restoration state, then lowest pressure, then lowest acid dose.</x:v>
      </x:c>
      <x:c r="M16" s="90" t="str">
        <x:v>Module: water≥0.390 kg/s, NaCl≤420 mg/L, CP≤1.33. Plant: product≥0.043 m³/s and SEC≤2.85 kWh/m³. Chemistry: pH≥6.15 and all four SI≤0. Decision order: minimum restoration state, then lowest pressure, then lowest acid dose.</x:v>
      </x:c>
      <x:c r="N16" s="91" t="str">
        <x:v>Module: water≥0.390 kg/s, NaCl≤420 mg/L, CP≤1.33. Plant: product≥0.043 m³/s and SEC≤2.85 kWh/m³. Chemistry: pH≥6.15 and all four SI≤0. Decision order: minimum restoration state, then lowest pressure, then lowest acid dose.</x:v>
      </x:c>
    </x:row>
    <x:row r="17">
      <x:c r="A17" s="1"/>
      <x:c r="B17" s="1"/>
      <x:c r="C17" s="1"/>
      <x:c r="D17" s="1"/>
      <x:c r="E17" s="1"/>
      <x:c r="F17" s="1"/>
      <x:c r="G17" s="1"/>
      <x:c r="H17" s="1"/>
      <x:c r="I17" s="1"/>
      <x:c r="J17" s="1"/>
      <x:c r="K17" s="1"/>
      <x:c r="L17" s="1"/>
      <x:c r="M17" s="1"/>
      <x:c r="N17" s="1"/>
    </x:row>
    <x:row r="18">
      <x:c r="A18" s="36" t="str">
        <x:v>Engineering dependency</x:v>
      </x:c>
      <x:c r="B18" s="36" t="str">
        <x:v>Engineering dependency</x:v>
      </x:c>
      <x:c r="C18" s="36" t="str">
        <x:v>Engineering dependency</x:v>
      </x:c>
      <x:c r="D18" s="36" t="str">
        <x:v>Engineering dependency</x:v>
      </x:c>
      <x:c r="E18" s="36" t="str">
        <x:v>Engineering dependency</x:v>
      </x:c>
      <x:c r="F18" s="36" t="str">
        <x:v>Engineering dependency</x:v>
      </x:c>
      <x:c r="G18" s="1"/>
      <x:c r="H18" s="36" t="str">
        <x:v>Required engineering answer</x:v>
      </x:c>
      <x:c r="I18" s="36" t="str">
        <x:v>Required engineering answer</x:v>
      </x:c>
      <x:c r="J18" s="36" t="str">
        <x:v>Required engineering answer</x:v>
      </x:c>
      <x:c r="K18" s="36" t="str">
        <x:v>Required engineering answer</x:v>
      </x:c>
      <x:c r="L18" s="36" t="str">
        <x:v>Required engineering answer</x:v>
      </x:c>
      <x:c r="M18" s="36" t="str">
        <x:v>Required engineering answer</x:v>
      </x:c>
      <x:c r="N18" s="36" t="str">
        <x:v>Required engineering answer</x:v>
      </x:c>
    </x:row>
    <x:row r="19">
      <x:c r="A19" s="110" t="str">
        <x:v>Membrane performance and whole-plant performance must be evaluated for the same design identity. Only jointly feasible designs proceed to concentrate chemistry, whose recovery must inherit the actual membrane result.</x:v>
      </x:c>
      <x:c r="B19" s="111" t="str">
        <x:v>Membrane performance and whole-plant performance must be evaluated for the same design identity. Only jointly feasible designs proceed to concentrate chemistry, whose recovery must inherit the actual membrane result.</x:v>
      </x:c>
      <x:c r="C19" s="111" t="str">
        <x:v>Membrane performance and whole-plant performance must be evaluated for the same design identity. Only jointly feasible designs proceed to concentrate chemistry, whose recovery must inherit the actual membrane result.</x:v>
      </x:c>
      <x:c r="D19" s="111" t="str">
        <x:v>Membrane performance and whole-plant performance must be evaluated for the same design identity. Only jointly feasible designs proceed to concentrate chemistry, whose recovery must inherit the actual membrane result.</x:v>
      </x:c>
      <x:c r="E19" s="111" t="str">
        <x:v>Membrane performance and whole-plant performance must be evaluated for the same design identity. Only jointly feasible designs proceed to concentrate chemistry, whose recovery must inherit the actual membrane result.</x:v>
      </x:c>
      <x:c r="F19" s="112" t="str">
        <x:v>Membrane performance and whole-plant performance must be evaluated for the same design identity. Only jointly feasible designs proceed to concentrate chemistry, whose recovery must inherit the actual membrane result.</x:v>
      </x:c>
      <x:c r="G19" s="1"/>
      <x:c r="H19" s="122" t="n">
        <x:v>1</x:v>
      </x:c>
      <x:c r="I19" s="124" t="str">
        <x:v>Define a reproducible discrete search within the stated bounds.</x:v>
      </x:c>
      <x:c r="J19" s="124" t="str">
        <x:v>Define a reproducible discrete search within the stated bounds.</x:v>
      </x:c>
      <x:c r="K19" s="124" t="str">
        <x:v>Define a reproducible discrete search within the stated bounds.</x:v>
      </x:c>
      <x:c r="L19" s="124" t="str">
        <x:v>Define a reproducible discrete search within the stated bounds.</x:v>
      </x:c>
      <x:c r="M19" s="124" t="str">
        <x:v>Define a reproducible discrete search within the stated bounds.</x:v>
      </x:c>
      <x:c r="N19" s="124" t="str">
        <x:v>Define a reproducible discrete search within the stated bounds.</x:v>
      </x:c>
    </x:row>
    <x:row r="20">
      <x:c r="A20" s="113" t="str">
        <x:v>Membrane performance and whole-plant performance must be evaluated for the same design identity. Only jointly feasible designs proceed to concentrate chemistry, whose recovery must inherit the actual membrane result.</x:v>
      </x:c>
      <x:c r="B20" s="114" t="str">
        <x:v>Membrane performance and whole-plant performance must be evaluated for the same design identity. Only jointly feasible designs proceed to concentrate chemistry, whose recovery must inherit the actual membrane result.</x:v>
      </x:c>
      <x:c r="C20" s="114" t="str">
        <x:v>Membrane performance and whole-plant performance must be evaluated for the same design identity. Only jointly feasible designs proceed to concentrate chemistry, whose recovery must inherit the actual membrane result.</x:v>
      </x:c>
      <x:c r="D20" s="114" t="str">
        <x:v>Membrane performance and whole-plant performance must be evaluated for the same design identity. Only jointly feasible designs proceed to concentrate chemistry, whose recovery must inherit the actual membrane result.</x:v>
      </x:c>
      <x:c r="E20" s="114" t="str">
        <x:v>Membrane performance and whole-plant performance must be evaluated for the same design identity. Only jointly feasible designs proceed to concentrate chemistry, whose recovery must inherit the actual membrane result.</x:v>
      </x:c>
      <x:c r="F20" s="115" t="str">
        <x:v>Membrane performance and whole-plant performance must be evaluated for the same design identity. Only jointly feasible designs proceed to concentrate chemistry, whose recovery must inherit the actual membrane result.</x:v>
      </x:c>
      <x:c r="G20" s="1"/>
      <x:c r="H20" s="122" t="n">
        <x:v>2</x:v>
      </x:c>
      <x:c r="I20" s="124" t="str">
        <x:v>Evaluate membrane and plant constraints without mixing design identities.</x:v>
      </x:c>
      <x:c r="J20" s="124" t="str">
        <x:v>Evaluate membrane and plant constraints without mixing design identities.</x:v>
      </x:c>
      <x:c r="K20" s="124" t="str">
        <x:v>Evaluate membrane and plant constraints without mixing design identities.</x:v>
      </x:c>
      <x:c r="L20" s="124" t="str">
        <x:v>Evaluate membrane and plant constraints without mixing design identities.</x:v>
      </x:c>
      <x:c r="M20" s="124" t="str">
        <x:v>Evaluate membrane and plant constraints without mixing design identities.</x:v>
      </x:c>
      <x:c r="N20" s="124" t="str">
        <x:v>Evaluate membrane and plant constraints without mixing design identities.</x:v>
      </x:c>
    </x:row>
    <x:row r="21">
      <x:c r="A21" s="113" t="str">
        <x:v>Membrane performance and whole-plant performance must be evaluated for the same design identity. Only jointly feasible designs proceed to concentrate chemistry, whose recovery must inherit the actual membrane result.</x:v>
      </x:c>
      <x:c r="B21" s="114" t="str">
        <x:v>Membrane performance and whole-plant performance must be evaluated for the same design identity. Only jointly feasible designs proceed to concentrate chemistry, whose recovery must inherit the actual membrane result.</x:v>
      </x:c>
      <x:c r="C21" s="114" t="str">
        <x:v>Membrane performance and whole-plant performance must be evaluated for the same design identity. Only jointly feasible designs proceed to concentrate chemistry, whose recovery must inherit the actual membrane result.</x:v>
      </x:c>
      <x:c r="D21" s="114" t="str">
        <x:v>Membrane performance and whole-plant performance must be evaluated for the same design identity. Only jointly feasible designs proceed to concentrate chemistry, whose recovery must inherit the actual membrane result.</x:v>
      </x:c>
      <x:c r="E21" s="114" t="str">
        <x:v>Membrane performance and whole-plant performance must be evaluated for the same design identity. Only jointly feasible designs proceed to concentrate chemistry, whose recovery must inherit the actual membrane result.</x:v>
      </x:c>
      <x:c r="F21" s="115" t="str">
        <x:v>Membrane performance and whole-plant performance must be evaluated for the same design identity. Only jointly feasible designs proceed to concentrate chemistry, whose recovery must inherit the actual membrane result.</x:v>
      </x:c>
      <x:c r="G21" s="1"/>
      <x:c r="H21" s="122" t="n">
        <x:v>3</x:v>
      </x:c>
      <x:c r="I21" s="124" t="str">
        <x:v>Transfer actual recovery into concentrate chemistry.</x:v>
      </x:c>
      <x:c r="J21" s="124" t="str">
        <x:v>Transfer actual recovery into concentrate chemistry.</x:v>
      </x:c>
      <x:c r="K21" s="124" t="str">
        <x:v>Transfer actual recovery into concentrate chemistry.</x:v>
      </x:c>
      <x:c r="L21" s="124" t="str">
        <x:v>Transfer actual recovery into concentrate chemistry.</x:v>
      </x:c>
      <x:c r="M21" s="124" t="str">
        <x:v>Transfer actual recovery into concentrate chemistry.</x:v>
      </x:c>
      <x:c r="N21" s="124" t="str">
        <x:v>Transfer actual recovery into concentrate chemistry.</x:v>
      </x:c>
    </x:row>
    <x:row r="22">
      <x:c r="A22" s="113" t="str">
        <x:v>Membrane performance and whole-plant performance must be evaluated for the same design identity. Only jointly feasible designs proceed to concentrate chemistry, whose recovery must inherit the actual membrane result.</x:v>
      </x:c>
      <x:c r="B22" s="114" t="str">
        <x:v>Membrane performance and whole-plant performance must be evaluated for the same design identity. Only jointly feasible designs proceed to concentrate chemistry, whose recovery must inherit the actual membrane result.</x:v>
      </x:c>
      <x:c r="C22" s="114" t="str">
        <x:v>Membrane performance and whole-plant performance must be evaluated for the same design identity. Only jointly feasible designs proceed to concentrate chemistry, whose recovery must inherit the actual membrane result.</x:v>
      </x:c>
      <x:c r="D22" s="114" t="str">
        <x:v>Membrane performance and whole-plant performance must be evaluated for the same design identity. Only jointly feasible designs proceed to concentrate chemistry, whose recovery must inherit the actual membrane result.</x:v>
      </x:c>
      <x:c r="E22" s="114" t="str">
        <x:v>Membrane performance and whole-plant performance must be evaluated for the same design identity. Only jointly feasible designs proceed to concentrate chemistry, whose recovery must inherit the actual membrane result.</x:v>
      </x:c>
      <x:c r="F22" s="115" t="str">
        <x:v>Membrane performance and whole-plant performance must be evaluated for the same design identity. Only jointly feasible designs proceed to concentrate chemistry, whose recovery must inherit the actual membrane result.</x:v>
      </x:c>
      <x:c r="G22" s="1"/>
      <x:c r="H22" s="122" t="n">
        <x:v>4</x:v>
      </x:c>
      <x:c r="I22" s="124" t="str">
        <x:v>Show the controlling failure immediately outside the feasible boundary.</x:v>
      </x:c>
      <x:c r="J22" s="124" t="str">
        <x:v>Show the controlling failure immediately outside the feasible boundary.</x:v>
      </x:c>
      <x:c r="K22" s="124" t="str">
        <x:v>Show the controlling failure immediately outside the feasible boundary.</x:v>
      </x:c>
      <x:c r="L22" s="124" t="str">
        <x:v>Show the controlling failure immediately outside the feasible boundary.</x:v>
      </x:c>
      <x:c r="M22" s="124" t="str">
        <x:v>Show the controlling failure immediately outside the feasible boundary.</x:v>
      </x:c>
      <x:c r="N22" s="124" t="str">
        <x:v>Show the controlling failure immediately outside the feasible boundary.</x:v>
      </x:c>
    </x:row>
    <x:row r="23">
      <x:c r="A23" s="116" t="str">
        <x:v>Membrane performance and whole-plant performance must be evaluated for the same design identity. Only jointly feasible designs proceed to concentrate chemistry, whose recovery must inherit the actual membrane result.</x:v>
      </x:c>
      <x:c r="B23" s="117" t="str">
        <x:v>Membrane performance and whole-plant performance must be evaluated for the same design identity. Only jointly feasible designs proceed to concentrate chemistry, whose recovery must inherit the actual membrane result.</x:v>
      </x:c>
      <x:c r="C23" s="117" t="str">
        <x:v>Membrane performance and whole-plant performance must be evaluated for the same design identity. Only jointly feasible designs proceed to concentrate chemistry, whose recovery must inherit the actual membrane result.</x:v>
      </x:c>
      <x:c r="D23" s="117" t="str">
        <x:v>Membrane performance and whole-plant performance must be evaluated for the same design identity. Only jointly feasible designs proceed to concentrate chemistry, whose recovery must inherit the actual membrane result.</x:v>
      </x:c>
      <x:c r="E23" s="117" t="str">
        <x:v>Membrane performance and whole-plant performance must be evaluated for the same design identity. Only jointly feasible designs proceed to concentrate chemistry, whose recovery must inherit the actual membrane result.</x:v>
      </x:c>
      <x:c r="F23" s="118" t="str">
        <x:v>Membrane performance and whole-plant performance must be evaluated for the same design identity. Only jointly feasible designs proceed to concentrate chemistry, whose recovery must inherit the actual membrane result.</x:v>
      </x:c>
      <x:c r="G23" s="1"/>
      <x:c r="H23" s="122" t="n">
        <x:v>5</x:v>
      </x:c>
      <x:c r="I23" s="124" t="str">
        <x:v>Report the final setting, decisive values and model limitations.</x:v>
      </x:c>
      <x:c r="J23" s="124" t="str">
        <x:v>Report the final setting, decisive values and model limitations.</x:v>
      </x:c>
      <x:c r="K23" s="124" t="str">
        <x:v>Report the final setting, decisive values and model limitations.</x:v>
      </x:c>
      <x:c r="L23" s="124" t="str">
        <x:v>Report the final setting, decisive values and model limitations.</x:v>
      </x:c>
      <x:c r="M23" s="124" t="str">
        <x:v>Report the final setting, decisive values and model limitations.</x:v>
      </x:c>
      <x:c r="N23" s="124" t="str">
        <x:v>Report the final setting, decisive values and model limitations.</x:v>
      </x:c>
    </x:row>
    <x:row r="24">
      <x:c r="A24" s="1"/>
      <x:c r="B24" s="1"/>
      <x:c r="C24" s="1"/>
      <x:c r="D24" s="1"/>
      <x:c r="E24" s="1"/>
      <x:c r="F24" s="1"/>
      <x:c r="G24" s="1"/>
      <x:c r="H24" s="1"/>
      <x:c r="I24" s="1"/>
      <x:c r="J24" s="1"/>
      <x:c r="K24" s="1"/>
      <x:c r="L24" s="1"/>
      <x:c r="M24" s="1"/>
      <x:c r="N24" s="1"/>
    </x:row>
    <x:row r="25">
      <x:c r="A25" s="36" t="str">
        <x:v>Boundary note</x:v>
      </x:c>
      <x:c r="B25" s="36" t="str">
        <x:v>Boundary note</x:v>
      </x:c>
      <x:c r="C25" s="36" t="str">
        <x:v>Boundary note</x:v>
      </x:c>
      <x:c r="D25" s="36" t="str">
        <x:v>Boundary note</x:v>
      </x:c>
      <x:c r="E25" s="36" t="str">
        <x:v>Boundary note</x:v>
      </x:c>
      <x:c r="F25" s="36" t="str">
        <x:v>Boundary note</x:v>
      </x:c>
      <x:c r="G25" s="36" t="str">
        <x:v>Boundary note</x:v>
      </x:c>
      <x:c r="H25" s="36" t="str">
        <x:v>Boundary note</x:v>
      </x:c>
      <x:c r="I25" s="36" t="str">
        <x:v>Boundary note</x:v>
      </x:c>
      <x:c r="J25" s="36" t="str">
        <x:v>Boundary note</x:v>
      </x:c>
      <x:c r="K25" s="36" t="str">
        <x:v>Boundary note</x:v>
      </x:c>
      <x:c r="L25" s="36" t="str">
        <x:v>Boundary note</x:v>
      </x:c>
      <x:c r="M25" s="36" t="str">
        <x:v>Boundary note</x:v>
      </x:c>
      <x:c r="N25" s="36" t="str">
        <x:v>Boundary note</x:v>
      </x:c>
    </x:row>
    <x:row r="26">
      <x:c r="A26" s="25" t="str">
        <x:v>Do not substitute nominal recovery, mix outputs from different design packages, or average away a failed season/state. The answer must preserve engineering lineage from design identity to final chemistry verification.</x:v>
      </x:c>
      <x:c r="B26" s="26" t="str">
        <x:v>Do not substitute nominal recovery, mix outputs from different design packages, or average away a failed season/state. The answer must preserve engineering lineage from design identity to final chemistry verification.</x:v>
      </x:c>
      <x:c r="C26" s="26" t="str">
        <x:v>Do not substitute nominal recovery, mix outputs from different design packages, or average away a failed season/state. The answer must preserve engineering lineage from design identity to final chemistry verification.</x:v>
      </x:c>
      <x:c r="D26" s="26" t="str">
        <x:v>Do not substitute nominal recovery, mix outputs from different design packages, or average away a failed season/state. The answer must preserve engineering lineage from design identity to final chemistry verification.</x:v>
      </x:c>
      <x:c r="E26" s="26" t="str">
        <x:v>Do not substitute nominal recovery, mix outputs from different design packages, or average away a failed season/state. The answer must preserve engineering lineage from design identity to final chemistry verification.</x:v>
      </x:c>
      <x:c r="F26" s="26" t="str">
        <x:v>Do not substitute nominal recovery, mix outputs from different design packages, or average away a failed season/state. The answer must preserve engineering lineage from design identity to final chemistry verification.</x:v>
      </x:c>
      <x:c r="G26" s="26" t="str">
        <x:v>Do not substitute nominal recovery, mix outputs from different design packages, or average away a failed season/state. The answer must preserve engineering lineage from design identity to final chemistry verification.</x:v>
      </x:c>
      <x:c r="H26" s="26" t="str">
        <x:v>Do not substitute nominal recovery, mix outputs from different design packages, or average away a failed season/state. The answer must preserve engineering lineage from design identity to final chemistry verification.</x:v>
      </x:c>
      <x:c r="I26" s="26" t="str">
        <x:v>Do not substitute nominal recovery, mix outputs from different design packages, or average away a failed season/state. The answer must preserve engineering lineage from design identity to final chemistry verification.</x:v>
      </x:c>
      <x:c r="J26" s="26" t="str">
        <x:v>Do not substitute nominal recovery, mix outputs from different design packages, or average away a failed season/state. The answer must preserve engineering lineage from design identity to final chemistry verification.</x:v>
      </x:c>
      <x:c r="K26" s="26" t="str">
        <x:v>Do not substitute nominal recovery, mix outputs from different design packages, or average away a failed season/state. The answer must preserve engineering lineage from design identity to final chemistry verification.</x:v>
      </x:c>
      <x:c r="L26" s="26" t="str">
        <x:v>Do not substitute nominal recovery, mix outputs from different design packages, or average away a failed season/state. The answer must preserve engineering lineage from design identity to final chemistry verification.</x:v>
      </x:c>
      <x:c r="M26" s="26" t="str">
        <x:v>Do not substitute nominal recovery, mix outputs from different design packages, or average away a failed season/state. The answer must preserve engineering lineage from design identity to final chemistry verification.</x:v>
      </x:c>
      <x:c r="N26" s="27" t="str">
        <x:v>Do not substitute nominal recovery, mix outputs from different design packages, or average away a failed season/state. The answer must preserve engineering lineage from design identity to final chemistry verification.</x:v>
      </x:c>
    </x:row>
    <x:row r="27">
      <x:c r="A27" s="28" t="str">
        <x:v>Do not substitute nominal recovery, mix outputs from different design packages, or average away a failed season/state. The answer must preserve engineering lineage from design identity to final chemistry verification.</x:v>
      </x:c>
      <x:c r="B27" s="29" t="str">
        <x:v>Do not substitute nominal recovery, mix outputs from different design packages, or average away a failed season/state. The answer must preserve engineering lineage from design identity to final chemistry verification.</x:v>
      </x:c>
      <x:c r="C27" s="29" t="str">
        <x:v>Do not substitute nominal recovery, mix outputs from different design packages, or average away a failed season/state. The answer must preserve engineering lineage from design identity to final chemistry verification.</x:v>
      </x:c>
      <x:c r="D27" s="29" t="str">
        <x:v>Do not substitute nominal recovery, mix outputs from different design packages, or average away a failed season/state. The answer must preserve engineering lineage from design identity to final chemistry verification.</x:v>
      </x:c>
      <x:c r="E27" s="29" t="str">
        <x:v>Do not substitute nominal recovery, mix outputs from different design packages, or average away a failed season/state. The answer must preserve engineering lineage from design identity to final chemistry verification.</x:v>
      </x:c>
      <x:c r="F27" s="29" t="str">
        <x:v>Do not substitute nominal recovery, mix outputs from different design packages, or average away a failed season/state. The answer must preserve engineering lineage from design identity to final chemistry verification.</x:v>
      </x:c>
      <x:c r="G27" s="29" t="str">
        <x:v>Do not substitute nominal recovery, mix outputs from different design packages, or average away a failed season/state. The answer must preserve engineering lineage from design identity to final chemistry verification.</x:v>
      </x:c>
      <x:c r="H27" s="29" t="str">
        <x:v>Do not substitute nominal recovery, mix outputs from different design packages, or average away a failed season/state. The answer must preserve engineering lineage from design identity to final chemistry verification.</x:v>
      </x:c>
      <x:c r="I27" s="29" t="str">
        <x:v>Do not substitute nominal recovery, mix outputs from different design packages, or average away a failed season/state. The answer must preserve engineering lineage from design identity to final chemistry verification.</x:v>
      </x:c>
      <x:c r="J27" s="29" t="str">
        <x:v>Do not substitute nominal recovery, mix outputs from different design packages, or average away a failed season/state. The answer must preserve engineering lineage from design identity to final chemistry verification.</x:v>
      </x:c>
      <x:c r="K27" s="29" t="str">
        <x:v>Do not substitute nominal recovery, mix outputs from different design packages, or average away a failed season/state. The answer must preserve engineering lineage from design identity to final chemistry verification.</x:v>
      </x:c>
      <x:c r="L27" s="29" t="str">
        <x:v>Do not substitute nominal recovery, mix outputs from different design packages, or average away a failed season/state. The answer must preserve engineering lineage from design identity to final chemistry verification.</x:v>
      </x:c>
      <x:c r="M27" s="29" t="str">
        <x:v>Do not substitute nominal recovery, mix outputs from different design packages, or average away a failed season/state. The answer must preserve engineering lineage from design identity to final chemistry verification.</x:v>
      </x:c>
      <x:c r="N27" s="30" t="str">
        <x:v>Do not substitute nominal recovery, mix outputs from different design packages, or average away a failed season/state. The answer must preserve engineering lineage from design identity to final chemistry verification.</x:v>
      </x:c>
    </x:row>
    <x:row r="28">
      <x:c r="A28" s="28" t="str">
        <x:v>Do not substitute nominal recovery, mix outputs from different design packages, or average away a failed season/state. The answer must preserve engineering lineage from design identity to final chemistry verification.</x:v>
      </x:c>
      <x:c r="B28" s="29" t="str">
        <x:v>Do not substitute nominal recovery, mix outputs from different design packages, or average away a failed season/state. The answer must preserve engineering lineage from design identity to final chemistry verification.</x:v>
      </x:c>
      <x:c r="C28" s="29" t="str">
        <x:v>Do not substitute nominal recovery, mix outputs from different design packages, or average away a failed season/state. The answer must preserve engineering lineage from design identity to final chemistry verification.</x:v>
      </x:c>
      <x:c r="D28" s="29" t="str">
        <x:v>Do not substitute nominal recovery, mix outputs from different design packages, or average away a failed season/state. The answer must preserve engineering lineage from design identity to final chemistry verification.</x:v>
      </x:c>
      <x:c r="E28" s="29" t="str">
        <x:v>Do not substitute nominal recovery, mix outputs from different design packages, or average away a failed season/state. The answer must preserve engineering lineage from design identity to final chemistry verification.</x:v>
      </x:c>
      <x:c r="F28" s="29" t="str">
        <x:v>Do not substitute nominal recovery, mix outputs from different design packages, or average away a failed season/state. The answer must preserve engineering lineage from design identity to final chemistry verification.</x:v>
      </x:c>
      <x:c r="G28" s="29" t="str">
        <x:v>Do not substitute nominal recovery, mix outputs from different design packages, or average away a failed season/state. The answer must preserve engineering lineage from design identity to final chemistry verification.</x:v>
      </x:c>
      <x:c r="H28" s="29" t="str">
        <x:v>Do not substitute nominal recovery, mix outputs from different design packages, or average away a failed season/state. The answer must preserve engineering lineage from design identity to final chemistry verification.</x:v>
      </x:c>
      <x:c r="I28" s="29" t="str">
        <x:v>Do not substitute nominal recovery, mix outputs from different design packages, or average away a failed season/state. The answer must preserve engineering lineage from design identity to final chemistry verification.</x:v>
      </x:c>
      <x:c r="J28" s="29" t="str">
        <x:v>Do not substitute nominal recovery, mix outputs from different design packages, or average away a failed season/state. The answer must preserve engineering lineage from design identity to final chemistry verification.</x:v>
      </x:c>
      <x:c r="K28" s="29" t="str">
        <x:v>Do not substitute nominal recovery, mix outputs from different design packages, or average away a failed season/state. The answer must preserve engineering lineage from design identity to final chemistry verification.</x:v>
      </x:c>
      <x:c r="L28" s="29" t="str">
        <x:v>Do not substitute nominal recovery, mix outputs from different design packages, or average away a failed season/state. The answer must preserve engineering lineage from design identity to final chemistry verification.</x:v>
      </x:c>
      <x:c r="M28" s="29" t="str">
        <x:v>Do not substitute nominal recovery, mix outputs from different design packages, or average away a failed season/state. The answer must preserve engineering lineage from design identity to final chemistry verification.</x:v>
      </x:c>
      <x:c r="N28" s="30" t="str">
        <x:v>Do not substitute nominal recovery, mix outputs from different design packages, or average away a failed season/state. The answer must preserve engineering lineage from design identity to final chemistry verification.</x:v>
      </x:c>
    </x:row>
    <x:row r="29">
      <x:c r="A29" s="31" t="str">
        <x:v>Do not substitute nominal recovery, mix outputs from different design packages, or average away a failed season/state. The answer must preserve engineering lineage from design identity to final chemistry verification.</x:v>
      </x:c>
      <x:c r="B29" s="32" t="str">
        <x:v>Do not substitute nominal recovery, mix outputs from different design packages, or average away a failed season/state. The answer must preserve engineering lineage from design identity to final chemistry verification.</x:v>
      </x:c>
      <x:c r="C29" s="32" t="str">
        <x:v>Do not substitute nominal recovery, mix outputs from different design packages, or average away a failed season/state. The answer must preserve engineering lineage from design identity to final chemistry verification.</x:v>
      </x:c>
      <x:c r="D29" s="32" t="str">
        <x:v>Do not substitute nominal recovery, mix outputs from different design packages, or average away a failed season/state. The answer must preserve engineering lineage from design identity to final chemistry verification.</x:v>
      </x:c>
      <x:c r="E29" s="32" t="str">
        <x:v>Do not substitute nominal recovery, mix outputs from different design packages, or average away a failed season/state. The answer must preserve engineering lineage from design identity to final chemistry verification.</x:v>
      </x:c>
      <x:c r="F29" s="32" t="str">
        <x:v>Do not substitute nominal recovery, mix outputs from different design packages, or average away a failed season/state. The answer must preserve engineering lineage from design identity to final chemistry verification.</x:v>
      </x:c>
      <x:c r="G29" s="32" t="str">
        <x:v>Do not substitute nominal recovery, mix outputs from different design packages, or average away a failed season/state. The answer must preserve engineering lineage from design identity to final chemistry verification.</x:v>
      </x:c>
      <x:c r="H29" s="32" t="str">
        <x:v>Do not substitute nominal recovery, mix outputs from different design packages, or average away a failed season/state. The answer must preserve engineering lineage from design identity to final chemistry verification.</x:v>
      </x:c>
      <x:c r="I29" s="32" t="str">
        <x:v>Do not substitute nominal recovery, mix outputs from different design packages, or average away a failed season/state. The answer must preserve engineering lineage from design identity to final chemistry verification.</x:v>
      </x:c>
      <x:c r="J29" s="32" t="str">
        <x:v>Do not substitute nominal recovery, mix outputs from different design packages, or average away a failed season/state. The answer must preserve engineering lineage from design identity to final chemistry verification.</x:v>
      </x:c>
      <x:c r="K29" s="32" t="str">
        <x:v>Do not substitute nominal recovery, mix outputs from different design packages, or average away a failed season/state. The answer must preserve engineering lineage from design identity to final chemistry verification.</x:v>
      </x:c>
      <x:c r="L29" s="32" t="str">
        <x:v>Do not substitute nominal recovery, mix outputs from different design packages, or average away a failed season/state. The answer must preserve engineering lineage from design identity to final chemistry verification.</x:v>
      </x:c>
      <x:c r="M29" s="32" t="str">
        <x:v>Do not substitute nominal recovery, mix outputs from different design packages, or average away a failed season/state. The answer must preserve engineering lineage from design identity to final chemistry verification.</x:v>
      </x:c>
      <x:c r="N29" s="33" t="str">
        <x:v>Do not substitute nominal recovery, mix outputs from different design packages, or average away a failed season/state. The answer must preserve engineering lineage from design identity to final chemistry verification.</x:v>
      </x:c>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7"/>
    <x:mergeCell ref="A9:F9"/>
    <x:mergeCell ref="H9:N9"/>
    <x:mergeCell ref="A10:F16"/>
    <x:mergeCell ref="H10:N16"/>
    <x:mergeCell ref="A18:F18"/>
    <x:mergeCell ref="A19:F23"/>
    <x:mergeCell ref="H18:N18"/>
    <x:mergeCell ref="I19:N19"/>
    <x:mergeCell ref="I20:N20"/>
    <x:mergeCell ref="I21:N21"/>
    <x:mergeCell ref="I22:N22"/>
    <x:mergeCell ref="I23:N23"/>
    <x:mergeCell ref="A25:N25"/>
    <x:mergeCell ref="A26:N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Gold Answer | D6_6a-N03</x:v>
      </x:c>
      <x:c r="B1" s="6" t="str">
        <x:v>Gold Answer | D6_6a-N03</x:v>
      </x:c>
      <x:c r="C1" s="6" t="str">
        <x:v>Gold Answer | D6_6a-N03</x:v>
      </x:c>
      <x:c r="D1" s="6" t="str">
        <x:v>Gold Answer | D6_6a-N03</x:v>
      </x:c>
      <x:c r="E1" s="6" t="str">
        <x:v>Gold Answer | D6_6a-N03</x:v>
      </x:c>
      <x:c r="F1" s="6" t="str">
        <x:v>Gold Answer | D6_6a-N03</x:v>
      </x:c>
      <x:c r="G1" s="6" t="str">
        <x:v>Gold Answer | D6_6a-N03</x:v>
      </x:c>
      <x:c r="H1" s="6" t="str">
        <x:v>Gold Answer | D6_6a-N03</x:v>
      </x:c>
      <x:c r="I1" s="6" t="str">
        <x:v>Gold Answer | D6_6a-N03</x:v>
      </x:c>
      <x:c r="J1" s="6" t="str">
        <x:v>Gold Answer | D6_6a-N03</x:v>
      </x:c>
      <x:c r="K1" s="6" t="str">
        <x:v>Gold Answer | D6_6a-N03</x:v>
      </x:c>
      <x:c r="L1" s="6" t="str">
        <x:v>Gold Answer | D6_6a-N03</x:v>
      </x:c>
      <x:c r="M1" s="6" t="str">
        <x:v>Gold Answer | D6_6a-N03</x:v>
      </x:c>
      <x:c r="N1" s="6" t="str">
        <x:v>Gold Answer | D6_6a-N03</x:v>
      </x:c>
    </x:row>
    <x:row r="2" ht="28" customHeight="1">
      <x:c r="A2" s="6" t="str">
        <x:v>Gold Answer | D6_6a-N03</x:v>
      </x:c>
      <x:c r="B2" s="6" t="str">
        <x:v>Gold Answer | D6_6a-N03</x:v>
      </x:c>
      <x:c r="C2" s="6" t="str">
        <x:v>Gold Answer | D6_6a-N03</x:v>
      </x:c>
      <x:c r="D2" s="6" t="str">
        <x:v>Gold Answer | D6_6a-N03</x:v>
      </x:c>
      <x:c r="E2" s="6" t="str">
        <x:v>Gold Answer | D6_6a-N03</x:v>
      </x:c>
      <x:c r="F2" s="6" t="str">
        <x:v>Gold Answer | D6_6a-N03</x:v>
      </x:c>
      <x:c r="G2" s="6" t="str">
        <x:v>Gold Answer | D6_6a-N03</x:v>
      </x:c>
      <x:c r="H2" s="6" t="str">
        <x:v>Gold Answer | D6_6a-N03</x:v>
      </x:c>
      <x:c r="I2" s="6" t="str">
        <x:v>Gold Answer | D6_6a-N03</x:v>
      </x:c>
      <x:c r="J2" s="6" t="str">
        <x:v>Gold Answer | D6_6a-N03</x:v>
      </x:c>
      <x:c r="K2" s="6" t="str">
        <x:v>Gold Answer | D6_6a-N03</x:v>
      </x:c>
      <x:c r="L2" s="6" t="str">
        <x:v>Gold Answer | D6_6a-N03</x:v>
      </x:c>
      <x:c r="M2" s="6" t="str">
        <x:v>Gold Answer | D6_6a-N03</x:v>
      </x:c>
      <x:c r="N2" s="6" t="str">
        <x:v>Gold Answer | D6_6a-N03</x:v>
      </x:c>
    </x:row>
    <x:row r="3">
      <x:c r="A3" s="1"/>
      <x:c r="B3" s="1"/>
      <x:c r="C3" s="1"/>
      <x:c r="D3" s="1"/>
      <x:c r="E3" s="1"/>
      <x:c r="F3" s="1"/>
      <x:c r="G3" s="1"/>
      <x:c r="H3" s="1"/>
      <x:c r="I3" s="1"/>
      <x:c r="J3" s="1"/>
      <x:c r="K3" s="1"/>
      <x:c r="L3" s="1"/>
      <x:c r="M3" s="1"/>
      <x:c r="N3" s="1"/>
    </x:row>
    <x:row r="4">
      <x:c r="A4" s="83" t="str">
        <x:v>The minimum feasible state is S2 at 66 bar: A=3.6×10⁻¹² m/s/Pa, B=4.2×10⁻⁸ m/s, with 0.0009 mol/s HCl. Module water is 0.39456 kg/s and NaCl 418.91 mg/L; plant product is 0.04301 m³/s and SEC 2.7691 kWh/m³.</x:v>
      </x:c>
      <x:c r="B4" s="84" t="str">
        <x:v>The minimum feasible state is S2 at 66 bar: A=3.6×10⁻¹² m/s/Pa, B=4.2×10⁻⁸ m/s, with 0.0009 mol/s HCl. Module water is 0.39456 kg/s and NaCl 418.91 mg/L; plant product is 0.04301 m³/s and SEC 2.7691 kWh/m³.</x:v>
      </x:c>
      <x:c r="C4" s="84" t="str">
        <x:v>The minimum feasible state is S2 at 66 bar: A=3.6×10⁻¹² m/s/Pa, B=4.2×10⁻⁸ m/s, with 0.0009 mol/s HCl. Module water is 0.39456 kg/s and NaCl 418.91 mg/L; plant product is 0.04301 m³/s and SEC 2.7691 kWh/m³.</x:v>
      </x:c>
      <x:c r="D4" s="84" t="str">
        <x:v>The minimum feasible state is S2 at 66 bar: A=3.6×10⁻¹² m/s/Pa, B=4.2×10⁻⁸ m/s, with 0.0009 mol/s HCl. Module water is 0.39456 kg/s and NaCl 418.91 mg/L; plant product is 0.04301 m³/s and SEC 2.7691 kWh/m³.</x:v>
      </x:c>
      <x:c r="E4" s="84" t="str">
        <x:v>The minimum feasible state is S2 at 66 bar: A=3.6×10⁻¹² m/s/Pa, B=4.2×10⁻⁸ m/s, with 0.0009 mol/s HCl. Module water is 0.39456 kg/s and NaCl 418.91 mg/L; plant product is 0.04301 m³/s and SEC 2.7691 kWh/m³.</x:v>
      </x:c>
      <x:c r="F4" s="84" t="str">
        <x:v>The minimum feasible state is S2 at 66 bar: A=3.6×10⁻¹² m/s/Pa, B=4.2×10⁻⁸ m/s, with 0.0009 mol/s HCl. Module water is 0.39456 kg/s and NaCl 418.91 mg/L; plant product is 0.04301 m³/s and SEC 2.7691 kWh/m³.</x:v>
      </x:c>
      <x:c r="G4" s="84" t="str">
        <x:v>The minimum feasible state is S2 at 66 bar: A=3.6×10⁻¹² m/s/Pa, B=4.2×10⁻⁸ m/s, with 0.0009 mol/s HCl. Module water is 0.39456 kg/s and NaCl 418.91 mg/L; plant product is 0.04301 m³/s and SEC 2.7691 kWh/m³.</x:v>
      </x:c>
      <x:c r="H4" s="84" t="str">
        <x:v>The minimum feasible state is S2 at 66 bar: A=3.6×10⁻¹² m/s/Pa, B=4.2×10⁻⁸ m/s, with 0.0009 mol/s HCl. Module water is 0.39456 kg/s and NaCl 418.91 mg/L; plant product is 0.04301 m³/s and SEC 2.7691 kWh/m³.</x:v>
      </x:c>
      <x:c r="I4" s="84" t="str">
        <x:v>The minimum feasible state is S2 at 66 bar: A=3.6×10⁻¹² m/s/Pa, B=4.2×10⁻⁸ m/s, with 0.0009 mol/s HCl. Module water is 0.39456 kg/s and NaCl 418.91 mg/L; plant product is 0.04301 m³/s and SEC 2.7691 kWh/m³.</x:v>
      </x:c>
      <x:c r="J4" s="84" t="str">
        <x:v>The minimum feasible state is S2 at 66 bar: A=3.6×10⁻¹² m/s/Pa, B=4.2×10⁻⁸ m/s, with 0.0009 mol/s HCl. Module water is 0.39456 kg/s and NaCl 418.91 mg/L; plant product is 0.04301 m³/s and SEC 2.7691 kWh/m³.</x:v>
      </x:c>
      <x:c r="K4" s="84" t="str">
        <x:v>The minimum feasible state is S2 at 66 bar: A=3.6×10⁻¹² m/s/Pa, B=4.2×10⁻⁸ m/s, with 0.0009 mol/s HCl. Module water is 0.39456 kg/s and NaCl 418.91 mg/L; plant product is 0.04301 m³/s and SEC 2.7691 kWh/m³.</x:v>
      </x:c>
      <x:c r="L4" s="84" t="str">
        <x:v>The minimum feasible state is S2 at 66 bar: A=3.6×10⁻¹² m/s/Pa, B=4.2×10⁻⁸ m/s, with 0.0009 mol/s HCl. Module water is 0.39456 kg/s and NaCl 418.91 mg/L; plant product is 0.04301 m³/s and SEC 2.7691 kWh/m³.</x:v>
      </x:c>
      <x:c r="M4" s="84" t="str">
        <x:v>The minimum feasible state is S2 at 66 bar: A=3.6×10⁻¹² m/s/Pa, B=4.2×10⁻⁸ m/s, with 0.0009 mol/s HCl. Module water is 0.39456 kg/s and NaCl 418.91 mg/L; plant product is 0.04301 m³/s and SEC 2.7691 kWh/m³.</x:v>
      </x:c>
      <x:c r="N4" s="85" t="str">
        <x:v>The minimum feasible state is S2 at 66 bar: A=3.6×10⁻¹² m/s/Pa, B=4.2×10⁻⁸ m/s, with 0.0009 mol/s HCl. Module water is 0.39456 kg/s and NaCl 418.91 mg/L; plant product is 0.04301 m³/s and SEC 2.7691 kWh/m³.</x:v>
      </x:c>
    </x:row>
    <x:row r="5">
      <x:c r="A5" s="86" t="str">
        <x:v>The minimum feasible state is S2 at 66 bar: A=3.6×10⁻¹² m/s/Pa, B=4.2×10⁻⁸ m/s, with 0.0009 mol/s HCl. Module water is 0.39456 kg/s and NaCl 418.91 mg/L; plant product is 0.04301 m³/s and SEC 2.7691 kWh/m³.</x:v>
      </x:c>
      <x:c r="B5" s="87" t="str">
        <x:v>The minimum feasible state is S2 at 66 bar: A=3.6×10⁻¹² m/s/Pa, B=4.2×10⁻⁸ m/s, with 0.0009 mol/s HCl. Module water is 0.39456 kg/s and NaCl 418.91 mg/L; plant product is 0.04301 m³/s and SEC 2.7691 kWh/m³.</x:v>
      </x:c>
      <x:c r="C5" s="87" t="str">
        <x:v>The minimum feasible state is S2 at 66 bar: A=3.6×10⁻¹² m/s/Pa, B=4.2×10⁻⁸ m/s, with 0.0009 mol/s HCl. Module water is 0.39456 kg/s and NaCl 418.91 mg/L; plant product is 0.04301 m³/s and SEC 2.7691 kWh/m³.</x:v>
      </x:c>
      <x:c r="D5" s="87" t="str">
        <x:v>The minimum feasible state is S2 at 66 bar: A=3.6×10⁻¹² m/s/Pa, B=4.2×10⁻⁸ m/s, with 0.0009 mol/s HCl. Module water is 0.39456 kg/s and NaCl 418.91 mg/L; plant product is 0.04301 m³/s and SEC 2.7691 kWh/m³.</x:v>
      </x:c>
      <x:c r="E5" s="87" t="str">
        <x:v>The minimum feasible state is S2 at 66 bar: A=3.6×10⁻¹² m/s/Pa, B=4.2×10⁻⁸ m/s, with 0.0009 mol/s HCl. Module water is 0.39456 kg/s and NaCl 418.91 mg/L; plant product is 0.04301 m³/s and SEC 2.7691 kWh/m³.</x:v>
      </x:c>
      <x:c r="F5" s="87" t="str">
        <x:v>The minimum feasible state is S2 at 66 bar: A=3.6×10⁻¹² m/s/Pa, B=4.2×10⁻⁸ m/s, with 0.0009 mol/s HCl. Module water is 0.39456 kg/s and NaCl 418.91 mg/L; plant product is 0.04301 m³/s and SEC 2.7691 kWh/m³.</x:v>
      </x:c>
      <x:c r="G5" s="87" t="str">
        <x:v>The minimum feasible state is S2 at 66 bar: A=3.6×10⁻¹² m/s/Pa, B=4.2×10⁻⁸ m/s, with 0.0009 mol/s HCl. Module water is 0.39456 kg/s and NaCl 418.91 mg/L; plant product is 0.04301 m³/s and SEC 2.7691 kWh/m³.</x:v>
      </x:c>
      <x:c r="H5" s="87" t="str">
        <x:v>The minimum feasible state is S2 at 66 bar: A=3.6×10⁻¹² m/s/Pa, B=4.2×10⁻⁸ m/s, with 0.0009 mol/s HCl. Module water is 0.39456 kg/s and NaCl 418.91 mg/L; plant product is 0.04301 m³/s and SEC 2.7691 kWh/m³.</x:v>
      </x:c>
      <x:c r="I5" s="87" t="str">
        <x:v>The minimum feasible state is S2 at 66 bar: A=3.6×10⁻¹² m/s/Pa, B=4.2×10⁻⁸ m/s, with 0.0009 mol/s HCl. Module water is 0.39456 kg/s and NaCl 418.91 mg/L; plant product is 0.04301 m³/s and SEC 2.7691 kWh/m³.</x:v>
      </x:c>
      <x:c r="J5" s="87" t="str">
        <x:v>The minimum feasible state is S2 at 66 bar: A=3.6×10⁻¹² m/s/Pa, B=4.2×10⁻⁸ m/s, with 0.0009 mol/s HCl. Module water is 0.39456 kg/s and NaCl 418.91 mg/L; plant product is 0.04301 m³/s and SEC 2.7691 kWh/m³.</x:v>
      </x:c>
      <x:c r="K5" s="87" t="str">
        <x:v>The minimum feasible state is S2 at 66 bar: A=3.6×10⁻¹² m/s/Pa, B=4.2×10⁻⁸ m/s, with 0.0009 mol/s HCl. Module water is 0.39456 kg/s and NaCl 418.91 mg/L; plant product is 0.04301 m³/s and SEC 2.7691 kWh/m³.</x:v>
      </x:c>
      <x:c r="L5" s="87" t="str">
        <x:v>The minimum feasible state is S2 at 66 bar: A=3.6×10⁻¹² m/s/Pa, B=4.2×10⁻⁸ m/s, with 0.0009 mol/s HCl. Module water is 0.39456 kg/s and NaCl 418.91 mg/L; plant product is 0.04301 m³/s and SEC 2.7691 kWh/m³.</x:v>
      </x:c>
      <x:c r="M5" s="87" t="str">
        <x:v>The minimum feasible state is S2 at 66 bar: A=3.6×10⁻¹² m/s/Pa, B=4.2×10⁻⁸ m/s, with 0.0009 mol/s HCl. Module water is 0.39456 kg/s and NaCl 418.91 mg/L; plant product is 0.04301 m³/s and SEC 2.7691 kWh/m³.</x:v>
      </x:c>
      <x:c r="N5" s="88" t="str">
        <x:v>The minimum feasible state is S2 at 66 bar: A=3.6×10⁻¹² m/s/Pa, B=4.2×10⁻⁸ m/s, with 0.0009 mol/s HCl. Module water is 0.39456 kg/s and NaCl 418.91 mg/L; plant product is 0.04301 m³/s and SEC 2.7691 kWh/m³.</x:v>
      </x:c>
    </x:row>
    <x:row r="6">
      <x:c r="A6" s="89" t="str">
        <x:v>The minimum feasible state is S2 at 66 bar: A=3.6×10⁻¹² m/s/Pa, B=4.2×10⁻⁸ m/s, with 0.0009 mol/s HCl. Module water is 0.39456 kg/s and NaCl 418.91 mg/L; plant product is 0.04301 m³/s and SEC 2.7691 kWh/m³.</x:v>
      </x:c>
      <x:c r="B6" s="90" t="str">
        <x:v>The minimum feasible state is S2 at 66 bar: A=3.6×10⁻¹² m/s/Pa, B=4.2×10⁻⁸ m/s, with 0.0009 mol/s HCl. Module water is 0.39456 kg/s and NaCl 418.91 mg/L; plant product is 0.04301 m³/s and SEC 2.7691 kWh/m³.</x:v>
      </x:c>
      <x:c r="C6" s="90" t="str">
        <x:v>The minimum feasible state is S2 at 66 bar: A=3.6×10⁻¹² m/s/Pa, B=4.2×10⁻⁸ m/s, with 0.0009 mol/s HCl. Module water is 0.39456 kg/s and NaCl 418.91 mg/L; plant product is 0.04301 m³/s and SEC 2.7691 kWh/m³.</x:v>
      </x:c>
      <x:c r="D6" s="90" t="str">
        <x:v>The minimum feasible state is S2 at 66 bar: A=3.6×10⁻¹² m/s/Pa, B=4.2×10⁻⁸ m/s, with 0.0009 mol/s HCl. Module water is 0.39456 kg/s and NaCl 418.91 mg/L; plant product is 0.04301 m³/s and SEC 2.7691 kWh/m³.</x:v>
      </x:c>
      <x:c r="E6" s="90" t="str">
        <x:v>The minimum feasible state is S2 at 66 bar: A=3.6×10⁻¹² m/s/Pa, B=4.2×10⁻⁸ m/s, with 0.0009 mol/s HCl. Module water is 0.39456 kg/s and NaCl 418.91 mg/L; plant product is 0.04301 m³/s and SEC 2.7691 kWh/m³.</x:v>
      </x:c>
      <x:c r="F6" s="90" t="str">
        <x:v>The minimum feasible state is S2 at 66 bar: A=3.6×10⁻¹² m/s/Pa, B=4.2×10⁻⁸ m/s, with 0.0009 mol/s HCl. Module water is 0.39456 kg/s and NaCl 418.91 mg/L; plant product is 0.04301 m³/s and SEC 2.7691 kWh/m³.</x:v>
      </x:c>
      <x:c r="G6" s="90" t="str">
        <x:v>The minimum feasible state is S2 at 66 bar: A=3.6×10⁻¹² m/s/Pa, B=4.2×10⁻⁸ m/s, with 0.0009 mol/s HCl. Module water is 0.39456 kg/s and NaCl 418.91 mg/L; plant product is 0.04301 m³/s and SEC 2.7691 kWh/m³.</x:v>
      </x:c>
      <x:c r="H6" s="90" t="str">
        <x:v>The minimum feasible state is S2 at 66 bar: A=3.6×10⁻¹² m/s/Pa, B=4.2×10⁻⁸ m/s, with 0.0009 mol/s HCl. Module water is 0.39456 kg/s and NaCl 418.91 mg/L; plant product is 0.04301 m³/s and SEC 2.7691 kWh/m³.</x:v>
      </x:c>
      <x:c r="I6" s="90" t="str">
        <x:v>The minimum feasible state is S2 at 66 bar: A=3.6×10⁻¹² m/s/Pa, B=4.2×10⁻⁸ m/s, with 0.0009 mol/s HCl. Module water is 0.39456 kg/s and NaCl 418.91 mg/L; plant product is 0.04301 m³/s and SEC 2.7691 kWh/m³.</x:v>
      </x:c>
      <x:c r="J6" s="90" t="str">
        <x:v>The minimum feasible state is S2 at 66 bar: A=3.6×10⁻¹² m/s/Pa, B=4.2×10⁻⁸ m/s, with 0.0009 mol/s HCl. Module water is 0.39456 kg/s and NaCl 418.91 mg/L; plant product is 0.04301 m³/s and SEC 2.7691 kWh/m³.</x:v>
      </x:c>
      <x:c r="K6" s="90" t="str">
        <x:v>The minimum feasible state is S2 at 66 bar: A=3.6×10⁻¹² m/s/Pa, B=4.2×10⁻⁸ m/s, with 0.0009 mol/s HCl. Module water is 0.39456 kg/s and NaCl 418.91 mg/L; plant product is 0.04301 m³/s and SEC 2.7691 kWh/m³.</x:v>
      </x:c>
      <x:c r="L6" s="90" t="str">
        <x:v>The minimum feasible state is S2 at 66 bar: A=3.6×10⁻¹² m/s/Pa, B=4.2×10⁻⁸ m/s, with 0.0009 mol/s HCl. Module water is 0.39456 kg/s and NaCl 418.91 mg/L; plant product is 0.04301 m³/s and SEC 2.7691 kWh/m³.</x:v>
      </x:c>
      <x:c r="M6" s="90" t="str">
        <x:v>The minimum feasible state is S2 at 66 bar: A=3.6×10⁻¹² m/s/Pa, B=4.2×10⁻⁸ m/s, with 0.0009 mol/s HCl. Module water is 0.39456 kg/s and NaCl 418.91 mg/L; plant product is 0.04301 m³/s and SEC 2.7691 kWh/m³.</x:v>
      </x:c>
      <x:c r="N6" s="91" t="str">
        <x:v>The minimum feasible state is S2 at 66 bar: A=3.6×10⁻¹² m/s/Pa, B=4.2×10⁻⁸ m/s, with 0.0009 mol/s HCl. Module water is 0.39456 kg/s and NaCl 418.91 mg/L; plant product is 0.04301 m³/s and SEC 2.7691 kWh/m³.</x:v>
      </x:c>
    </x:row>
    <x:row r="7">
      <x:c r="A7" s="1"/>
      <x:c r="B7" s="1"/>
      <x:c r="C7" s="1"/>
      <x:c r="D7" s="1"/>
      <x:c r="E7" s="1"/>
      <x:c r="F7" s="1"/>
      <x:c r="G7" s="1"/>
      <x:c r="H7" s="1"/>
      <x:c r="I7" s="1"/>
      <x:c r="J7" s="1"/>
      <x:c r="K7" s="1"/>
      <x:c r="L7" s="1"/>
      <x:c r="M7" s="1"/>
      <x:c r="N7" s="1"/>
    </x:row>
    <x:row r="8">
      <x:c r="A8" s="36" t="str">
        <x:v>Parallel membrane + whole-plant join (key rows from 10 + 10 calls)</x:v>
      </x:c>
      <x:c r="B8" s="36" t="str">
        <x:v>Parallel membrane + whole-plant join (key rows from 10 + 10 calls)</x:v>
      </x:c>
      <x:c r="C8" s="36" t="str">
        <x:v>Parallel membrane + whole-plant join (key rows from 10 + 10 calls)</x:v>
      </x:c>
      <x:c r="D8" s="36" t="str">
        <x:v>Parallel membrane + whole-plant join (key rows from 10 + 10 calls)</x:v>
      </x:c>
      <x:c r="E8" s="36" t="str">
        <x:v>Parallel membrane + whole-plant join (key rows from 10 + 10 calls)</x:v>
      </x:c>
      <x:c r="F8" s="36" t="str">
        <x:v>Parallel membrane + whole-plant join (key rows from 10 + 10 calls)</x:v>
      </x:c>
      <x:c r="G8" s="36" t="str">
        <x:v>Parallel membrane + whole-plant join (key rows from 10 + 10 calls)</x:v>
      </x:c>
      <x:c r="H8" s="36" t="str">
        <x:v>Parallel membrane + whole-plant join (key rows from 10 + 10 calls)</x:v>
      </x:c>
      <x:c r="I8" s="36" t="str">
        <x:v>Parallel membrane + whole-plant join (key rows from 10 + 10 calls)</x:v>
      </x:c>
      <x:c r="J8" s="36" t="str">
        <x:v>Parallel membrane + whole-plant join (key rows from 10 + 10 calls)</x:v>
      </x:c>
      <x:c r="K8" s="36" t="str">
        <x:v>Joint-decision summary</x:v>
      </x:c>
      <x:c r="L8" s="36" t="str">
        <x:v>Joint-decision summary</x:v>
      </x:c>
      <x:c r="M8" s="36" t="str">
        <x:v>Joint-decision summary</x:v>
      </x:c>
      <x:c r="N8" s="36" t="str">
        <x:v>Joint-decision summary</x:v>
      </x:c>
    </x:row>
    <x:row r="9">
      <x:c r="A9" s="129" t="str">
        <x:v>ID</x:v>
      </x:c>
      <x:c r="B9" s="129" t="str">
        <x:v>Setting</x:v>
      </x:c>
      <x:c r="C9" s="129" t="str">
        <x:v>Water kg/s</x:v>
      </x:c>
      <x:c r="D9" s="129" t="str">
        <x:v>NaCl mg/L</x:v>
      </x:c>
      <x:c r="E9" s="129" t="str">
        <x:v>Recovery</x:v>
      </x:c>
      <x:c r="F9" s="129" t="str">
        <x:v>CP</x:v>
      </x:c>
      <x:c r="G9" s="129" t="str">
        <x:v>Plant m³/s</x:v>
      </x:c>
      <x:c r="H9" s="129" t="str">
        <x:v>SEC</x:v>
      </x:c>
      <x:c r="I9" s="129" t="str">
        <x:v>LCOW</x:v>
      </x:c>
      <x:c r="J9" s="129" t="str">
        <x:v>Status</x:v>
      </x:c>
      <x:c r="K9" s="83" t="str">
        <x:v>The minimum feasible state is S2 at 66 bar: A=3.6×10⁻¹² m/s/Pa, B=4.2×10⁻⁸ m/s, with 0.0009 mol/s HCl. Module water is 0.39456 kg/s and NaCl 418.91 mg/L; plant product is 0.04301 m³/s and SEC 2.7691 kWh/m³.</x:v>
      </x:c>
      <x:c r="L9" s="84" t="str">
        <x:v>The minimum feasible state is S2 at 66 bar: A=3.6×10⁻¹² m/s/Pa, B=4.2×10⁻⁸ m/s, with 0.0009 mol/s HCl. Module water is 0.39456 kg/s and NaCl 418.91 mg/L; plant product is 0.04301 m³/s and SEC 2.7691 kWh/m³.</x:v>
      </x:c>
      <x:c r="M9" s="84" t="str">
        <x:v>The minimum feasible state is S2 at 66 bar: A=3.6×10⁻¹² m/s/Pa, B=4.2×10⁻⁸ m/s, with 0.0009 mol/s HCl. Module water is 0.39456 kg/s and NaCl 418.91 mg/L; plant product is 0.04301 m³/s and SEC 2.7691 kWh/m³.</x:v>
      </x:c>
      <x:c r="N9" s="85" t="str">
        <x:v>The minimum feasible state is S2 at 66 bar: A=3.6×10⁻¹² m/s/Pa, B=4.2×10⁻⁸ m/s, with 0.0009 mol/s HCl. Module water is 0.39456 kg/s and NaCl 418.91 mg/L; plant product is 0.04301 m³/s and SEC 2.7691 kWh/m³.</x:v>
      </x:c>
    </x:row>
    <x:row r="10">
      <x:c r="A10" s="124" t="str">
        <x:v>S1_68</x:v>
      </x:c>
      <x:c r="B10" s="124" t="str">
        <x:v>S1 / 68 bar</x:v>
      </x:c>
      <x:c r="C10" s="132" t="n">
        <x:v>0.4036577</x:v>
      </x:c>
      <x:c r="D10" s="132" t="n">
        <x:v>454.2205</x:v>
      </x:c>
      <x:c r="E10" s="132" t="n">
        <x:v>0.4150509</x:v>
      </x:c>
      <x:c r="F10" s="132" t="n">
        <x:v>1.29335</x:v>
      </x:c>
      <x:c r="G10" s="132" t="n">
        <x:v>0.0437684</x:v>
      </x:c>
      <x:c r="H10" s="132" t="n">
        <x:v>2.836433</x:v>
      </x:c>
      <x:c r="I10" s="132" t="n">
        <x:v>1.124329</x:v>
      </x:c>
      <x:c r="J10" s="124" t="str">
        <x:f>IF(AND(C10&gt;=0.39,D10&lt;=420,F10&lt;=1.33,G10&gt;=0.043,H10&lt;=2.85),"PASS","FAIL")</x:f>
        <x:v>FAIL</x:v>
      </x:c>
      <x:c r="K10" s="86" t="str">
        <x:v>The minimum feasible state is S2 at 66 bar: A=3.6×10⁻¹² m/s/Pa, B=4.2×10⁻⁸ m/s, with 0.0009 mol/s HCl. Module water is 0.39456 kg/s and NaCl 418.91 mg/L; plant product is 0.04301 m³/s and SEC 2.7691 kWh/m³.</x:v>
      </x:c>
      <x:c r="L10" s="87" t="str">
        <x:v>The minimum feasible state is S2 at 66 bar: A=3.6×10⁻¹² m/s/Pa, B=4.2×10⁻⁸ m/s, with 0.0009 mol/s HCl. Module water is 0.39456 kg/s and NaCl 418.91 mg/L; plant product is 0.04301 m³/s and SEC 2.7691 kWh/m³.</x:v>
      </x:c>
      <x:c r="M10" s="87" t="str">
        <x:v>The minimum feasible state is S2 at 66 bar: A=3.6×10⁻¹² m/s/Pa, B=4.2×10⁻⁸ m/s, with 0.0009 mol/s HCl. Module water is 0.39456 kg/s and NaCl 418.91 mg/L; plant product is 0.04301 m³/s and SEC 2.7691 kWh/m³.</x:v>
      </x:c>
      <x:c r="N10" s="88" t="str">
        <x:v>The minimum feasible state is S2 at 66 bar: A=3.6×10⁻¹² m/s/Pa, B=4.2×10⁻⁸ m/s, with 0.0009 mol/s HCl. Module water is 0.39456 kg/s and NaCl 418.91 mg/L; plant product is 0.04301 m³/s and SEC 2.7691 kWh/m³.</x:v>
      </x:c>
    </x:row>
    <x:row r="11">
      <x:c r="A11" s="131" t="str">
        <x:v>S2_66</x:v>
      </x:c>
      <x:c r="B11" s="131" t="str">
        <x:v>S2 / 66 bar</x:v>
      </x:c>
      <x:c r="C11" s="133" t="n">
        <x:v>0.3945633</x:v>
      </x:c>
      <x:c r="D11" s="133" t="n">
        <x:v>418.9095</x:v>
      </x:c>
      <x:c r="E11" s="133" t="n">
        <x:v>0.4056964</x:v>
      </x:c>
      <x:c r="F11" s="133" t="n">
        <x:v>1.28907</x:v>
      </x:c>
      <x:c r="G11" s="133" t="n">
        <x:v>0.043007</x:v>
      </x:c>
      <x:c r="H11" s="133" t="n">
        <x:v>2.769111</x:v>
      </x:c>
      <x:c r="I11" s="133" t="n">
        <x:v>1.13128</x:v>
      </x:c>
      <x:c r="J11" s="131" t="str">
        <x:f>IF(AND(C11&gt;=0.39,D11&lt;=420,F11&lt;=1.33,G11&gt;=0.043,H11&lt;=2.85),"PASS","FAIL")</x:f>
        <x:v>PASS</x:v>
      </x:c>
      <x:c r="K11" s="86" t="str">
        <x:v>The minimum feasible state is S2 at 66 bar: A=3.6×10⁻¹² m/s/Pa, B=4.2×10⁻⁸ m/s, with 0.0009 mol/s HCl. Module water is 0.39456 kg/s and NaCl 418.91 mg/L; plant product is 0.04301 m³/s and SEC 2.7691 kWh/m³.</x:v>
      </x:c>
      <x:c r="L11" s="87" t="str">
        <x:v>The minimum feasible state is S2 at 66 bar: A=3.6×10⁻¹² m/s/Pa, B=4.2×10⁻⁸ m/s, with 0.0009 mol/s HCl. Module water is 0.39456 kg/s and NaCl 418.91 mg/L; plant product is 0.04301 m³/s and SEC 2.7691 kWh/m³.</x:v>
      </x:c>
      <x:c r="M11" s="87" t="str">
        <x:v>The minimum feasible state is S2 at 66 bar: A=3.6×10⁻¹² m/s/Pa, B=4.2×10⁻⁸ m/s, with 0.0009 mol/s HCl. Module water is 0.39456 kg/s and NaCl 418.91 mg/L; plant product is 0.04301 m³/s and SEC 2.7691 kWh/m³.</x:v>
      </x:c>
      <x:c r="N11" s="88" t="str">
        <x:v>The minimum feasible state is S2 at 66 bar: A=3.6×10⁻¹² m/s/Pa, B=4.2×10⁻⁸ m/s, with 0.0009 mol/s HCl. Module water is 0.39456 kg/s and NaCl 418.91 mg/L; plant product is 0.04301 m³/s and SEC 2.7691 kWh/m³.</x:v>
      </x:c>
    </x:row>
    <x:row r="12">
      <x:c r="A12" s="124" t="str">
        <x:v>S2_68</x:v>
      </x:c>
      <x:c r="B12" s="124" t="str">
        <x:v>S2 / 68 bar</x:v>
      </x:c>
      <x:c r="C12" s="132" t="n">
        <x:v>0.4123224</x:v>
      </x:c>
      <x:c r="D12" s="132" t="n">
        <x:v>410.9501</x:v>
      </x:c>
      <x:c r="E12" s="132" t="n">
        <x:v>0.4239557</x:v>
      </x:c>
      <x:c r="F12" s="132" t="n">
        <x:v>1.307273</x:v>
      </x:c>
      <x:c r="G12" s="132" t="n">
        <x:v>0.044628</x:v>
      </x:c>
      <x:c r="H12" s="132" t="n">
        <x:v>2.831083</x:v>
      </x:c>
      <x:c r="I12" s="132" t="n">
        <x:v>1.108854</x:v>
      </x:c>
      <x:c r="J12" s="124" t="str">
        <x:f>IF(AND(C12&gt;=0.39,D12&lt;=420,F12&lt;=1.33,G12&gt;=0.043,H12&lt;=2.85),"PASS","FAIL")</x:f>
        <x:v>PASS</x:v>
      </x:c>
      <x:c r="K12" s="86" t="str">
        <x:v>The minimum feasible state is S2 at 66 bar: A=3.6×10⁻¹² m/s/Pa, B=4.2×10⁻⁸ m/s, with 0.0009 mol/s HCl. Module water is 0.39456 kg/s and NaCl 418.91 mg/L; plant product is 0.04301 m³/s and SEC 2.7691 kWh/m³.</x:v>
      </x:c>
      <x:c r="L12" s="87" t="str">
        <x:v>The minimum feasible state is S2 at 66 bar: A=3.6×10⁻¹² m/s/Pa, B=4.2×10⁻⁸ m/s, with 0.0009 mol/s HCl. Module water is 0.39456 kg/s and NaCl 418.91 mg/L; plant product is 0.04301 m³/s and SEC 2.7691 kWh/m³.</x:v>
      </x:c>
      <x:c r="M12" s="87" t="str">
        <x:v>The minimum feasible state is S2 at 66 bar: A=3.6×10⁻¹² m/s/Pa, B=4.2×10⁻⁸ m/s, with 0.0009 mol/s HCl. Module water is 0.39456 kg/s and NaCl 418.91 mg/L; plant product is 0.04301 m³/s and SEC 2.7691 kWh/m³.</x:v>
      </x:c>
      <x:c r="N12" s="88" t="str">
        <x:v>The minimum feasible state is S2 at 66 bar: A=3.6×10⁻¹² m/s/Pa, B=4.2×10⁻⁸ m/s, with 0.0009 mol/s HCl. Module water is 0.39456 kg/s and NaCl 418.91 mg/L; plant product is 0.04301 m³/s and SEC 2.7691 kWh/m³.</x:v>
      </x:c>
    </x:row>
    <x:row r="13">
      <x:c r="A13" s="124" t="str">
        <x:v>S3_66</x:v>
      </x:c>
      <x:c r="B13" s="124" t="str">
        <x:v>S3 / 66 bar</x:v>
      </x:c>
      <x:c r="C13" s="132" t="n">
        <x:v>0.4023853</x:v>
      </x:c>
      <x:c r="D13" s="132" t="n">
        <x:v>375.723</x:v>
      </x:c>
      <x:c r="E13" s="132" t="n">
        <x:v>0.4137348</x:v>
      </x:c>
      <x:c r="F13" s="132" t="n">
        <x:v>1.301795</x:v>
      </x:c>
      <x:c r="G13" s="132" t="n">
        <x:v>0.0437861</x:v>
      </x:c>
      <x:c r="H13" s="132" t="n">
        <x:v>2.764226</x:v>
      </x:c>
      <x:c r="I13" s="132" t="n">
        <x:v>1.116762</x:v>
      </x:c>
      <x:c r="J13" s="124" t="str">
        <x:f>IF(AND(C13&gt;=0.39,D13&lt;=420,F13&lt;=1.33,G13&gt;=0.043,H13&lt;=2.85),"PASS","FAIL")</x:f>
        <x:v>PASS</x:v>
      </x:c>
      <x:c r="K13" s="86" t="str">
        <x:v>The minimum feasible state is S2 at 66 bar: A=3.6×10⁻¹² m/s/Pa, B=4.2×10⁻⁸ m/s, with 0.0009 mol/s HCl. Module water is 0.39456 kg/s and NaCl 418.91 mg/L; plant product is 0.04301 m³/s and SEC 2.7691 kWh/m³.</x:v>
      </x:c>
      <x:c r="L13" s="87" t="str">
        <x:v>The minimum feasible state is S2 at 66 bar: A=3.6×10⁻¹² m/s/Pa, B=4.2×10⁻⁸ m/s, with 0.0009 mol/s HCl. Module water is 0.39456 kg/s and NaCl 418.91 mg/L; plant product is 0.04301 m³/s and SEC 2.7691 kWh/m³.</x:v>
      </x:c>
      <x:c r="M13" s="87" t="str">
        <x:v>The minimum feasible state is S2 at 66 bar: A=3.6×10⁻¹² m/s/Pa, B=4.2×10⁻⁸ m/s, with 0.0009 mol/s HCl. Module water is 0.39456 kg/s and NaCl 418.91 mg/L; plant product is 0.04301 m³/s and SEC 2.7691 kWh/m³.</x:v>
      </x:c>
      <x:c r="N13" s="88" t="str">
        <x:v>The minimum feasible state is S2 at 66 bar: A=3.6×10⁻¹² m/s/Pa, B=4.2×10⁻⁸ m/s, with 0.0009 mol/s HCl. Module water is 0.39456 kg/s and NaCl 418.91 mg/L; plant product is 0.04301 m³/s and SEC 2.7691 kWh/m³.</x:v>
      </x:c>
    </x:row>
    <x:row r="14">
      <x:c r="A14" s="124" t="str">
        <x:v>S4_66</x:v>
      </x:c>
      <x:c r="B14" s="124" t="str">
        <x:v>S4 / 66 bar</x:v>
      </x:c>
      <x:c r="C14" s="132" t="n">
        <x:v>0.4096129</x:v>
      </x:c>
      <x:c r="D14" s="132" t="n">
        <x:v>333.6115</x:v>
      </x:c>
      <x:c r="E14" s="132" t="n">
        <x:v>0.421162</x:v>
      </x:c>
      <x:c r="F14" s="132" t="n">
        <x:v>1.314194</x:v>
      </x:c>
      <x:c r="G14" s="132" t="n">
        <x:v>0.0445028</x:v>
      </x:c>
      <x:c r="H14" s="132" t="n">
        <x:v>2.759887</x:v>
      </x:c>
      <x:c r="I14" s="132" t="n">
        <x:v>1.103844</x:v>
      </x:c>
      <x:c r="J14" s="124" t="str">
        <x:f>IF(AND(C14&gt;=0.39,D14&lt;=420,F14&lt;=1.33,G14&gt;=0.043,H14&lt;=2.85),"PASS","FAIL")</x:f>
        <x:v>PASS</x:v>
      </x:c>
      <x:c r="K14" s="86" t="str">
        <x:v>The minimum feasible state is S2 at 66 bar: A=3.6×10⁻¹² m/s/Pa, B=4.2×10⁻⁸ m/s, with 0.0009 mol/s HCl. Module water is 0.39456 kg/s and NaCl 418.91 mg/L; plant product is 0.04301 m³/s and SEC 2.7691 kWh/m³.</x:v>
      </x:c>
      <x:c r="L14" s="87" t="str">
        <x:v>The minimum feasible state is S2 at 66 bar: A=3.6×10⁻¹² m/s/Pa, B=4.2×10⁻⁸ m/s, with 0.0009 mol/s HCl. Module water is 0.39456 kg/s and NaCl 418.91 mg/L; plant product is 0.04301 m³/s and SEC 2.7691 kWh/m³.</x:v>
      </x:c>
      <x:c r="M14" s="87" t="str">
        <x:v>The minimum feasible state is S2 at 66 bar: A=3.6×10⁻¹² m/s/Pa, B=4.2×10⁻⁸ m/s, with 0.0009 mol/s HCl. Module water is 0.39456 kg/s and NaCl 418.91 mg/L; plant product is 0.04301 m³/s and SEC 2.7691 kWh/m³.</x:v>
      </x:c>
      <x:c r="N14" s="88" t="str">
        <x:v>The minimum feasible state is S2 at 66 bar: A=3.6×10⁻¹² m/s/Pa, B=4.2×10⁻⁸ m/s, with 0.0009 mol/s HCl. Module water is 0.39456 kg/s and NaCl 418.91 mg/L; plant product is 0.04301 m³/s and SEC 2.7691 kWh/m³.</x:v>
      </x:c>
    </x:row>
    <x:row r="15">
      <x:c r="A15" s="1"/>
      <x:c r="B15" s="1"/>
      <x:c r="C15" s="1"/>
      <x:c r="D15" s="1"/>
      <x:c r="E15" s="1"/>
      <x:c r="F15" s="1"/>
      <x:c r="G15" s="1"/>
      <x:c r="H15" s="1"/>
      <x:c r="I15" s="1"/>
      <x:c r="J15" s="1"/>
      <x:c r="K15" s="86" t="str">
        <x:v>The minimum feasible state is S2 at 66 bar: A=3.6×10⁻¹² m/s/Pa, B=4.2×10⁻⁸ m/s, with 0.0009 mol/s HCl. Module water is 0.39456 kg/s and NaCl 418.91 mg/L; plant product is 0.04301 m³/s and SEC 2.7691 kWh/m³.</x:v>
      </x:c>
      <x:c r="L15" s="87" t="str">
        <x:v>The minimum feasible state is S2 at 66 bar: A=3.6×10⁻¹² m/s/Pa, B=4.2×10⁻⁸ m/s, with 0.0009 mol/s HCl. Module water is 0.39456 kg/s and NaCl 418.91 mg/L; plant product is 0.04301 m³/s and SEC 2.7691 kWh/m³.</x:v>
      </x:c>
      <x:c r="M15" s="87" t="str">
        <x:v>The minimum feasible state is S2 at 66 bar: A=3.6×10⁻¹² m/s/Pa, B=4.2×10⁻⁸ m/s, with 0.0009 mol/s HCl. Module water is 0.39456 kg/s and NaCl 418.91 mg/L; plant product is 0.04301 m³/s and SEC 2.7691 kWh/m³.</x:v>
      </x:c>
      <x:c r="N15" s="88" t="str">
        <x:v>The minimum feasible state is S2 at 66 bar: A=3.6×10⁻¹² m/s/Pa, B=4.2×10⁻⁸ m/s, with 0.0009 mol/s HCl. Module water is 0.39456 kg/s and NaCl 418.91 mg/L; plant product is 0.04301 m³/s and SEC 2.7691 kWh/m³.</x:v>
      </x:c>
    </x:row>
    <x:row r="16">
      <x:c r="A16" s="36" t="str">
        <x:v>Serial concentrate chemistry (actual recovery inherited)</x:v>
      </x:c>
      <x:c r="B16" s="36" t="str">
        <x:v>Serial concentrate chemistry (actual recovery inherited)</x:v>
      </x:c>
      <x:c r="C16" s="36" t="str">
        <x:v>Serial concentrate chemistry (actual recovery inherited)</x:v>
      </x:c>
      <x:c r="D16" s="36" t="str">
        <x:v>Serial concentrate chemistry (actual recovery inherited)</x:v>
      </x:c>
      <x:c r="E16" s="36" t="str">
        <x:v>Serial concentrate chemistry (actual recovery inherited)</x:v>
      </x:c>
      <x:c r="F16" s="36" t="str">
        <x:v>Serial concentrate chemistry (actual recovery inherited)</x:v>
      </x:c>
      <x:c r="G16" s="36" t="str">
        <x:v>Serial concentrate chemistry (actual recovery inherited)</x:v>
      </x:c>
      <x:c r="H16" s="36" t="str">
        <x:v>Serial concentrate chemistry (actual recovery inherited)</x:v>
      </x:c>
      <x:c r="I16" s="36" t="str">
        <x:v>Serial concentrate chemistry (actual recovery inherited)</x:v>
      </x:c>
      <x:c r="J16" s="36" t="str">
        <x:v>Serial concentrate chemistry (actual recovery inherited)</x:v>
      </x:c>
      <x:c r="K16" s="86" t="str">
        <x:v>The minimum feasible state is S2 at 66 bar: A=3.6×10⁻¹² m/s/Pa, B=4.2×10⁻⁸ m/s, with 0.0009 mol/s HCl. Module water is 0.39456 kg/s and NaCl 418.91 mg/L; plant product is 0.04301 m³/s and SEC 2.7691 kWh/m³.</x:v>
      </x:c>
      <x:c r="L16" s="87" t="str">
        <x:v>The minimum feasible state is S2 at 66 bar: A=3.6×10⁻¹² m/s/Pa, B=4.2×10⁻⁸ m/s, with 0.0009 mol/s HCl. Module water is 0.39456 kg/s and NaCl 418.91 mg/L; plant product is 0.04301 m³/s and SEC 2.7691 kWh/m³.</x:v>
      </x:c>
      <x:c r="M16" s="87" t="str">
        <x:v>The minimum feasible state is S2 at 66 bar: A=3.6×10⁻¹² m/s/Pa, B=4.2×10⁻⁸ m/s, with 0.0009 mol/s HCl. Module water is 0.39456 kg/s and NaCl 418.91 mg/L; plant product is 0.04301 m³/s and SEC 2.7691 kWh/m³.</x:v>
      </x:c>
      <x:c r="N16" s="88" t="str">
        <x:v>The minimum feasible state is S2 at 66 bar: A=3.6×10⁻¹² m/s/Pa, B=4.2×10⁻⁸ m/s, with 0.0009 mol/s HCl. Module water is 0.39456 kg/s and NaCl 418.91 mg/L; plant product is 0.04301 m³/s and SEC 2.7691 kWh/m³.</x:v>
      </x:c>
    </x:row>
    <x:row r="17">
      <x:c r="A17" s="129" t="str">
        <x:v>ID</x:v>
      </x:c>
      <x:c r="B17" s="129" t="str">
        <x:v>Parent</x:v>
      </x:c>
      <x:c r="C17" s="129" t="str">
        <x:v>Recovery</x:v>
      </x:c>
      <x:c r="D17" s="129" t="str">
        <x:v>HCl mol/s</x:v>
      </x:c>
      <x:c r="E17" s="129" t="str">
        <x:v>pH</x:v>
      </x:c>
      <x:c r="F17" s="129" t="str">
        <x:v>Calcite SI</x:v>
      </x:c>
      <x:c r="G17" s="129" t="str">
        <x:v>Dolomite SI</x:v>
      </x:c>
      <x:c r="H17" s="129" t="str">
        <x:v>Gypsum SI</x:v>
      </x:c>
      <x:c r="I17" s="129" t="str">
        <x:v>Anhydrite SI</x:v>
      </x:c>
      <x:c r="J17" s="129" t="str">
        <x:v>Status</x:v>
      </x:c>
      <x:c r="K17" s="86" t="str">
        <x:v>The minimum feasible state is S2 at 66 bar: A=3.6×10⁻¹² m/s/Pa, B=4.2×10⁻⁸ m/s, with 0.0009 mol/s HCl. Module water is 0.39456 kg/s and NaCl 418.91 mg/L; plant product is 0.04301 m³/s and SEC 2.7691 kWh/m³.</x:v>
      </x:c>
      <x:c r="L17" s="87" t="str">
        <x:v>The minimum feasible state is S2 at 66 bar: A=3.6×10⁻¹² m/s/Pa, B=4.2×10⁻⁸ m/s, with 0.0009 mol/s HCl. Module water is 0.39456 kg/s and NaCl 418.91 mg/L; plant product is 0.04301 m³/s and SEC 2.7691 kWh/m³.</x:v>
      </x:c>
      <x:c r="M17" s="87" t="str">
        <x:v>The minimum feasible state is S2 at 66 bar: A=3.6×10⁻¹² m/s/Pa, B=4.2×10⁻⁸ m/s, with 0.0009 mol/s HCl. Module water is 0.39456 kg/s and NaCl 418.91 mg/L; plant product is 0.04301 m³/s and SEC 2.7691 kWh/m³.</x:v>
      </x:c>
      <x:c r="N17" s="88" t="str">
        <x:v>The minimum feasible state is S2 at 66 bar: A=3.6×10⁻¹² m/s/Pa, B=4.2×10⁻⁸ m/s, with 0.0009 mol/s HCl. Module water is 0.39456 kg/s and NaCl 418.91 mg/L; plant product is 0.04301 m³/s and SEC 2.7691 kWh/m³.</x:v>
      </x:c>
    </x:row>
    <x:row r="18">
      <x:c r="A18" s="124" t="str">
        <x:v>S2-D0.0006</x:v>
      </x:c>
      <x:c r="B18" s="124" t="str">
        <x:v>S2_66</x:v>
      </x:c>
      <x:c r="C18" s="132" t="n">
        <x:v>0.4056964</x:v>
      </x:c>
      <x:c r="D18" s="132" t="n">
        <x:v>0.0006</x:v>
      </x:c>
      <x:c r="E18" s="132" t="n">
        <x:v>6.5074</x:v>
      </x:c>
      <x:c r="F18" s="132" t="n">
        <x:v>-0.3866</x:v>
      </x:c>
      <x:c r="G18" s="132" t="n">
        <x:v>0.2054</x:v>
      </x:c>
      <x:c r="H18" s="132" t="n">
        <x:v>-0.3771</x:v>
      </x:c>
      <x:c r="I18" s="132" t="n">
        <x:v>-0.6863</x:v>
      </x:c>
      <x:c r="J18" s="124" t="str">
        <x:f>IF(AND(E18&gt;=6.15,F18&lt;=0,G18&lt;=0,H18&lt;=0,I18&lt;=0),"PASS","FAIL")</x:f>
        <x:v>FAIL</x:v>
      </x:c>
      <x:c r="K18" s="86" t="str">
        <x:v>The minimum feasible state is S2 at 66 bar: A=3.6×10⁻¹² m/s/Pa, B=4.2×10⁻⁸ m/s, with 0.0009 mol/s HCl. Module water is 0.39456 kg/s and NaCl 418.91 mg/L; plant product is 0.04301 m³/s and SEC 2.7691 kWh/m³.</x:v>
      </x:c>
      <x:c r="L18" s="87" t="str">
        <x:v>The minimum feasible state is S2 at 66 bar: A=3.6×10⁻¹² m/s/Pa, B=4.2×10⁻⁸ m/s, with 0.0009 mol/s HCl. Module water is 0.39456 kg/s and NaCl 418.91 mg/L; plant product is 0.04301 m³/s and SEC 2.7691 kWh/m³.</x:v>
      </x:c>
      <x:c r="M18" s="87" t="str">
        <x:v>The minimum feasible state is S2 at 66 bar: A=3.6×10⁻¹² m/s/Pa, B=4.2×10⁻⁸ m/s, with 0.0009 mol/s HCl. Module water is 0.39456 kg/s and NaCl 418.91 mg/L; plant product is 0.04301 m³/s and SEC 2.7691 kWh/m³.</x:v>
      </x:c>
      <x:c r="N18" s="88" t="str">
        <x:v>The minimum feasible state is S2 at 66 bar: A=3.6×10⁻¹² m/s/Pa, B=4.2×10⁻⁸ m/s, with 0.0009 mol/s HCl. Module water is 0.39456 kg/s and NaCl 418.91 mg/L; plant product is 0.04301 m³/s and SEC 2.7691 kWh/m³.</x:v>
      </x:c>
    </x:row>
    <x:row r="19">
      <x:c r="A19" s="131" t="str">
        <x:v>S2-D0.0009</x:v>
      </x:c>
      <x:c r="B19" s="131" t="str">
        <x:v>S2_66</x:v>
      </x:c>
      <x:c r="C19" s="133" t="n">
        <x:v>0.4056964</x:v>
      </x:c>
      <x:c r="D19" s="133" t="n">
        <x:v>0.0009</x:v>
      </x:c>
      <x:c r="E19" s="133" t="n">
        <x:v>6.3539</x:v>
      </x:c>
      <x:c r="F19" s="133" t="n">
        <x:v>-0.5859</x:v>
      </x:c>
      <x:c r="G19" s="133" t="n">
        <x:v>-0.1929</x:v>
      </x:c>
      <x:c r="H19" s="133" t="n">
        <x:v>-0.3771</x:v>
      </x:c>
      <x:c r="I19" s="133" t="n">
        <x:v>-0.6863</x:v>
      </x:c>
      <x:c r="J19" s="131" t="str">
        <x:f>IF(AND(E19&gt;=6.15,F19&lt;=0,G19&lt;=0,H19&lt;=0,I19&lt;=0),"PASS","FAIL")</x:f>
        <x:v>PASS</x:v>
      </x:c>
      <x:c r="K19" s="86" t="str">
        <x:v>The minimum feasible state is S2 at 66 bar: A=3.6×10⁻¹² m/s/Pa, B=4.2×10⁻⁸ m/s, with 0.0009 mol/s HCl. Module water is 0.39456 kg/s and NaCl 418.91 mg/L; plant product is 0.04301 m³/s and SEC 2.7691 kWh/m³.</x:v>
      </x:c>
      <x:c r="L19" s="87" t="str">
        <x:v>The minimum feasible state is S2 at 66 bar: A=3.6×10⁻¹² m/s/Pa, B=4.2×10⁻⁸ m/s, with 0.0009 mol/s HCl. Module water is 0.39456 kg/s and NaCl 418.91 mg/L; plant product is 0.04301 m³/s and SEC 2.7691 kWh/m³.</x:v>
      </x:c>
      <x:c r="M19" s="87" t="str">
        <x:v>The minimum feasible state is S2 at 66 bar: A=3.6×10⁻¹² m/s/Pa, B=4.2×10⁻⁸ m/s, with 0.0009 mol/s HCl. Module water is 0.39456 kg/s and NaCl 418.91 mg/L; plant product is 0.04301 m³/s and SEC 2.7691 kWh/m³.</x:v>
      </x:c>
      <x:c r="N19" s="88" t="str">
        <x:v>The minimum feasible state is S2 at 66 bar: A=3.6×10⁻¹² m/s/Pa, B=4.2×10⁻⁸ m/s, with 0.0009 mol/s HCl. Module water is 0.39456 kg/s and NaCl 418.91 mg/L; plant product is 0.04301 m³/s and SEC 2.7691 kWh/m³.</x:v>
      </x:c>
    </x:row>
    <x:row r="20">
      <x:c r="A20" s="124" t="str">
        <x:v>S2-D0.0012</x:v>
      </x:c>
      <x:c r="B20" s="124" t="str">
        <x:v>S2_66</x:v>
      </x:c>
      <x:c r="C20" s="132" t="n">
        <x:v>0.4056964</x:v>
      </x:c>
      <x:c r="D20" s="132" t="n">
        <x:v>0.0012</x:v>
      </x:c>
      <x:c r="E20" s="132" t="n">
        <x:v>6.2158</x:v>
      </x:c>
      <x:c r="F20" s="132" t="n">
        <x:v>-0.7757</x:v>
      </x:c>
      <x:c r="G20" s="132" t="n">
        <x:v>-0.5722</x:v>
      </x:c>
      <x:c r="H20" s="132" t="n">
        <x:v>-0.3772</x:v>
      </x:c>
      <x:c r="I20" s="132" t="n">
        <x:v>-0.6863</x:v>
      </x:c>
      <x:c r="J20" s="124" t="str">
        <x:f>IF(AND(E20&gt;=6.15,F20&lt;=0,G20&lt;=0,H20&lt;=0,I20&lt;=0),"PASS","FAIL")</x:f>
        <x:v>PASS</x:v>
      </x:c>
      <x:c r="K20" s="86" t="str">
        <x:v>The minimum feasible state is S2 at 66 bar: A=3.6×10⁻¹² m/s/Pa, B=4.2×10⁻⁸ m/s, with 0.0009 mol/s HCl. Module water is 0.39456 kg/s and NaCl 418.91 mg/L; plant product is 0.04301 m³/s and SEC 2.7691 kWh/m³.</x:v>
      </x:c>
      <x:c r="L20" s="87" t="str">
        <x:v>The minimum feasible state is S2 at 66 bar: A=3.6×10⁻¹² m/s/Pa, B=4.2×10⁻⁸ m/s, with 0.0009 mol/s HCl. Module water is 0.39456 kg/s and NaCl 418.91 mg/L; plant product is 0.04301 m³/s and SEC 2.7691 kWh/m³.</x:v>
      </x:c>
      <x:c r="M20" s="87" t="str">
        <x:v>The minimum feasible state is S2 at 66 bar: A=3.6×10⁻¹² m/s/Pa, B=4.2×10⁻⁸ m/s, with 0.0009 mol/s HCl. Module water is 0.39456 kg/s and NaCl 418.91 mg/L; plant product is 0.04301 m³/s and SEC 2.7691 kWh/m³.</x:v>
      </x:c>
      <x:c r="N20" s="88" t="str">
        <x:v>The minimum feasible state is S2 at 66 bar: A=3.6×10⁻¹² m/s/Pa, B=4.2×10⁻⁸ m/s, with 0.0009 mol/s HCl. Module water is 0.39456 kg/s and NaCl 418.91 mg/L; plant product is 0.04301 m³/s and SEC 2.7691 kWh/m³.</x:v>
      </x:c>
    </x:row>
    <x:row r="21">
      <x:c r="A21" s="124" t="str">
        <x:v>S2-D0.0015</x:v>
      </x:c>
      <x:c r="B21" s="124" t="str">
        <x:v>S2_66</x:v>
      </x:c>
      <x:c r="C21" s="132" t="n">
        <x:v>0.4056964</x:v>
      </x:c>
      <x:c r="D21" s="132" t="n">
        <x:v>0.0015</x:v>
      </x:c>
      <x:c r="E21" s="132" t="n">
        <x:v>6.0847</x:v>
      </x:c>
      <x:c r="F21" s="132" t="n">
        <x:v>-0.9657</x:v>
      </x:c>
      <x:c r="G21" s="132" t="n">
        <x:v>-0.9518</x:v>
      </x:c>
      <x:c r="H21" s="132" t="n">
        <x:v>-0.3772</x:v>
      </x:c>
      <x:c r="I21" s="132" t="n">
        <x:v>-0.6864</x:v>
      </x:c>
      <x:c r="J21" s="124" t="str">
        <x:f>IF(AND(E21&gt;=6.15,F21&lt;=0,G21&lt;=0,H21&lt;=0,I21&lt;=0),"PASS","FAIL")</x:f>
        <x:v>FAIL</x:v>
      </x:c>
      <x:c r="K21" s="89" t="str">
        <x:v>The minimum feasible state is S2 at 66 bar: A=3.6×10⁻¹² m/s/Pa, B=4.2×10⁻⁸ m/s, with 0.0009 mol/s HCl. Module water is 0.39456 kg/s and NaCl 418.91 mg/L; plant product is 0.04301 m³/s and SEC 2.7691 kWh/m³.</x:v>
      </x:c>
      <x:c r="L21" s="90" t="str">
        <x:v>The minimum feasible state is S2 at 66 bar: A=3.6×10⁻¹² m/s/Pa, B=4.2×10⁻⁸ m/s, with 0.0009 mol/s HCl. Module water is 0.39456 kg/s and NaCl 418.91 mg/L; plant product is 0.04301 m³/s and SEC 2.7691 kWh/m³.</x:v>
      </x:c>
      <x:c r="M21" s="90" t="str">
        <x:v>The minimum feasible state is S2 at 66 bar: A=3.6×10⁻¹² m/s/Pa, B=4.2×10⁻⁸ m/s, with 0.0009 mol/s HCl. Module water is 0.39456 kg/s and NaCl 418.91 mg/L; plant product is 0.04301 m³/s and SEC 2.7691 kWh/m³.</x:v>
      </x:c>
      <x:c r="N21" s="91" t="str">
        <x:v>The minimum feasible state is S2 at 66 bar: A=3.6×10⁻¹² m/s/Pa, B=4.2×10⁻⁸ m/s, with 0.0009 mol/s HCl. Module water is 0.39456 kg/s and NaCl 418.91 mg/L; plant product is 0.04301 m³/s and SEC 2.7691 kWh/m³.</x:v>
      </x:c>
    </x:row>
    <x:row r="22">
      <x:c r="A22" s="124" t="str">
        <x:v>S3-D0.0009</x:v>
      </x:c>
      <x:c r="B22" s="124" t="str">
        <x:v>S3_66</x:v>
      </x:c>
      <x:c r="C22" s="132" t="n">
        <x:v>0.4137348</x:v>
      </x:c>
      <x:c r="D22" s="132" t="n">
        <x:v>0.0009</x:v>
      </x:c>
      <x:c r="E22" s="132" t="n">
        <x:v>6.3521</x:v>
      </x:c>
      <x:c r="F22" s="132" t="n">
        <x:v>-0.5773</x:v>
      </x:c>
      <x:c r="G22" s="132" t="n">
        <x:v>-0.1753</x:v>
      </x:c>
      <x:c r="H22" s="132" t="n">
        <x:v>-0.3708</x:v>
      </x:c>
      <x:c r="I22" s="132" t="n">
        <x:v>-0.6796</x:v>
      </x:c>
      <x:c r="J22" s="124" t="str">
        <x:f>IF(AND(E22&gt;=6.15,F22&lt;=0,G22&lt;=0,H22&lt;=0,I22&lt;=0),"PASS","FAIL")</x:f>
        <x:v>PASS</x:v>
      </x:c>
      <x:c r="K22" s="1"/>
      <x:c r="L22" s="1"/>
      <x:c r="M22" s="1"/>
      <x:c r="N22" s="1"/>
    </x:row>
    <x:row r="23">
      <x:c r="A23" s="1"/>
      <x:c r="B23" s="1"/>
      <x:c r="C23" s="1"/>
      <x:c r="D23" s="1"/>
      <x:c r="E23" s="1"/>
      <x:c r="F23" s="1"/>
      <x:c r="G23" s="1"/>
      <x:c r="H23" s="1"/>
      <x:c r="I23" s="1"/>
      <x:c r="J23" s="1"/>
      <x:c r="K23" s="1"/>
      <x:c r="L23" s="1"/>
      <x:c r="M23" s="1"/>
      <x:c r="N23" s="1"/>
    </x:row>
    <x:row r="24">
      <x:c r="A24" s="36" t="str">
        <x:v>Engineering conversion / final KPI</x:v>
      </x:c>
      <x:c r="B24" s="36" t="str">
        <x:v>Engineering conversion / final KPI</x:v>
      </x:c>
      <x:c r="C24" s="36" t="str">
        <x:v>Engineering conversion / final KPI</x:v>
      </x:c>
      <x:c r="D24" s="36" t="str">
        <x:v>Engineering conversion / final KPI</x:v>
      </x:c>
      <x:c r="E24" s="36" t="str">
        <x:v>Engineering conversion / final KPI</x:v>
      </x:c>
      <x:c r="F24" s="36" t="str">
        <x:v>Engineering conversion / final KPI</x:v>
      </x:c>
      <x:c r="G24" s="1"/>
      <x:c r="H24" s="36" t="str">
        <x:v>Boundary evidence</x:v>
      </x:c>
      <x:c r="I24" s="36" t="str">
        <x:v>Boundary evidence</x:v>
      </x:c>
      <x:c r="J24" s="36" t="str">
        <x:v>Boundary evidence</x:v>
      </x:c>
      <x:c r="K24" s="36" t="str">
        <x:v>Boundary evidence</x:v>
      </x:c>
      <x:c r="L24" s="36" t="str">
        <x:v>Boundary evidence</x:v>
      </x:c>
      <x:c r="M24" s="36" t="str">
        <x:v>Boundary evidence</x:v>
      </x:c>
      <x:c r="N24" s="36" t="str">
        <x:v>Boundary evidence</x:v>
      </x:c>
    </x:row>
    <x:row r="25">
      <x:c r="A25" s="134" t="str">
        <x:v>Selected HCl mol/s</x:v>
      </x:c>
      <x:c r="B25" s="135" t="n">
        <x:v>0.0009</x:v>
      </x:c>
      <x:c r="C25" s="134" t="str"/>
      <x:c r="D25" s="1"/>
      <x:c r="E25" s="1"/>
      <x:c r="F25" s="1"/>
      <x:c r="G25" s="1"/>
      <x:c r="H25" s="83" t="str">
        <x:v>The minimum feasible state is S2 at 66 bar: A=3.6×10⁻¹² m/s/Pa, B=4.2×10⁻⁸ m/s, with 0.0009 mol/s HCl. Module water is 0.39456 kg/s and NaCl 418.91 mg/L; plant product is 0.04301 m³/s and SEC 2.7691 kWh/m³.</x:v>
      </x:c>
      <x:c r="I25" s="84" t="str">
        <x:v>The minimum feasible state is S2 at 66 bar: A=3.6×10⁻¹² m/s/Pa, B=4.2×10⁻⁸ m/s, with 0.0009 mol/s HCl. Module water is 0.39456 kg/s and NaCl 418.91 mg/L; plant product is 0.04301 m³/s and SEC 2.7691 kWh/m³.</x:v>
      </x:c>
      <x:c r="J25" s="84" t="str">
        <x:v>The minimum feasible state is S2 at 66 bar: A=3.6×10⁻¹² m/s/Pa, B=4.2×10⁻⁸ m/s, with 0.0009 mol/s HCl. Module water is 0.39456 kg/s and NaCl 418.91 mg/L; plant product is 0.04301 m³/s and SEC 2.7691 kWh/m³.</x:v>
      </x:c>
      <x:c r="K25" s="84" t="str">
        <x:v>The minimum feasible state is S2 at 66 bar: A=3.6×10⁻¹² m/s/Pa, B=4.2×10⁻⁸ m/s, with 0.0009 mol/s HCl. Module water is 0.39456 kg/s and NaCl 418.91 mg/L; plant product is 0.04301 m³/s and SEC 2.7691 kWh/m³.</x:v>
      </x:c>
      <x:c r="L25" s="84" t="str">
        <x:v>The minimum feasible state is S2 at 66 bar: A=3.6×10⁻¹² m/s/Pa, B=4.2×10⁻⁸ m/s, with 0.0009 mol/s HCl. Module water is 0.39456 kg/s and NaCl 418.91 mg/L; plant product is 0.04301 m³/s and SEC 2.7691 kWh/m³.</x:v>
      </x:c>
      <x:c r="M25" s="84" t="str">
        <x:v>The minimum feasible state is S2 at 66 bar: A=3.6×10⁻¹² m/s/Pa, B=4.2×10⁻⁸ m/s, with 0.0009 mol/s HCl. Module water is 0.39456 kg/s and NaCl 418.91 mg/L; plant product is 0.04301 m³/s and SEC 2.7691 kWh/m³.</x:v>
      </x:c>
      <x:c r="N25" s="85" t="str">
        <x:v>The minimum feasible state is S2 at 66 bar: A=3.6×10⁻¹² m/s/Pa, B=4.2×10⁻⁸ m/s, with 0.0009 mol/s HCl. Module water is 0.39456 kg/s and NaCl 418.91 mg/L; plant product is 0.04301 m³/s and SEC 2.7691 kWh/m³.</x:v>
      </x:c>
    </x:row>
    <x:row r="26">
      <x:c r="A26" s="134" t="str">
        <x:v>Pure HCl g/h</x:v>
      </x:c>
      <x:c r="B26" s="135" t="n">
        <x:f>B25*36.46*3600</x:f>
        <x:v>118.13040000000001</x:v>
      </x:c>
      <x:c r="C26" s="134" t="str"/>
      <x:c r="D26" s="1"/>
      <x:c r="E26" s="1"/>
      <x:c r="F26" s="1"/>
      <x:c r="G26" s="1"/>
      <x:c r="H26" s="86" t="str">
        <x:v>The minimum feasible state is S2 at 66 bar: A=3.6×10⁻¹² m/s/Pa, B=4.2×10⁻⁸ m/s, with 0.0009 mol/s HCl. Module water is 0.39456 kg/s and NaCl 418.91 mg/L; plant product is 0.04301 m³/s and SEC 2.7691 kWh/m³.</x:v>
      </x:c>
      <x:c r="I26" s="87" t="str">
        <x:v>The minimum feasible state is S2 at 66 bar: A=3.6×10⁻¹² m/s/Pa, B=4.2×10⁻⁸ m/s, with 0.0009 mol/s HCl. Module water is 0.39456 kg/s and NaCl 418.91 mg/L; plant product is 0.04301 m³/s and SEC 2.7691 kWh/m³.</x:v>
      </x:c>
      <x:c r="J26" s="87" t="str">
        <x:v>The minimum feasible state is S2 at 66 bar: A=3.6×10⁻¹² m/s/Pa, B=4.2×10⁻⁸ m/s, with 0.0009 mol/s HCl. Module water is 0.39456 kg/s and NaCl 418.91 mg/L; plant product is 0.04301 m³/s and SEC 2.7691 kWh/m³.</x:v>
      </x:c>
      <x:c r="K26" s="87" t="str">
        <x:v>The minimum feasible state is S2 at 66 bar: A=3.6×10⁻¹² m/s/Pa, B=4.2×10⁻⁸ m/s, with 0.0009 mol/s HCl. Module water is 0.39456 kg/s and NaCl 418.91 mg/L; plant product is 0.04301 m³/s and SEC 2.7691 kWh/m³.</x:v>
      </x:c>
      <x:c r="L26" s="87" t="str">
        <x:v>The minimum feasible state is S2 at 66 bar: A=3.6×10⁻¹² m/s/Pa, B=4.2×10⁻⁸ m/s, with 0.0009 mol/s HCl. Module water is 0.39456 kg/s and NaCl 418.91 mg/L; plant product is 0.04301 m³/s and SEC 2.7691 kWh/m³.</x:v>
      </x:c>
      <x:c r="M26" s="87" t="str">
        <x:v>The minimum feasible state is S2 at 66 bar: A=3.6×10⁻¹² m/s/Pa, B=4.2×10⁻⁸ m/s, with 0.0009 mol/s HCl. Module water is 0.39456 kg/s and NaCl 418.91 mg/L; plant product is 0.04301 m³/s and SEC 2.7691 kWh/m³.</x:v>
      </x:c>
      <x:c r="N26" s="88" t="str">
        <x:v>The minimum feasible state is S2 at 66 bar: A=3.6×10⁻¹² m/s/Pa, B=4.2×10⁻⁸ m/s, with 0.0009 mol/s HCl. Module water is 0.39456 kg/s and NaCl 418.91 mg/L; plant product is 0.04301 m³/s and SEC 2.7691 kWh/m³.</x:v>
      </x:c>
    </x:row>
    <x:row r="27">
      <x:c r="A27" s="134" t="str">
        <x:v>31 wt% HCl L/h</x:v>
      </x:c>
      <x:c r="B27" s="135" t="n">
        <x:f>B26/(31%*1150)</x:f>
        <x:v>0.3313615708274895</x:v>
      </x:c>
      <x:c r="C27" s="134" t="str"/>
      <x:c r="D27" s="1"/>
      <x:c r="E27" s="1"/>
      <x:c r="F27" s="1"/>
      <x:c r="G27" s="1"/>
      <x:c r="H27" s="89" t="str">
        <x:v>The minimum feasible state is S2 at 66 bar: A=3.6×10⁻¹² m/s/Pa, B=4.2×10⁻⁸ m/s, with 0.0009 mol/s HCl. Module water is 0.39456 kg/s and NaCl 418.91 mg/L; plant product is 0.04301 m³/s and SEC 2.7691 kWh/m³.</x:v>
      </x:c>
      <x:c r="I27" s="90" t="str">
        <x:v>The minimum feasible state is S2 at 66 bar: A=3.6×10⁻¹² m/s/Pa, B=4.2×10⁻⁸ m/s, with 0.0009 mol/s HCl. Module water is 0.39456 kg/s and NaCl 418.91 mg/L; plant product is 0.04301 m³/s and SEC 2.7691 kWh/m³.</x:v>
      </x:c>
      <x:c r="J27" s="90" t="str">
        <x:v>The minimum feasible state is S2 at 66 bar: A=3.6×10⁻¹² m/s/Pa, B=4.2×10⁻⁸ m/s, with 0.0009 mol/s HCl. Module water is 0.39456 kg/s and NaCl 418.91 mg/L; plant product is 0.04301 m³/s and SEC 2.7691 kWh/m³.</x:v>
      </x:c>
      <x:c r="K27" s="90" t="str">
        <x:v>The minimum feasible state is S2 at 66 bar: A=3.6×10⁻¹² m/s/Pa, B=4.2×10⁻⁸ m/s, with 0.0009 mol/s HCl. Module water is 0.39456 kg/s and NaCl 418.91 mg/L; plant product is 0.04301 m³/s and SEC 2.7691 kWh/m³.</x:v>
      </x:c>
      <x:c r="L27" s="90"/>
      <x:c r="M27" s="90"/>
      <x:c r="N27" s="91" t="str">
        <x:v>The minimum feasible state is S2 at 66 bar: A=3.6×10⁻¹² m/s/Pa, B=4.2×10⁻⁸ m/s, with 0.0009 mol/s HCl. Module water is 0.39456 kg/s and NaCl 418.91 mg/L; plant product is 0.04301 m³/s and SEC 2.7691 kWh/m³.</x:v>
      </x:c>
    </x:row>
    <x:row r="28">
      <x:c r="A28" s="1"/>
      <x:c r="B28" s="1"/>
      <x:c r="C28" s="1"/>
      <x:c r="D28" s="1"/>
      <x:c r="E28" s="1"/>
      <x:c r="F28" s="1"/>
      <x:c r="G28" s="1"/>
      <x:c r="H28" s="1"/>
      <x:c r="I28" s="1"/>
      <x:c r="J28" s="1"/>
      <x:c r="K28" s="1"/>
      <x:c r="L28" s="1"/>
      <x:c r="M28" s="1"/>
      <x:c r="N28" s="1"/>
    </x:row>
    <x:row r="29">
      <x:c r="A29" s="36" t="str">
        <x:v>Model scope and audit note</x:v>
      </x:c>
      <x:c r="B29" s="36" t="str">
        <x:v>Model scope and audit note</x:v>
      </x:c>
      <x:c r="C29" s="36" t="str">
        <x:v>Model scope and audit note</x:v>
      </x:c>
      <x:c r="D29" s="36" t="str">
        <x:v>Model scope and audit note</x:v>
      </x:c>
      <x:c r="E29" s="36" t="str">
        <x:v>Model scope and audit note</x:v>
      </x:c>
      <x:c r="F29" s="36" t="str">
        <x:v>Model scope and audit note</x:v>
      </x:c>
      <x:c r="G29" s="36" t="str">
        <x:v>Model scope and audit note</x:v>
      </x:c>
      <x:c r="H29" s="36" t="str">
        <x:v>Model scope and audit note</x:v>
      </x:c>
      <x:c r="I29" s="36" t="str">
        <x:v>Model scope and audit note</x:v>
      </x:c>
      <x:c r="J29" s="36" t="str">
        <x:v>Model scope and audit note</x:v>
      </x:c>
      <x:c r="K29" s="36" t="str">
        <x:v>Model scope and audit note</x:v>
      </x:c>
      <x:c r="L29" s="36"/>
      <x:c r="M29" s="36"/>
      <x:c r="N29" s="36" t="str">
        <x:v>Model scope and audit note</x:v>
      </x:c>
    </x:row>
    <x:row r="30">
      <x:c r="A30" s="25"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0"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0" s="26"/>
      <x:c r="M30" s="26"/>
      <x:c r="N30" s="27"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1">
      <x:c r="A31" s="28"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1"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1" s="29"/>
      <x:c r="M31" s="29"/>
      <x:c r="N31" s="30"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2">
      <x:c r="A32" s="28"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2" s="29"/>
      <x:c r="M32" s="29"/>
      <x:c r="N32" s="30"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3">
      <x:c r="A33" s="31"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3"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3" s="32"/>
      <x:c r="M33" s="32"/>
      <x:c r="N33" s="33"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A8:J8"/>
    <x:mergeCell ref="A16:J16"/>
    <x:mergeCell ref="A24:F24"/>
    <x:mergeCell ref="H24:N24"/>
    <x:mergeCell ref="H25:N27"/>
    <x:mergeCell ref="A29:N29"/>
    <x:mergeCell ref="A30:N33"/>
    <x:mergeCell ref="K8:N8"/>
    <x:mergeCell ref="K9:N2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D6_6a-N03 | Trajectory rubric (100 points)</x:v>
      </x:c>
      <x:c r="B1" s="6" t="str">
        <x:v>D6_6a-N03 | Trajectory rubric (100 points)</x:v>
      </x:c>
      <x:c r="C1" s="6" t="str">
        <x:v>D6_6a-N03 | Trajectory rubric (100 points)</x:v>
      </x:c>
      <x:c r="D1" s="6" t="str">
        <x:v>D6_6a-N03 | Trajectory rubric (100 points)</x:v>
      </x:c>
      <x:c r="E1" s="6" t="str">
        <x:v>D6_6a-N03 | Trajectory rubric (100 points)</x:v>
      </x:c>
      <x:c r="F1" s="6" t="str">
        <x:v>D6_6a-N03 | Trajectory rubric (100 points)</x:v>
      </x:c>
      <x:c r="G1" s="6" t="str">
        <x:v>D6_6a-N03 | Trajectory rubric (100 points)</x:v>
      </x:c>
      <x:c r="H1" s="6" t="str">
        <x:v>D6_6a-N03 | Trajectory rubric (100 points)</x:v>
      </x:c>
      <x:c r="I1" s="6" t="str">
        <x:v>D6_6a-N03 | Trajectory rubric (100 points)</x:v>
      </x:c>
      <x:c r="J1" s="6" t="str">
        <x:v>D6_6a-N03 | Trajectory rubric (100 points)</x:v>
      </x:c>
      <x:c r="K1" s="6" t="str">
        <x:v>D6_6a-N03 | Trajectory rubric (100 points)</x:v>
      </x:c>
      <x:c r="L1" s="6" t="str">
        <x:v>D6_6a-N03 | Trajectory rubric (100 points)</x:v>
      </x:c>
      <x:c r="M1" s="6" t="str">
        <x:v>D6_6a-N03 | Trajectory rubric (100 points)</x:v>
      </x:c>
      <x:c r="N1" s="6" t="str">
        <x:v>D6_6a-N03 | Trajectory rubric (100 points)</x:v>
      </x:c>
    </x:row>
    <x:row r="2" ht="28" customHeight="1">
      <x:c r="A2" s="6" t="str">
        <x:v>D6_6a-N03 | Trajectory rubric (100 points)</x:v>
      </x:c>
      <x:c r="B2" s="6" t="str">
        <x:v>D6_6a-N03 | Trajectory rubric (100 points)</x:v>
      </x:c>
      <x:c r="C2" s="6" t="str">
        <x:v>D6_6a-N03 | Trajectory rubric (100 points)</x:v>
      </x:c>
      <x:c r="D2" s="6" t="str">
        <x:v>D6_6a-N03 | Trajectory rubric (100 points)</x:v>
      </x:c>
      <x:c r="E2" s="6" t="str">
        <x:v>D6_6a-N03 | Trajectory rubric (100 points)</x:v>
      </x:c>
      <x:c r="F2" s="6" t="str">
        <x:v>D6_6a-N03 | Trajectory rubric (100 points)</x:v>
      </x:c>
      <x:c r="G2" s="6" t="str">
        <x:v>D6_6a-N03 | Trajectory rubric (100 points)</x:v>
      </x:c>
      <x:c r="H2" s="6" t="str">
        <x:v>D6_6a-N03 | Trajectory rubric (100 points)</x:v>
      </x:c>
      <x:c r="I2" s="6" t="str">
        <x:v>D6_6a-N03 | Trajectory rubric (100 points)</x:v>
      </x:c>
      <x:c r="J2" s="6" t="str">
        <x:v>D6_6a-N03 | Trajectory rubric (100 points)</x:v>
      </x:c>
      <x:c r="K2" s="6" t="str">
        <x:v>D6_6a-N03 | Trajectory rubric (100 points)</x:v>
      </x:c>
      <x:c r="L2" s="6" t="str">
        <x:v>D6_6a-N03 | Trajectory rubric (100 points)</x:v>
      </x:c>
      <x:c r="M2" s="6" t="str">
        <x:v>D6_6a-N03 | Trajectory rubric (100 points)</x:v>
      </x:c>
      <x:c r="N2" s="6" t="str">
        <x:v>D6_6a-N03 | Trajectory rubric (100 points)</x:v>
      </x:c>
    </x:row>
    <x:row r="3">
      <x:c r="A3" s="1"/>
      <x:c r="B3" s="1"/>
      <x:c r="C3" s="1"/>
      <x:c r="D3" s="1"/>
      <x:c r="E3" s="1"/>
      <x:c r="F3" s="1"/>
      <x:c r="G3" s="1"/>
      <x:c r="H3" s="1"/>
      <x:c r="I3" s="1"/>
      <x:c r="J3" s="1"/>
      <x:c r="K3" s="1"/>
      <x:c r="L3" s="1"/>
      <x:c r="M3" s="1"/>
      <x:c r="N3" s="1"/>
    </x:row>
    <x:row r="4">
      <x:c r="A4" s="29" t="str">
        <x:v>Score the complete fork-join-serial trajectory. A plausible final number without aligned candidate identities and inherited recovery is not sufficient.</x:v>
      </x:c>
      <x:c r="B4" s="29" t="str">
        <x:v>Score the complete fork-join-serial trajectory. A plausible final number without aligned candidate identities and inherited recovery is not sufficient.</x:v>
      </x:c>
      <x:c r="C4" s="29" t="str">
        <x:v>Score the complete fork-join-serial trajectory. A plausible final number without aligned candidate identities and inherited recovery is not sufficient.</x:v>
      </x:c>
      <x:c r="D4" s="29" t="str">
        <x:v>Score the complete fork-join-serial trajectory. A plausible final number without aligned candidate identities and inherited recovery is not sufficient.</x:v>
      </x:c>
      <x:c r="E4" s="29" t="str">
        <x:v>Score the complete fork-join-serial trajectory. A plausible final number without aligned candidate identities and inherited recovery is not sufficient.</x:v>
      </x:c>
      <x:c r="F4" s="29" t="str">
        <x:v>Score the complete fork-join-serial trajectory. A plausible final number without aligned candidate identities and inherited recovery is not sufficient.</x:v>
      </x:c>
      <x:c r="G4" s="29" t="str">
        <x:v>Score the complete fork-join-serial trajectory. A plausible final number without aligned candidate identities and inherited recovery is not sufficient.</x:v>
      </x:c>
      <x:c r="H4" s="29" t="str">
        <x:v>Score the complete fork-join-serial trajectory. A plausible final number without aligned candidate identities and inherited recovery is not sufficient.</x:v>
      </x:c>
      <x:c r="I4" s="29" t="str">
        <x:v>Score the complete fork-join-serial trajectory. A plausible final number without aligned candidate identities and inherited recovery is not sufficient.</x:v>
      </x:c>
      <x:c r="J4" s="29" t="str">
        <x:v>Score the complete fork-join-serial trajectory. A plausible final number without aligned candidate identities and inherited recovery is not sufficient.</x:v>
      </x:c>
      <x:c r="K4" s="29" t="str">
        <x:v>Score the complete fork-join-serial trajectory. A plausible final number without aligned candidate identities and inherited recovery is not sufficient.</x:v>
      </x:c>
      <x:c r="L4" s="29" t="str">
        <x:v>Score the complete fork-join-serial trajectory. A plausible final number without aligned candidate identities and inherited recovery is not sufficient.</x:v>
      </x:c>
      <x:c r="M4" s="29" t="str">
        <x:v>Score the complete fork-join-serial trajectory. A plausible final number without aligned candidate identities and inherited recovery is not sufficient.</x:v>
      </x:c>
      <x:c r="N4" s="29" t="str">
        <x:v>Score the complete fork-join-serial trajectory. A plausible final number without aligned candidate identities and inherited recovery is not sufficient.</x:v>
      </x:c>
    </x:row>
    <x:row r="5">
      <x:c r="A5" s="29" t="str">
        <x:v>Score the complete fork-join-serial trajectory. A plausible final number without aligned candidate identities and inherited recovery is not sufficient.</x:v>
      </x:c>
      <x:c r="B5" s="29" t="str">
        <x:v>Score the complete fork-join-serial trajectory. A plausible final number without aligned candidate identities and inherited recovery is not sufficient.</x:v>
      </x:c>
      <x:c r="C5" s="29" t="str">
        <x:v>Score the complete fork-join-serial trajectory. A plausible final number without aligned candidate identities and inherited recovery is not sufficient.</x:v>
      </x:c>
      <x:c r="D5" s="29" t="str">
        <x:v>Score the complete fork-join-serial trajectory. A plausible final number without aligned candidate identities and inherited recovery is not sufficient.</x:v>
      </x:c>
      <x:c r="E5" s="29" t="str">
        <x:v>Score the complete fork-join-serial trajectory. A plausible final number without aligned candidate identities and inherited recovery is not sufficient.</x:v>
      </x:c>
      <x:c r="F5" s="29" t="str">
        <x:v>Score the complete fork-join-serial trajectory. A plausible final number without aligned candidate identities and inherited recovery is not sufficient.</x:v>
      </x:c>
      <x:c r="G5" s="29" t="str">
        <x:v>Score the complete fork-join-serial trajectory. A plausible final number without aligned candidate identities and inherited recovery is not sufficient.</x:v>
      </x:c>
      <x:c r="H5" s="29" t="str">
        <x:v>Score the complete fork-join-serial trajectory. A plausible final number without aligned candidate identities and inherited recovery is not sufficient.</x:v>
      </x:c>
      <x:c r="I5" s="29" t="str">
        <x:v>Score the complete fork-join-serial trajectory. A plausible final number without aligned candidate identities and inherited recovery is not sufficient.</x:v>
      </x:c>
      <x:c r="J5" s="29" t="str">
        <x:v>Score the complete fork-join-serial trajectory. A plausible final number without aligned candidate identities and inherited recovery is not sufficient.</x:v>
      </x:c>
      <x:c r="K5" s="29" t="str">
        <x:v>Score the complete fork-join-serial trajectory. A plausible final number without aligned candidate identities and inherited recovery is not sufficient.</x:v>
      </x:c>
      <x:c r="L5" s="29" t="str">
        <x:v>Score the complete fork-join-serial trajectory. A plausible final number without aligned candidate identities and inherited recovery is not sufficient.</x:v>
      </x:c>
      <x:c r="M5" s="29" t="str">
        <x:v>Score the complete fork-join-serial trajectory. A plausible final number without aligned candidate identities and inherited recovery is not sufficient.</x:v>
      </x:c>
      <x:c r="N5" s="29" t="str">
        <x:v>Score the complete fork-join-serial trajectory. A plausible final number without aligned candidate identities and inherited recovery is not sufficient.</x:v>
      </x:c>
    </x:row>
    <x:row r="6">
      <x:c r="A6" s="29" t="str">
        <x:v>Score the complete fork-join-serial trajectory. A plausible final number without aligned candidate identities and inherited recovery is not sufficient.</x:v>
      </x:c>
      <x:c r="B6" s="29" t="str">
        <x:v>Score the complete fork-join-serial trajectory. A plausible final number without aligned candidate identities and inherited recovery is not sufficient.</x:v>
      </x:c>
      <x:c r="C6" s="29" t="str">
        <x:v>Score the complete fork-join-serial trajectory. A plausible final number without aligned candidate identities and inherited recovery is not sufficient.</x:v>
      </x:c>
      <x:c r="D6" s="29" t="str">
        <x:v>Score the complete fork-join-serial trajectory. A plausible final number without aligned candidate identities and inherited recovery is not sufficient.</x:v>
      </x:c>
      <x:c r="E6" s="29" t="str">
        <x:v>Score the complete fork-join-serial trajectory. A plausible final number without aligned candidate identities and inherited recovery is not sufficient.</x:v>
      </x:c>
      <x:c r="F6" s="29" t="str">
        <x:v>Score the complete fork-join-serial trajectory. A plausible final number without aligned candidate identities and inherited recovery is not sufficient.</x:v>
      </x:c>
      <x:c r="G6" s="29" t="str">
        <x:v>Score the complete fork-join-serial trajectory. A plausible final number without aligned candidate identities and inherited recovery is not sufficient.</x:v>
      </x:c>
      <x:c r="H6" s="29" t="str">
        <x:v>Score the complete fork-join-serial trajectory. A plausible final number without aligned candidate identities and inherited recovery is not sufficient.</x:v>
      </x:c>
      <x:c r="I6" s="29" t="str">
        <x:v>Score the complete fork-join-serial trajectory. A plausible final number without aligned candidate identities and inherited recovery is not sufficient.</x:v>
      </x:c>
      <x:c r="J6" s="29" t="str">
        <x:v>Score the complete fork-join-serial trajectory. A plausible final number without aligned candidate identities and inherited recovery is not sufficient.</x:v>
      </x:c>
      <x:c r="K6" s="29" t="str">
        <x:v>Score the complete fork-join-serial trajectory. A plausible final number without aligned candidate identities and inherited recovery is not sufficient.</x:v>
      </x:c>
      <x:c r="L6" s="29" t="str">
        <x:v>Score the complete fork-join-serial trajectory. A plausible final number without aligned candidate identities and inherited recovery is not sufficient.</x:v>
      </x:c>
      <x:c r="M6" s="29" t="str">
        <x:v>Score the complete fork-join-serial trajectory. A plausible final number without aligned candidate identities and inherited recovery is not sufficient.</x:v>
      </x:c>
      <x:c r="N6" s="29" t="str">
        <x:v>Score the complete fork-join-serial trajectory. A plausible final number without aligned candidate identities and inherited recovery is not sufficient.</x:v>
      </x:c>
    </x:row>
    <x:row r="7">
      <x:c r="A7" s="1"/>
      <x:c r="B7" s="1"/>
      <x:c r="C7" s="1"/>
      <x:c r="D7" s="1"/>
      <x:c r="E7" s="1"/>
      <x:c r="F7" s="1"/>
      <x:c r="G7" s="1"/>
      <x:c r="H7" s="1"/>
      <x:c r="I7" s="1"/>
      <x:c r="J7" s="1"/>
      <x:c r="K7" s="1"/>
      <x:c r="L7" s="1"/>
      <x:c r="M7" s="1"/>
      <x:c r="N7" s="1"/>
    </x:row>
    <x:row r="8">
      <x:c r="A8" s="129" t="str">
        <x:v>Dimension</x:v>
      </x:c>
      <x:c r="B8" s="129" t="str">
        <x:v>Focus</x:v>
      </x:c>
      <x:c r="C8" s="129" t="str">
        <x:v>Full-credit evidence</x:v>
      </x:c>
      <x:c r="D8" s="129" t="str">
        <x:v>Partial</x:v>
      </x:c>
      <x:c r="E8" s="129" t="str">
        <x:v>Critical failure</x:v>
      </x:c>
      <x:c r="F8" s="129" t="str">
        <x:v>Weight</x:v>
      </x:c>
      <x:c r="G8" s="129" t="str"/>
      <x:c r="H8" s="129" t="str"/>
      <x:c r="I8" s="129" t="str"/>
      <x:c r="J8" s="129" t="str"/>
      <x:c r="K8" s="129" t="str"/>
      <x:c r="L8" s="129" t="str"/>
      <x:c r="M8" s="129" t="str"/>
      <x:c r="N8" s="129" t="str"/>
    </x:row>
    <x:row r="9" ht="54" customHeight="1">
      <x:c r="A9" s="124" t="str">
        <x:v>TQ1 Formulation</x:v>
      </x:c>
      <x:c r="B9" s="124" t="str">
        <x:v>Common candidate identity</x:v>
      </x:c>
      <x:c r="C9" s="124" t="str">
        <x:v>Defines variables, units, constraints and objective.</x:v>
      </x:c>
      <x:c r="D9" s="124" t="str">
        <x:v>One secondary omission.</x:v>
      </x:c>
      <x:c r="E9" s="124" t="str">
        <x:v>Changes undeclared variables.</x:v>
      </x:c>
      <x:c r="F9" s="124" t="n">
        <x:v>15</x:v>
      </x:c>
      <x:c r="G9" s="124" t="str"/>
      <x:c r="H9" s="124" t="str"/>
      <x:c r="I9" s="124" t="str"/>
      <x:c r="J9" s="124" t="str"/>
      <x:c r="K9" s="124" t="str"/>
      <x:c r="L9" s="124" t="str"/>
      <x:c r="M9" s="124" t="str"/>
      <x:c r="N9" s="124" t="str"/>
    </x:row>
    <x:row r="10" ht="54" customHeight="1">
      <x:c r="A10" s="124" t="str">
        <x:v>TQ2 Parallel membrane branch</x:v>
      </x:c>
      <x:c r="B10" s="124" t="str">
        <x:v>simulate_ro fidelity</x:v>
      </x:c>
      <x:c r="C10" s="124" t="str">
        <x:v>Runs the declared grid and applies all module constraints.</x:v>
      </x:c>
      <x:c r="D10" s="124" t="str">
        <x:v>Minor transcription error.</x:v>
      </x:c>
      <x:c r="E10" s="124" t="str">
        <x:v>Selects by water flow only.</x:v>
      </x:c>
      <x:c r="F10" s="124" t="n">
        <x:v>15</x:v>
      </x:c>
      <x:c r="G10" s="124" t="str"/>
      <x:c r="H10" s="124" t="str"/>
      <x:c r="I10" s="124" t="str"/>
      <x:c r="J10" s="124" t="str"/>
      <x:c r="K10" s="124" t="str"/>
      <x:c r="L10" s="124" t="str"/>
      <x:c r="M10" s="124" t="str"/>
      <x:c r="N10" s="124" t="str"/>
    </x:row>
    <x:row r="11" ht="54" customHeight="1">
      <x:c r="A11" s="124" t="str">
        <x:v>TQ3 Parallel plant branch</x:v>
      </x:c>
      <x:c r="B11" s="124" t="str">
        <x:v>simulate_swro_system fidelity</x:v>
      </x:c>
      <x:c r="C11" s="124" t="str">
        <x:v>Uses matching design IDs and applies product/SEC/economic rules.</x:v>
      </x:c>
      <x:c r="D11" s="124" t="str">
        <x:v>One non-decisive omission.</x:v>
      </x:c>
      <x:c r="E11" s="124" t="str">
        <x:v>Mixes module and plant settings.</x:v>
      </x:c>
      <x:c r="F11" s="124" t="n">
        <x:v>15</x:v>
      </x:c>
      <x:c r="G11" s="124" t="str"/>
      <x:c r="H11" s="124" t="str"/>
      <x:c r="I11" s="124" t="str"/>
      <x:c r="J11" s="124" t="str"/>
      <x:c r="K11" s="124" t="str"/>
      <x:c r="L11" s="124" t="str"/>
      <x:c r="M11" s="124" t="str"/>
      <x:c r="N11" s="124" t="str"/>
    </x:row>
    <x:row r="12" ht="54" customHeight="1">
      <x:c r="A12" s="124" t="str">
        <x:v>TQ4 Join logic</x:v>
      </x:c>
      <x:c r="B12" s="124" t="str">
        <x:v>Joint feasibility</x:v>
      </x:c>
      <x:c r="C12" s="124" t="str">
        <x:v>Intersects both branches before ranking.</x:v>
      </x:c>
      <x:c r="D12" s="124" t="str">
        <x:v>Weak adjacent-failure evidence.</x:v>
      </x:c>
      <x:c r="E12" s="124" t="str">
        <x:v>Ranks one branch independently.</x:v>
      </x:c>
      <x:c r="F12" s="124" t="n">
        <x:v>15</x:v>
      </x:c>
      <x:c r="G12" s="124" t="str"/>
      <x:c r="H12" s="124" t="str"/>
      <x:c r="I12" s="124" t="str"/>
      <x:c r="J12" s="124" t="str"/>
      <x:c r="K12" s="124" t="str"/>
      <x:c r="L12" s="124" t="str"/>
      <x:c r="M12" s="124" t="str"/>
      <x:c r="N12" s="124" t="str"/>
    </x:row>
    <x:row r="13" ht="54" customHeight="1">
      <x:c r="A13" s="124" t="str">
        <x:v>TQ5 Serial chemistry</x:v>
      </x:c>
      <x:c r="B13" s="124" t="str">
        <x:v>Inherited recovery</x:v>
      </x:c>
      <x:c r="C13" s="124" t="str">
        <x:v>Transfers actual recovery and evaluates dose/state boundaries.</x:v>
      </x:c>
      <x:c r="D13" s="124" t="str">
        <x:v>Non-decisive rounding.</x:v>
      </x:c>
      <x:c r="E13" s="124" t="str">
        <x:v>Uses nominal recovery.</x:v>
      </x:c>
      <x:c r="F13" s="124" t="n">
        <x:v>20</x:v>
      </x:c>
      <x:c r="G13" s="124" t="str"/>
      <x:c r="H13" s="124" t="str"/>
      <x:c r="I13" s="124" t="str"/>
      <x:c r="J13" s="124" t="str"/>
      <x:c r="K13" s="124" t="str"/>
      <x:c r="L13" s="124" t="str"/>
      <x:c r="M13" s="124" t="str"/>
      <x:c r="N13" s="124" t="str"/>
    </x:row>
    <x:row r="14" ht="54" customHeight="1">
      <x:c r="A14" s="124" t="str">
        <x:v>TQ6 Decision and scope</x:v>
      </x:c>
      <x:c r="B14" s="124" t="str">
        <x:v>Final recommendation</x:v>
      </x:c>
      <x:c r="C14" s="124" t="str">
        <x:v>Reports winner, controlling failure, conversion and model limits.</x:v>
      </x:c>
      <x:c r="D14" s="124" t="str">
        <x:v>Correct winner with weak audit.</x:v>
      </x:c>
      <x:c r="E14" s="124" t="str">
        <x:v>Unsupported certainty or wrong winner.</x:v>
      </x:c>
      <x:c r="F14" s="124" t="n">
        <x:v>20</x:v>
      </x:c>
      <x:c r="G14" s="124" t="str"/>
      <x:c r="H14" s="124" t="str"/>
      <x:c r="I14" s="124" t="str"/>
      <x:c r="J14" s="124" t="str"/>
      <x:c r="K14" s="124" t="str"/>
      <x:c r="L14" s="124" t="str"/>
      <x:c r="M14" s="124" t="str"/>
      <x:c r="N14" s="124" t="str"/>
    </x:row>
    <x:row r="15">
      <x:c r="A15" s="1"/>
      <x:c r="B15" s="1"/>
      <x:c r="C15" s="1"/>
      <x:c r="D15" s="1"/>
      <x:c r="E15" s="1"/>
      <x:c r="F15" s="1"/>
      <x:c r="G15" s="1"/>
      <x:c r="H15" s="1"/>
      <x:c r="I15" s="1"/>
      <x:c r="J15" s="1"/>
      <x:c r="K15" s="1"/>
      <x:c r="L15" s="1"/>
      <x:c r="M15" s="1"/>
      <x:c r="N15" s="1"/>
    </x:row>
    <x:row r="16">
      <x:c r="A16" s="36" t="str">
        <x:v>Gold Answer anchors</x:v>
      </x:c>
      <x:c r="B16" s="36" t="str">
        <x:v>Gold Answer anchors</x:v>
      </x:c>
      <x:c r="C16" s="36" t="str">
        <x:v>Gold Answer anchors</x:v>
      </x:c>
      <x:c r="D16" s="36" t="str">
        <x:v>Gold Answer anchors</x:v>
      </x:c>
      <x:c r="E16" s="36" t="str">
        <x:v>Gold Answer anchors</x:v>
      </x:c>
      <x:c r="F16" s="36" t="str">
        <x:v>Gold Answer anchors</x:v>
      </x:c>
      <x:c r="G16" s="36" t="str">
        <x:v>Gold Answer anchors</x:v>
      </x:c>
      <x:c r="H16" s="36" t="str">
        <x:v>Gold Answer anchors</x:v>
      </x:c>
      <x:c r="I16" s="36" t="str">
        <x:v>Gold Answer anchors</x:v>
      </x:c>
      <x:c r="J16" s="36" t="str">
        <x:v>Gold Answer anchors</x:v>
      </x:c>
      <x:c r="K16" s="36" t="str">
        <x:v>Gold Answer anchors</x:v>
      </x:c>
      <x:c r="L16" s="36" t="str">
        <x:v>Gold Answer anchors</x:v>
      </x:c>
      <x:c r="M16" s="36" t="str">
        <x:v>Gold Answer anchors</x:v>
      </x:c>
      <x:c r="N16" s="36" t="str">
        <x:v>Gold Answer anchors</x:v>
      </x:c>
    </x:row>
    <x:row r="17">
      <x:c r="A17" s="124" t="str">
        <x:v>Theme</x:v>
      </x:c>
      <x:c r="B17" s="124" t="str">
        <x:v>Three-model joint decisions for membrane performance, plant energy/economics, and concentrate chemistry under multiple RO operating states</x:v>
      </x:c>
      <x:c r="C17" s="124" t="str"/>
      <x:c r="D17" s="124" t="str"/>
      <x:c r="E17" s="124" t="str"/>
      <x:c r="F17" s="124" t="str"/>
      <x:c r="G17" s="124" t="str"/>
      <x:c r="H17" s="124" t="str"/>
      <x:c r="I17" s="124" t="str"/>
      <x:c r="J17" s="124" t="str"/>
      <x:c r="K17" s="124" t="str"/>
      <x:c r="L17" s="124" t="str"/>
      <x:c r="M17" s="124" t="str"/>
      <x:c r="N17" s="124" t="str"/>
    </x:row>
    <x:row r="18">
      <x:c r="A18" s="124" t="str">
        <x:v>Final design</x:v>
      </x:c>
      <x:c r="B18" s="124" t="str">
        <x:v>S2_66</x:v>
      </x:c>
      <x:c r="C18" s="124" t="str"/>
      <x:c r="D18" s="124" t="str"/>
      <x:c r="E18" s="124" t="str"/>
      <x:c r="F18" s="124" t="str"/>
      <x:c r="G18" s="124" t="str"/>
      <x:c r="H18" s="124" t="str"/>
      <x:c r="I18" s="124" t="str"/>
      <x:c r="J18" s="124" t="str"/>
      <x:c r="K18" s="124" t="str"/>
      <x:c r="L18" s="124" t="str"/>
      <x:c r="M18" s="124" t="str"/>
      <x:c r="N18" s="124" t="str"/>
    </x:row>
    <x:row r="19">
      <x:c r="A19" s="124" t="str">
        <x:v>Final HCl mol/s</x:v>
      </x:c>
      <x:c r="B19" s="124" t="n">
        <x:v>0.0009</x:v>
      </x:c>
      <x:c r="C19" s="124" t="str"/>
      <x:c r="D19" s="124" t="str"/>
      <x:c r="E19" s="124" t="str"/>
      <x:c r="F19" s="124" t="str"/>
      <x:c r="G19" s="124" t="str"/>
      <x:c r="H19" s="124" t="str"/>
      <x:c r="I19" s="124" t="str"/>
      <x:c r="J19" s="124" t="str"/>
      <x:c r="K19" s="124" t="str"/>
      <x:c r="L19" s="124" t="str"/>
      <x:c r="M19" s="124" t="str"/>
      <x:c r="N19" s="124" t="str"/>
    </x:row>
    <x:row r="20">
      <x:c r="A20" s="124" t="str">
        <x:v>Parallel calls</x:v>
      </x:c>
      <x:c r="B20" s="124" t="str">
        <x:v>10 simulate_ro + 10 simulate_swro_system</x:v>
      </x:c>
      <x:c r="C20" s="124" t="str"/>
      <x:c r="D20" s="124" t="str"/>
      <x:c r="E20" s="124" t="str"/>
      <x:c r="F20" s="124" t="str"/>
      <x:c r="G20" s="124" t="str"/>
      <x:c r="H20" s="124" t="str"/>
      <x:c r="I20" s="124" t="str"/>
      <x:c r="J20" s="124" t="str"/>
      <x:c r="K20" s="124" t="str"/>
      <x:c r="L20" s="124" t="str"/>
      <x:c r="M20" s="124" t="str"/>
      <x:c r="N20" s="124" t="str"/>
    </x:row>
    <x:row r="21">
      <x:c r="A21" s="124" t="str">
        <x:v>Serial calls</x:v>
      </x:c>
      <x:c r="B21" s="124" t="str">
        <x:v>10 equilibrate_feed</x:v>
      </x:c>
      <x:c r="C21" s="124" t="str"/>
      <x:c r="D21" s="124" t="str"/>
      <x:c r="E21" s="124" t="str"/>
      <x:c r="F21" s="124" t="str"/>
      <x:c r="G21" s="124" t="str"/>
      <x:c r="H21" s="124" t="str"/>
      <x:c r="I21" s="124" t="str"/>
      <x:c r="J21" s="124" t="str"/>
      <x:c r="K21" s="124" t="str"/>
      <x:c r="L21" s="124" t="str"/>
      <x:c r="M21" s="124" t="str"/>
      <x:c r="N21" s="124" t="str"/>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G8:N8"/>
    <x:mergeCell ref="G9:N9"/>
    <x:mergeCell ref="G10:N10"/>
    <x:mergeCell ref="G11:N11"/>
    <x:mergeCell ref="G12:N12"/>
    <x:mergeCell ref="G13:N13"/>
    <x:mergeCell ref="G14:N14"/>
    <x:mergeCell ref="A16:N16"/>
    <x:mergeCell ref="C17:N17"/>
    <x:mergeCell ref="C18:N18"/>
    <x:mergeCell ref="C19:N19"/>
    <x:mergeCell ref="C20:N20"/>
    <x:mergeCell ref="C21:N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D6_6a-N03 | Tool efficiency (100 points)</x:v>
      </x:c>
      <x:c r="B1" s="6" t="str">
        <x:v>D6_6a-N03 | Tool efficiency (100 points)</x:v>
      </x:c>
      <x:c r="C1" s="6" t="str">
        <x:v>D6_6a-N03 | Tool efficiency (100 points)</x:v>
      </x:c>
      <x:c r="D1" s="6" t="str">
        <x:v>D6_6a-N03 | Tool efficiency (100 points)</x:v>
      </x:c>
      <x:c r="E1" s="6" t="str">
        <x:v>D6_6a-N03 | Tool efficiency (100 points)</x:v>
      </x:c>
      <x:c r="F1" s="6" t="str">
        <x:v>D6_6a-N03 | Tool efficiency (100 points)</x:v>
      </x:c>
      <x:c r="G1" s="6" t="str">
        <x:v>D6_6a-N03 | Tool efficiency (100 points)</x:v>
      </x:c>
      <x:c r="H1" s="6" t="str">
        <x:v>D6_6a-N03 | Tool efficiency (100 points)</x:v>
      </x:c>
      <x:c r="I1" s="6" t="str">
        <x:v>D6_6a-N03 | Tool efficiency (100 points)</x:v>
      </x:c>
      <x:c r="J1" s="6" t="str">
        <x:v>D6_6a-N03 | Tool efficiency (100 points)</x:v>
      </x:c>
      <x:c r="K1" s="6" t="str">
        <x:v>D6_6a-N03 | Tool efficiency (100 points)</x:v>
      </x:c>
      <x:c r="L1" s="6" t="str">
        <x:v>D6_6a-N03 | Tool efficiency (100 points)</x:v>
      </x:c>
      <x:c r="M1" s="6" t="str">
        <x:v>D6_6a-N03 | Tool efficiency (100 points)</x:v>
      </x:c>
      <x:c r="N1" s="6" t="str">
        <x:v>D6_6a-N03 | Tool efficiency (100 points)</x:v>
      </x:c>
    </x:row>
    <x:row r="2" ht="28" customHeight="1">
      <x:c r="A2" s="6" t="str">
        <x:v>D6_6a-N03 | Tool efficiency (100 points)</x:v>
      </x:c>
      <x:c r="B2" s="6" t="str">
        <x:v>D6_6a-N03 | Tool efficiency (100 points)</x:v>
      </x:c>
      <x:c r="C2" s="6" t="str">
        <x:v>D6_6a-N03 | Tool efficiency (100 points)</x:v>
      </x:c>
      <x:c r="D2" s="6" t="str">
        <x:v>D6_6a-N03 | Tool efficiency (100 points)</x:v>
      </x:c>
      <x:c r="E2" s="6" t="str">
        <x:v>D6_6a-N03 | Tool efficiency (100 points)</x:v>
      </x:c>
      <x:c r="F2" s="6" t="str">
        <x:v>D6_6a-N03 | Tool efficiency (100 points)</x:v>
      </x:c>
      <x:c r="G2" s="6" t="str">
        <x:v>D6_6a-N03 | Tool efficiency (100 points)</x:v>
      </x:c>
      <x:c r="H2" s="6" t="str">
        <x:v>D6_6a-N03 | Tool efficiency (100 points)</x:v>
      </x:c>
      <x:c r="I2" s="6" t="str">
        <x:v>D6_6a-N03 | Tool efficiency (100 points)</x:v>
      </x:c>
      <x:c r="J2" s="6" t="str">
        <x:v>D6_6a-N03 | Tool efficiency (100 points)</x:v>
      </x:c>
      <x:c r="K2" s="6" t="str">
        <x:v>D6_6a-N03 | Tool efficiency (100 points)</x:v>
      </x:c>
      <x:c r="L2" s="6" t="str">
        <x:v>D6_6a-N03 | Tool efficiency (100 points)</x:v>
      </x:c>
      <x:c r="M2" s="6" t="str">
        <x:v>D6_6a-N03 | Tool efficiency (100 points)</x:v>
      </x:c>
      <x:c r="N2" s="6" t="str">
        <x:v>D6_6a-N03 | Tool efficiency (100 points)</x:v>
      </x:c>
    </x:row>
    <x:row r="3">
      <x:c r="A3" s="1"/>
      <x:c r="B3" s="1"/>
      <x:c r="C3" s="1"/>
      <x:c r="D3" s="1"/>
      <x:c r="E3" s="1"/>
      <x:c r="F3" s="1"/>
      <x:c r="G3" s="1"/>
      <x:c r="H3" s="1"/>
      <x:c r="I3" s="1"/>
      <x:c r="J3" s="1"/>
      <x:c r="K3" s="1"/>
      <x:c r="L3" s="1"/>
      <x:c r="M3" s="1"/>
      <x:c r="N3" s="1"/>
    </x:row>
    <x:row r="4">
      <x:c r="A4" s="29" t="str">
        <x:v>Reference trajectory: 10 simulate_ro calls and 10 simulate_swro_system calls in parallel, followed by 10 equilibrate_feed calls on inherited recoveries. Efficiency means each call changes a feasibility boundary or ranking.</x:v>
      </x:c>
      <x:c r="B4" s="29" t="str">
        <x:v>Reference trajectory: 10 simulate_ro calls and 10 simulate_swro_system calls in parallel, followed by 10 equilibrate_feed calls on inherited recoveries. Efficiency means each call changes a feasibility boundary or ranking.</x:v>
      </x:c>
      <x:c r="C4" s="29" t="str">
        <x:v>Reference trajectory: 10 simulate_ro calls and 10 simulate_swro_system calls in parallel, followed by 10 equilibrate_feed calls on inherited recoveries. Efficiency means each call changes a feasibility boundary or ranking.</x:v>
      </x:c>
      <x:c r="D4" s="29" t="str">
        <x:v>Reference trajectory: 10 simulate_ro calls and 10 simulate_swro_system calls in parallel, followed by 10 equilibrate_feed calls on inherited recoveries. Efficiency means each call changes a feasibility boundary or ranking.</x:v>
      </x:c>
      <x:c r="E4" s="29" t="str">
        <x:v>Reference trajectory: 10 simulate_ro calls and 10 simulate_swro_system calls in parallel, followed by 10 equilibrate_feed calls on inherited recoveries. Efficiency means each call changes a feasibility boundary or ranking.</x:v>
      </x:c>
      <x:c r="F4" s="29" t="str">
        <x:v>Reference trajectory: 10 simulate_ro calls and 10 simulate_swro_system calls in parallel, followed by 10 equilibrate_feed calls on inherited recoveries. Efficiency means each call changes a feasibility boundary or ranking.</x:v>
      </x:c>
      <x:c r="G4" s="29" t="str">
        <x:v>Reference trajectory: 10 simulate_ro calls and 10 simulate_swro_system calls in parallel, followed by 10 equilibrate_feed calls on inherited recoveries. Efficiency means each call changes a feasibility boundary or ranking.</x:v>
      </x:c>
      <x:c r="H4" s="29" t="str">
        <x:v>Reference trajectory: 10 simulate_ro calls and 10 simulate_swro_system calls in parallel, followed by 10 equilibrate_feed calls on inherited recoveries. Efficiency means each call changes a feasibility boundary or ranking.</x:v>
      </x:c>
      <x:c r="I4" s="29" t="str">
        <x:v>Reference trajectory: 10 simulate_ro calls and 10 simulate_swro_system calls in parallel, followed by 10 equilibrate_feed calls on inherited recoveries. Efficiency means each call changes a feasibility boundary or ranking.</x:v>
      </x:c>
      <x:c r="J4" s="29" t="str">
        <x:v>Reference trajectory: 10 simulate_ro calls and 10 simulate_swro_system calls in parallel, followed by 10 equilibrate_feed calls on inherited recoveries. Efficiency means each call changes a feasibility boundary or ranking.</x:v>
      </x:c>
      <x:c r="K4" s="29" t="str">
        <x:v>Reference trajectory: 10 simulate_ro calls and 10 simulate_swro_system calls in parallel, followed by 10 equilibrate_feed calls on inherited recoveries. Efficiency means each call changes a feasibility boundary or ranking.</x:v>
      </x:c>
      <x:c r="L4" s="29" t="str">
        <x:v>Reference trajectory: 10 simulate_ro calls and 10 simulate_swro_system calls in parallel, followed by 10 equilibrate_feed calls on inherited recoveries. Efficiency means each call changes a feasibility boundary or ranking.</x:v>
      </x:c>
      <x:c r="M4" s="29" t="str">
        <x:v>Reference trajectory: 10 simulate_ro calls and 10 simulate_swro_system calls in parallel, followed by 10 equilibrate_feed calls on inherited recoveries. Efficiency means each call changes a feasibility boundary or ranking.</x:v>
      </x:c>
      <x:c r="N4" s="29" t="str">
        <x:v>Reference trajectory: 10 simulate_ro calls and 10 simulate_swro_system calls in parallel, followed by 10 equilibrate_feed calls on inherited recoveries. Efficiency means each call changes a feasibility boundary or ranking.</x:v>
      </x:c>
    </x:row>
    <x:row r="5">
      <x:c r="A5" s="29" t="str">
        <x:v>Reference trajectory: 10 simulate_ro calls and 10 simulate_swro_system calls in parallel, followed by 10 equilibrate_feed calls on inherited recoveries. Efficiency means each call changes a feasibility boundary or ranking.</x:v>
      </x:c>
      <x:c r="B5" s="29" t="str">
        <x:v>Reference trajectory: 10 simulate_ro calls and 10 simulate_swro_system calls in parallel, followed by 10 equilibrate_feed calls on inherited recoveries. Efficiency means each call changes a feasibility boundary or ranking.</x:v>
      </x:c>
      <x:c r="C5" s="29" t="str">
        <x:v>Reference trajectory: 10 simulate_ro calls and 10 simulate_swro_system calls in parallel, followed by 10 equilibrate_feed calls on inherited recoveries. Efficiency means each call changes a feasibility boundary or ranking.</x:v>
      </x:c>
      <x:c r="D5" s="29" t="str">
        <x:v>Reference trajectory: 10 simulate_ro calls and 10 simulate_swro_system calls in parallel, followed by 10 equilibrate_feed calls on inherited recoveries. Efficiency means each call changes a feasibility boundary or ranking.</x:v>
      </x:c>
      <x:c r="E5" s="29" t="str">
        <x:v>Reference trajectory: 10 simulate_ro calls and 10 simulate_swro_system calls in parallel, followed by 10 equilibrate_feed calls on inherited recoveries. Efficiency means each call changes a feasibility boundary or ranking.</x:v>
      </x:c>
      <x:c r="F5" s="29" t="str">
        <x:v>Reference trajectory: 10 simulate_ro calls and 10 simulate_swro_system calls in parallel, followed by 10 equilibrate_feed calls on inherited recoveries. Efficiency means each call changes a feasibility boundary or ranking.</x:v>
      </x:c>
      <x:c r="G5" s="29" t="str">
        <x:v>Reference trajectory: 10 simulate_ro calls and 10 simulate_swro_system calls in parallel, followed by 10 equilibrate_feed calls on inherited recoveries. Efficiency means each call changes a feasibility boundary or ranking.</x:v>
      </x:c>
      <x:c r="H5" s="29" t="str">
        <x:v>Reference trajectory: 10 simulate_ro calls and 10 simulate_swro_system calls in parallel, followed by 10 equilibrate_feed calls on inherited recoveries. Efficiency means each call changes a feasibility boundary or ranking.</x:v>
      </x:c>
      <x:c r="I5" s="29" t="str">
        <x:v>Reference trajectory: 10 simulate_ro calls and 10 simulate_swro_system calls in parallel, followed by 10 equilibrate_feed calls on inherited recoveries. Efficiency means each call changes a feasibility boundary or ranking.</x:v>
      </x:c>
      <x:c r="J5" s="29" t="str">
        <x:v>Reference trajectory: 10 simulate_ro calls and 10 simulate_swro_system calls in parallel, followed by 10 equilibrate_feed calls on inherited recoveries. Efficiency means each call changes a feasibility boundary or ranking.</x:v>
      </x:c>
      <x:c r="K5" s="29" t="str">
        <x:v>Reference trajectory: 10 simulate_ro calls and 10 simulate_swro_system calls in parallel, followed by 10 equilibrate_feed calls on inherited recoveries. Efficiency means each call changes a feasibility boundary or ranking.</x:v>
      </x:c>
      <x:c r="L5" s="29" t="str">
        <x:v>Reference trajectory: 10 simulate_ro calls and 10 simulate_swro_system calls in parallel, followed by 10 equilibrate_feed calls on inherited recoveries. Efficiency means each call changes a feasibility boundary or ranking.</x:v>
      </x:c>
      <x:c r="M5" s="29" t="str">
        <x:v>Reference trajectory: 10 simulate_ro calls and 10 simulate_swro_system calls in parallel, followed by 10 equilibrate_feed calls on inherited recoveries. Efficiency means each call changes a feasibility boundary or ranking.</x:v>
      </x:c>
      <x:c r="N5" s="29" t="str">
        <x:v>Reference trajectory: 10 simulate_ro calls and 10 simulate_swro_system calls in parallel, followed by 10 equilibrate_feed calls on inherited recoveries. Efficiency means each call changes a feasibility boundary or ranking.</x:v>
      </x:c>
    </x:row>
    <x:row r="6">
      <x:c r="A6" s="29" t="str">
        <x:v>Reference trajectory: 10 simulate_ro calls and 10 simulate_swro_system calls in parallel, followed by 10 equilibrate_feed calls on inherited recoveries. Efficiency means each call changes a feasibility boundary or ranking.</x:v>
      </x:c>
      <x:c r="B6" s="29" t="str">
        <x:v>Reference trajectory: 10 simulate_ro calls and 10 simulate_swro_system calls in parallel, followed by 10 equilibrate_feed calls on inherited recoveries. Efficiency means each call changes a feasibility boundary or ranking.</x:v>
      </x:c>
      <x:c r="C6" s="29" t="str">
        <x:v>Reference trajectory: 10 simulate_ro calls and 10 simulate_swro_system calls in parallel, followed by 10 equilibrate_feed calls on inherited recoveries. Efficiency means each call changes a feasibility boundary or ranking.</x:v>
      </x:c>
      <x:c r="D6" s="29" t="str">
        <x:v>Reference trajectory: 10 simulate_ro calls and 10 simulate_swro_system calls in parallel, followed by 10 equilibrate_feed calls on inherited recoveries. Efficiency means each call changes a feasibility boundary or ranking.</x:v>
      </x:c>
      <x:c r="E6" s="29" t="str">
        <x:v>Reference trajectory: 10 simulate_ro calls and 10 simulate_swro_system calls in parallel, followed by 10 equilibrate_feed calls on inherited recoveries. Efficiency means each call changes a feasibility boundary or ranking.</x:v>
      </x:c>
      <x:c r="F6" s="29" t="str">
        <x:v>Reference trajectory: 10 simulate_ro calls and 10 simulate_swro_system calls in parallel, followed by 10 equilibrate_feed calls on inherited recoveries. Efficiency means each call changes a feasibility boundary or ranking.</x:v>
      </x:c>
      <x:c r="G6" s="29" t="str">
        <x:v>Reference trajectory: 10 simulate_ro calls and 10 simulate_swro_system calls in parallel, followed by 10 equilibrate_feed calls on inherited recoveries. Efficiency means each call changes a feasibility boundary or ranking.</x:v>
      </x:c>
      <x:c r="H6" s="29" t="str">
        <x:v>Reference trajectory: 10 simulate_ro calls and 10 simulate_swro_system calls in parallel, followed by 10 equilibrate_feed calls on inherited recoveries. Efficiency means each call changes a feasibility boundary or ranking.</x:v>
      </x:c>
      <x:c r="I6" s="29" t="str">
        <x:v>Reference trajectory: 10 simulate_ro calls and 10 simulate_swro_system calls in parallel, followed by 10 equilibrate_feed calls on inherited recoveries. Efficiency means each call changes a feasibility boundary or ranking.</x:v>
      </x:c>
      <x:c r="J6" s="29" t="str">
        <x:v>Reference trajectory: 10 simulate_ro calls and 10 simulate_swro_system calls in parallel, followed by 10 equilibrate_feed calls on inherited recoveries. Efficiency means each call changes a feasibility boundary or ranking.</x:v>
      </x:c>
      <x:c r="K6" s="29" t="str">
        <x:v>Reference trajectory: 10 simulate_ro calls and 10 simulate_swro_system calls in parallel, followed by 10 equilibrate_feed calls on inherited recoveries. Efficiency means each call changes a feasibility boundary or ranking.</x:v>
      </x:c>
      <x:c r="L6" s="29" t="str">
        <x:v>Reference trajectory: 10 simulate_ro calls and 10 simulate_swro_system calls in parallel, followed by 10 equilibrate_feed calls on inherited recoveries. Efficiency means each call changes a feasibility boundary or ranking.</x:v>
      </x:c>
      <x:c r="M6" s="29" t="str">
        <x:v>Reference trajectory: 10 simulate_ro calls and 10 simulate_swro_system calls in parallel, followed by 10 equilibrate_feed calls on inherited recoveries. Efficiency means each call changes a feasibility boundary or ranking.</x:v>
      </x:c>
      <x:c r="N6" s="29" t="str">
        <x:v>Reference trajectory: 10 simulate_ro calls and 10 simulate_swro_system calls in parallel, followed by 10 equilibrate_feed calls on inherited recoveries. Efficiency means each call changes a feasibility boundary or ranking.</x:v>
      </x:c>
    </x:row>
    <x:row r="7">
      <x:c r="A7" s="1"/>
      <x:c r="B7" s="1"/>
      <x:c r="C7" s="1"/>
      <x:c r="D7" s="1"/>
      <x:c r="E7" s="1"/>
      <x:c r="F7" s="1"/>
      <x:c r="G7" s="1"/>
      <x:c r="H7" s="1"/>
      <x:c r="I7" s="1"/>
      <x:c r="J7" s="1"/>
      <x:c r="K7" s="1"/>
      <x:c r="L7" s="1"/>
      <x:c r="M7" s="1"/>
      <x:c r="N7" s="1"/>
    </x:row>
    <x:row r="8">
      <x:c r="A8" s="129" t="str">
        <x:v>Stage</x:v>
      </x:c>
      <x:c r="B8" s="129" t="str">
        <x:v>Tool</x:v>
      </x:c>
      <x:c r="C8" s="129" t="str">
        <x:v>Calls</x:v>
      </x:c>
      <x:c r="D8" s="129" t="str">
        <x:v>Key input</x:v>
      </x:c>
      <x:c r="E8" s="129" t="str">
        <x:v>Key observation</x:v>
      </x:c>
      <x:c r="F8" s="129" t="str">
        <x:v>State update</x:v>
      </x:c>
      <x:c r="G8" s="129" t="str">
        <x:v>Next step</x:v>
      </x:c>
      <x:c r="H8" s="129" t="str"/>
      <x:c r="I8" s="129" t="str"/>
      <x:c r="J8" s="129" t="str"/>
      <x:c r="K8" s="129" t="str"/>
      <x:c r="L8" s="129" t="str"/>
      <x:c r="M8" s="129" t="str"/>
      <x:c r="N8" s="129" t="str"/>
    </x:row>
    <x:row r="9" ht="52" customHeight="1">
      <x:c r="A9" s="124" t="str">
        <x:v>1 Metadata</x:v>
      </x:c>
      <x:c r="B9" s="124" t="str">
        <x:v>describe_*</x:v>
      </x:c>
      <x:c r="C9" s="124" t="n">
        <x:v>0</x:v>
      </x:c>
      <x:c r="D9" s="124" t="str">
        <x:v>Units, species and valid parameter combinations</x:v>
      </x:c>
      <x:c r="E9" s="124" t="str">
        <x:v>Lock common candidate identity</x:v>
      </x:c>
      <x:c r="F9" s="124" t="str">
        <x:v>Create auditable search table</x:v>
      </x:c>
      <x:c r="G9" s="124" t="str">
        <x:v>Fork</x:v>
      </x:c>
      <x:c r="H9" s="124" t="str"/>
      <x:c r="I9" s="124" t="str"/>
      <x:c r="J9" s="124" t="str"/>
      <x:c r="K9" s="124" t="str"/>
      <x:c r="L9" s="124" t="str"/>
      <x:c r="M9" s="124" t="str"/>
      <x:c r="N9" s="124" t="str"/>
    </x:row>
    <x:row r="10" ht="52" customHeight="1">
      <x:c r="A10" s="124" t="str">
        <x:v>2A Parallel membrane</x:v>
      </x:c>
      <x:c r="B10" s="124" t="str">
        <x:v>simulate_ro</x:v>
      </x:c>
      <x:c r="C10" s="124" t="n">
        <x:v>10</x:v>
      </x:c>
      <x:c r="D10" s="124" t="str">
        <x:v>Pressure, area, A/B, temperature and salinity</x:v>
      </x:c>
      <x:c r="E10" s="124" t="str">
        <x:v>Water, NaCl, CP and actual recovery</x:v>
      </x:c>
      <x:c r="F10" s="124" t="str">
        <x:v>Mark membrane-feasible IDs</x:v>
      </x:c>
      <x:c r="G10" s="124" t="str">
        <x:v>Join</x:v>
      </x:c>
      <x:c r="H10" s="124" t="str"/>
      <x:c r="I10" s="124" t="str"/>
      <x:c r="J10" s="124" t="str"/>
      <x:c r="K10" s="124" t="str"/>
      <x:c r="L10" s="124" t="str"/>
      <x:c r="M10" s="124" t="str"/>
      <x:c r="N10" s="124" t="str"/>
    </x:row>
    <x:row r="11" ht="52" customHeight="1">
      <x:c r="A11" s="124" t="str">
        <x:v>2B Parallel plant</x:v>
      </x:c>
      <x:c r="B11" s="124" t="str">
        <x:v>simulate_swro_system</x:v>
      </x:c>
      <x:c r="C11" s="124" t="n">
        <x:v>10</x:v>
      </x:c>
      <x:c r="D11" s="124" t="str">
        <x:v>Same ID, plant area, ERD and pump settings</x:v>
      </x:c>
      <x:c r="E11" s="124" t="str">
        <x:v>Product, SEC, CAPEX and LCOW</x:v>
      </x:c>
      <x:c r="F11" s="124" t="str">
        <x:v>Mark plant-feasible IDs</x:v>
      </x:c>
      <x:c r="G11" s="124" t="str">
        <x:v>Join</x:v>
      </x:c>
      <x:c r="H11" s="124" t="str"/>
      <x:c r="I11" s="124" t="str"/>
      <x:c r="J11" s="124" t="str"/>
      <x:c r="K11" s="124" t="str"/>
      <x:c r="L11" s="124" t="str"/>
      <x:c r="M11" s="124" t="str"/>
      <x:c r="N11" s="124" t="str"/>
    </x:row>
    <x:row r="12" ht="52" customHeight="1">
      <x:c r="A12" s="124" t="str">
        <x:v>3 Join</x:v>
      </x:c>
      <x:c r="B12" s="124" t="str">
        <x:v>—</x:v>
      </x:c>
      <x:c r="C12" s="124" t="n">
        <x:v>0</x:v>
      </x:c>
      <x:c r="D12" s="124" t="str">
        <x:v>Two aligned branch tables</x:v>
      </x:c>
      <x:c r="E12" s="124" t="str">
        <x:v>Intersection and ranking boundary</x:v>
      </x:c>
      <x:c r="F12" s="124" t="str">
        <x:v>Create chemistry shortlist</x:v>
      </x:c>
      <x:c r="G12" s="124" t="str">
        <x:v>Transfer recovery</x:v>
      </x:c>
      <x:c r="H12" s="124" t="str"/>
      <x:c r="I12" s="124" t="str"/>
      <x:c r="J12" s="124" t="str"/>
      <x:c r="K12" s="124" t="str"/>
      <x:c r="L12" s="124" t="str"/>
      <x:c r="M12" s="124" t="str"/>
      <x:c r="N12" s="124" t="str"/>
    </x:row>
    <x:row r="13" ht="52" customHeight="1">
      <x:c r="A13" s="124" t="str">
        <x:v>4 Serial chemistry</x:v>
      </x:c>
      <x:c r="B13" s="124" t="str">
        <x:v>equilibrate_feed</x:v>
      </x:c>
      <x:c r="C13" s="124" t="n">
        <x:v>10</x:v>
      </x:c>
      <x:c r="D13" s="124" t="str">
        <x:v>Inherited recovery, ion analysis and dose/state</x:v>
      </x:c>
      <x:c r="E13" s="124" t="str">
        <x:v>pH and mineral SI</x:v>
      </x:c>
      <x:c r="F13" s="124" t="str">
        <x:v>Lock final feasible set</x:v>
      </x:c>
      <x:c r="G13" s="124" t="str">
        <x:v>Check adjacent failure</x:v>
      </x:c>
      <x:c r="H13" s="124" t="str"/>
      <x:c r="I13" s="124" t="str"/>
      <x:c r="J13" s="124" t="str"/>
      <x:c r="K13" s="124" t="str"/>
      <x:c r="L13" s="124" t="str"/>
      <x:c r="M13" s="124" t="str"/>
      <x:c r="N13" s="124" t="str"/>
    </x:row>
    <x:row r="14" ht="52" customHeight="1">
      <x:c r="A14" s="124" t="str">
        <x:v>5 Stop</x:v>
      </x:c>
      <x:c r="B14" s="124" t="str">
        <x:v>—</x:v>
      </x:c>
      <x:c r="C14" s="124" t="n">
        <x:v>0</x:v>
      </x:c>
      <x:c r="D14" s="124" t="str">
        <x:v>Winner plus decisive failure evidence</x:v>
      </x:c>
      <x:c r="E14" s="124" t="str">
        <x:v>No unresolved boundary</x:v>
      </x:c>
      <x:c r="F14" s="124" t="str">
        <x:v>Report recommendation and limits</x:v>
      </x:c>
      <x:c r="G14" s="124" t="str">
        <x:v>Stop</x:v>
      </x:c>
      <x:c r="H14" s="124" t="str"/>
      <x:c r="I14" s="124" t="str"/>
      <x:c r="J14" s="124" t="str"/>
      <x:c r="K14" s="124" t="str"/>
      <x:c r="L14" s="124" t="str"/>
      <x:c r="M14" s="124" t="str"/>
      <x:c r="N14" s="124" t="str"/>
    </x:row>
    <x:row r="15">
      <x:c r="A15" s="1"/>
      <x:c r="B15" s="1"/>
      <x:c r="C15" s="1"/>
      <x:c r="D15" s="1"/>
      <x:c r="E15" s="1"/>
      <x:c r="F15" s="1"/>
      <x:c r="G15" s="1"/>
      <x:c r="H15" s="1"/>
      <x:c r="I15" s="1"/>
      <x:c r="J15" s="1"/>
      <x:c r="K15" s="1"/>
      <x:c r="L15" s="1"/>
      <x:c r="M15" s="1"/>
      <x:c r="N15" s="1"/>
    </x:row>
    <x:row r="16">
      <x:c r="A16" s="36" t="str">
        <x:v>Hybrid-trajectory audit</x:v>
      </x:c>
      <x:c r="B16" s="36" t="str">
        <x:v>Hybrid-trajectory audit</x:v>
      </x:c>
      <x:c r="C16" s="36" t="str">
        <x:v>Hybrid-trajectory audit</x:v>
      </x:c>
      <x:c r="D16" s="36" t="str">
        <x:v>Hybrid-trajectory audit</x:v>
      </x:c>
      <x:c r="E16" s="36" t="str">
        <x:v>Hybrid-trajectory audit</x:v>
      </x:c>
      <x:c r="F16" s="36" t="str">
        <x:v>Hybrid-trajectory audit</x:v>
      </x:c>
      <x:c r="G16" s="36" t="str">
        <x:v>Hybrid-trajectory audit</x:v>
      </x:c>
      <x:c r="H16" s="36" t="str">
        <x:v>Hybrid-trajectory audit</x:v>
      </x:c>
      <x:c r="I16" s="36" t="str">
        <x:v>Hybrid-trajectory audit</x:v>
      </x:c>
      <x:c r="J16" s="36" t="str">
        <x:v>Hybrid-trajectory audit</x:v>
      </x:c>
      <x:c r="K16" s="36" t="str">
        <x:v>Hybrid-trajectory audit</x:v>
      </x:c>
      <x:c r="L16" s="36" t="str">
        <x:v>Hybrid-trajectory audit</x:v>
      </x:c>
      <x:c r="M16" s="36" t="str">
        <x:v>Hybrid-trajectory audit</x:v>
      </x:c>
      <x:c r="N16" s="36" t="str">
        <x:v>Hybrid-trajectory audit</x:v>
      </x:c>
    </x:row>
    <x:row r="17">
      <x:c r="A17" s="83"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17" s="85"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18">
      <x:c r="A18" s="86"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18" s="88"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19">
      <x:c r="A19" s="86"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19" s="88"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20">
      <x:c r="A20" s="86"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20" s="88"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21">
      <x:c r="A21" s="89"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21" s="91"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H8:N8"/>
    <x:mergeCell ref="H9:N9"/>
    <x:mergeCell ref="H10:N10"/>
    <x:mergeCell ref="H11:N11"/>
    <x:mergeCell ref="H12:N12"/>
    <x:mergeCell ref="H13:N13"/>
    <x:mergeCell ref="H14:N14"/>
    <x:mergeCell ref="A16:N16"/>
    <x:mergeCell ref="A17:N21"/>
  </x:mergeCells>
  <x:pageMargins left="0.7" right="0.7" top="0.75" bottom="0.75" header="0.3" footer="0.3"/>
</x:worksheet>
</file>