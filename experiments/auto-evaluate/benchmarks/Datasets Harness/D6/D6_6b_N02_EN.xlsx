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13ee4e3b0b7443a" /></Relationships>
</file>

<file path=xl/workbook.xml><?xml version="1.0" encoding="utf-8"?>
<x:workbook xmlns:x="http://schemas.openxmlformats.org/spreadsheetml/2006/main">
  <x:sheets>
    <x:sheet xmlns:r="http://schemas.openxmlformats.org/officeDocument/2006/relationships" name="Question_Q" sheetId="1" r:id="R140b50ffa032427e"/>
    <x:sheet xmlns:r="http://schemas.openxmlformats.org/officeDocument/2006/relationships" name="Gold_Answer_A" sheetId="2" r:id="R307a69c287504827"/>
    <x:sheet xmlns:r="http://schemas.openxmlformats.org/officeDocument/2006/relationships" name="Trajectory_Rubric" sheetId="3" r:id="R8a1486560daa45de"/>
    <x:sheet xmlns:r="http://schemas.openxmlformats.org/officeDocument/2006/relationships" name="Tool_Efficiency" sheetId="4" r:id="R840c14322a3943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0"/>
  </x:numFmts>
  <x:fonts count="8">
    <x:font>
      <x:sz val="11"/>
      <x:name val="Carlito"/>
    </x:font>
    <x:font>
      <x:sz val="9"/>
      <x:color rgb="FF1F2937"/>
      <x:name val="Aptos"/>
    </x:font>
    <x:font>
      <x:b/>
      <x:sz val="18"/>
      <x:color rgb="FFFFFFFF"/>
      <x:name val="Aptos"/>
    </x:font>
    <x:font>
      <x:sz val="10"/>
      <x:color rgb="FF1F2937"/>
      <x:name val="Aptos"/>
    </x:font>
    <x:font>
      <x:b/>
      <x:sz val="11"/>
      <x:color rgb="FFFFFFFF"/>
      <x:name val="Aptos"/>
    </x:font>
    <x:font>
      <x:b/>
      <x:sz val="9"/>
      <x:color rgb="FF1F2937"/>
      <x:name val="Aptos"/>
    </x:font>
    <x:font>
      <x:b/>
      <x:sz val="9"/>
      <x:color rgb="FF1F426B"/>
      <x:name val="Aptos"/>
    </x:font>
    <x:font>
      <x:b/>
      <x:sz val="10"/>
      <x:color rgb="FF1F2937"/>
      <x:name val="Aptos"/>
    </x:font>
  </x:fonts>
  <x:fills count="10">
    <x:fill>
      <x:patternFill patternType="none"/>
    </x:fill>
    <x:fill>
      <x:patternFill patternType="gray125"/>
    </x:fill>
    <x:fill>
      <x:patternFill patternType="solid">
        <x:fgColor rgb="FF1F426B"/>
      </x:patternFill>
    </x:fill>
    <x:fill>
      <x:patternFill patternType="solid">
        <x:fgColor rgb="FFFFF2CC"/>
      </x:patternFill>
    </x:fill>
    <x:fill>
      <x:patternFill patternType="solid">
        <x:fgColor rgb="FF2F75B5"/>
      </x:patternFill>
    </x:fill>
    <x:fill>
      <x:patternFill patternType="solid">
        <x:fgColor rgb="FFF5F8FB"/>
      </x:patternFill>
    </x:fill>
    <x:fill>
      <x:patternFill patternType="solid">
        <x:fgColor rgb="FFE2F0D9"/>
      </x:patternFill>
    </x:fill>
    <x:fill>
      <x:patternFill patternType="solid">
        <x:fgColor rgb="FFD9EAF7"/>
      </x:patternFill>
    </x:fill>
    <x:fill>
      <x:patternFill patternType="solid">
        <x:fgColor rgb="FFF4B183"/>
      </x:patternFill>
    </x:fill>
    <x:fill>
      <x:patternFill patternType="solid">
        <x:fgColor rgb="FFFFFFFF"/>
      </x:patternFill>
    </x:fill>
  </x:fills>
  <x:borders count="10">
    <x:border/>
    <x:border>
      <x:left style="thin">
        <x:color rgb="FFC9D7E5"/>
      </x:left>
      <x:top style="thin">
        <x:color rgb="FFC9D7E5"/>
      </x:top>
    </x:border>
    <x:border>
      <x:top style="thin">
        <x:color rgb="FFC9D7E5"/>
      </x:top>
    </x:border>
    <x:border>
      <x:right style="thin">
        <x:color rgb="FFC9D7E5"/>
      </x:right>
      <x:top style="thin">
        <x:color rgb="FFC9D7E5"/>
      </x:top>
    </x:border>
    <x:border>
      <x:left style="thin">
        <x:color rgb="FFC9D7E5"/>
      </x:left>
    </x:border>
    <x:border>
      <x:right style="thin">
        <x:color rgb="FFC9D7E5"/>
      </x:right>
    </x:border>
    <x:border>
      <x:left style="thin">
        <x:color rgb="FFC9D7E5"/>
      </x:left>
      <x:bottom style="thin">
        <x:color rgb="FFC9D7E5"/>
      </x:bottom>
    </x:border>
    <x:border>
      <x:bottom style="thin">
        <x:color rgb="FFC9D7E5"/>
      </x:bottom>
    </x:border>
    <x:border>
      <x:right style="thin">
        <x:color rgb="FFC9D7E5"/>
      </x:right>
      <x:bottom style="thin">
        <x:color rgb="FFC9D7E5"/>
      </x:bottom>
    </x:border>
    <x:border>
      <x:left style="thin">
        <x:color rgb="FFC9D7E5"/>
      </x:left>
      <x:right style="thin">
        <x:color rgb="FFC9D7E5"/>
      </x:right>
      <x:top style="thin">
        <x:color rgb="FFC9D7E5"/>
      </x:top>
      <x:bottom style="thin">
        <x:color rgb="FFC9D7E5"/>
      </x:bottom>
    </x:border>
  </x:borders>
  <x:cellStyleXfs count="1">
    <x:xf numFmtId="0" fontId="0" fillId="0" borderId="0"/>
  </x:cellStyleXfs>
  <x:cellXfs count="191">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3" fillId="3" borderId="2" xfId="0" applyNumberFormat="1" applyFont="1" applyFill="1" applyBorder="1"/>
    <x:xf numFmtId="0" fontId="3" fillId="3" borderId="3" xfId="0" applyNumberFormat="1" applyFont="1" applyFill="1" applyBorder="1"/>
    <x:xf numFmtId="0" fontId="3" fillId="3" borderId="4" xfId="0" applyNumberFormat="1" applyFont="1" applyFill="1" applyBorder="1"/>
    <x:xf numFmtId="0" fontId="3" fillId="3" borderId="5" xfId="0" applyNumberFormat="1" applyFont="1" applyFill="1" applyBorder="1"/>
    <x:xf numFmtId="0" fontId="3" fillId="3" borderId="6" xfId="0" applyNumberFormat="1" applyFont="1" applyFill="1" applyBorder="1"/>
    <x:xf numFmtId="0" fontId="3" fillId="3" borderId="7" xfId="0" applyNumberFormat="1" applyFont="1" applyFill="1" applyBorder="1"/>
    <x:xf numFmtId="0" fontId="3" fillId="3" borderId="8" xfId="0" applyNumberFormat="1" applyFont="1" applyFill="1" applyBorder="1"/>
    <x:xf numFmtId="0" fontId="3" fillId="3" borderId="1" xfId="0" applyNumberFormat="1" applyFont="1" applyFill="1" applyBorder="1" applyAlignment="1">
      <x:alignment wrapText="1"/>
    </x:xf>
    <x:xf numFmtId="0" fontId="3" fillId="3" borderId="2" xfId="0" applyNumberFormat="1" applyFont="1" applyFill="1" applyBorder="1" applyAlignment="1">
      <x:alignment wrapText="1"/>
    </x:xf>
    <x:xf numFmtId="0" fontId="3" fillId="3" borderId="3" xfId="0" applyNumberFormat="1" applyFont="1" applyFill="1" applyBorder="1" applyAlignment="1">
      <x:alignment wrapText="1"/>
    </x:xf>
    <x:xf numFmtId="0" fontId="3" fillId="3" borderId="4"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5" xfId="0" applyNumberFormat="1" applyFont="1" applyFill="1" applyBorder="1" applyAlignment="1">
      <x:alignment wrapText="1"/>
    </x:xf>
    <x:xf numFmtId="0" fontId="3" fillId="3" borderId="6" xfId="0" applyNumberFormat="1" applyFont="1" applyFill="1" applyBorder="1" applyAlignment="1">
      <x:alignment wrapText="1"/>
    </x:xf>
    <x:xf numFmtId="0" fontId="3" fillId="3" borderId="7" xfId="0" applyNumberFormat="1" applyFont="1" applyFill="1" applyBorder="1" applyAlignment="1">
      <x:alignment wrapText="1"/>
    </x:xf>
    <x:xf numFmtId="0" fontId="3" fillId="3" borderId="8" xfId="0" applyNumberFormat="1" applyFont="1" applyFill="1" applyBorder="1" applyAlignment="1">
      <x:alignment wrapText="1"/>
    </x:xf>
    <x:xf numFmtId="0" fontId="3" fillId="3" borderId="1"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3" borderId="7" xfId="0" applyNumberFormat="1" applyFont="1" applyFill="1" applyBorder="1" applyAlignment="1">
      <x:alignment vertical="top" wrapText="1"/>
    </x:xf>
    <x:xf numFmtId="0" fontId="3" fillId="3" borderId="8" xfId="0" applyNumberFormat="1" applyFont="1" applyFill="1" applyBorder="1" applyAlignment="1">
      <x:alignment vertical="top"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1" fillId="5" borderId="0" xfId="0" applyNumberFormat="1" applyFont="1" applyFill="1" applyBorder="1"/>
    <x:xf numFmtId="0" fontId="1" fillId="5" borderId="1" xfId="0" applyNumberFormat="1" applyFont="1" applyFill="1" applyBorder="1"/>
    <x:xf numFmtId="0" fontId="1" fillId="5" borderId="2" xfId="0" applyNumberFormat="1" applyFont="1" applyFill="1" applyBorder="1"/>
    <x:xf numFmtId="0" fontId="1" fillId="5" borderId="3" xfId="0" applyNumberFormat="1" applyFont="1" applyFill="1" applyBorder="1"/>
    <x:xf numFmtId="0" fontId="1" fillId="5" borderId="4" xfId="0" applyNumberFormat="1" applyFont="1" applyFill="1" applyBorder="1"/>
    <x:xf numFmtId="0" fontId="1" fillId="5" borderId="5" xfId="0" applyNumberFormat="1" applyFont="1" applyFill="1" applyBorder="1"/>
    <x:xf numFmtId="0" fontId="1" fillId="5" borderId="6" xfId="0" applyNumberFormat="1" applyFont="1" applyFill="1" applyBorder="1"/>
    <x:xf numFmtId="0" fontId="1" fillId="5" borderId="7" xfId="0" applyNumberFormat="1" applyFont="1" applyFill="1" applyBorder="1"/>
    <x:xf numFmtId="0" fontId="1" fillId="5" borderId="8" xfId="0" applyNumberFormat="1" applyFont="1" applyFill="1" applyBorder="1"/>
    <x:xf numFmtId="0" fontId="1" fillId="5" borderId="1" xfId="0" applyNumberFormat="1" applyFont="1" applyFill="1" applyBorder="1" applyAlignment="1">
      <x:alignment wrapText="1"/>
    </x:xf>
    <x:xf numFmtId="0" fontId="1" fillId="5" borderId="2" xfId="0" applyNumberFormat="1" applyFont="1" applyFill="1" applyBorder="1" applyAlignment="1">
      <x:alignment wrapText="1"/>
    </x:xf>
    <x:xf numFmtId="0" fontId="1" fillId="5" borderId="3" xfId="0" applyNumberFormat="1" applyFont="1" applyFill="1" applyBorder="1" applyAlignment="1">
      <x:alignment wrapText="1"/>
    </x:xf>
    <x:xf numFmtId="0" fontId="1" fillId="5" borderId="4" xfId="0" applyNumberFormat="1" applyFont="1" applyFill="1" applyBorder="1" applyAlignment="1">
      <x:alignment wrapText="1"/>
    </x:xf>
    <x:xf numFmtId="0" fontId="1" fillId="5" borderId="0" xfId="0" applyNumberFormat="1" applyFont="1" applyFill="1" applyBorder="1" applyAlignment="1">
      <x:alignment wrapText="1"/>
    </x:xf>
    <x:xf numFmtId="0" fontId="1" fillId="5" borderId="5" xfId="0" applyNumberFormat="1" applyFont="1" applyFill="1" applyBorder="1" applyAlignment="1">
      <x:alignment wrapText="1"/>
    </x:xf>
    <x:xf numFmtId="0" fontId="1" fillId="5" borderId="6" xfId="0" applyNumberFormat="1" applyFont="1" applyFill="1" applyBorder="1" applyAlignment="1">
      <x:alignment wrapText="1"/>
    </x:xf>
    <x:xf numFmtId="0" fontId="1" fillId="5" borderId="7" xfId="0" applyNumberFormat="1" applyFont="1" applyFill="1" applyBorder="1" applyAlignment="1">
      <x:alignment wrapText="1"/>
    </x:xf>
    <x:xf numFmtId="0" fontId="1" fillId="5" borderId="8" xfId="0" applyNumberFormat="1" applyFont="1" applyFill="1" applyBorder="1" applyAlignment="1">
      <x:alignment wrapText="1"/>
    </x:xf>
    <x:xf numFmtId="0" fontId="1" fillId="5" borderId="1" xfId="0" applyNumberFormat="1" applyFont="1" applyFill="1" applyBorder="1" applyAlignment="1">
      <x:alignment vertical="top" wrapText="1"/>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5" borderId="8" xfId="0" applyNumberFormat="1" applyFont="1" applyFill="1" applyBorder="1" applyAlignment="1">
      <x:alignment vertical="top" wrapText="1"/>
    </x:xf>
    <x:xf numFmtId="0" fontId="1"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1" xfId="0" applyNumberFormat="1" applyFont="1" applyFill="1" applyBorder="1" applyAlignment="1">
      <x:alignment wrapText="1"/>
    </x:xf>
    <x:xf numFmtId="0" fontId="5" fillId="6" borderId="2" xfId="0" applyNumberFormat="1" applyFont="1" applyFill="1" applyBorder="1" applyAlignment="1">
      <x:alignment wrapText="1"/>
    </x:xf>
    <x:xf numFmtId="0" fontId="5" fillId="6" borderId="3" xfId="0" applyNumberFormat="1" applyFont="1" applyFill="1" applyBorder="1" applyAlignment="1">
      <x:alignment wrapText="1"/>
    </x:xf>
    <x:xf numFmtId="0" fontId="5" fillId="6" borderId="4"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5" xfId="0" applyNumberFormat="1" applyFont="1" applyFill="1" applyBorder="1" applyAlignment="1">
      <x:alignment wrapText="1"/>
    </x:xf>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1"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5" fillId="6" borderId="8" xfId="0" applyNumberFormat="1" applyFont="1" applyFill="1" applyBorder="1" applyAlignment="1">
      <x:alignment vertical="top" wrapText="1"/>
    </x:xf>
    <x:xf numFmtId="0" fontId="1" fillId="7" borderId="0" xfId="0" applyNumberFormat="1" applyFont="1" applyFill="1" applyBorder="1"/>
    <x:xf numFmtId="0" fontId="1" fillId="7" borderId="1" xfId="0" applyNumberFormat="1" applyFont="1" applyFill="1" applyBorder="1"/>
    <x:xf numFmtId="0" fontId="1" fillId="7" borderId="2" xfId="0" applyNumberFormat="1" applyFont="1" applyFill="1" applyBorder="1"/>
    <x:xf numFmtId="0" fontId="1" fillId="7" borderId="3" xfId="0" applyNumberFormat="1" applyFont="1" applyFill="1" applyBorder="1"/>
    <x:xf numFmtId="0" fontId="1" fillId="7" borderId="4" xfId="0" applyNumberFormat="1" applyFont="1" applyFill="1" applyBorder="1"/>
    <x:xf numFmtId="0" fontId="1" fillId="7" borderId="5" xfId="0" applyNumberFormat="1" applyFont="1" applyFill="1" applyBorder="1"/>
    <x:xf numFmtId="0" fontId="1" fillId="7" borderId="6" xfId="0" applyNumberFormat="1" applyFont="1" applyFill="1" applyBorder="1"/>
    <x:xf numFmtId="0" fontId="1" fillId="7" borderId="7" xfId="0" applyNumberFormat="1" applyFont="1" applyFill="1" applyBorder="1"/>
    <x:xf numFmtId="0" fontId="1" fillId="7" borderId="8" xfId="0" applyNumberFormat="1" applyFont="1" applyFill="1" applyBorder="1"/>
    <x:xf numFmtId="0" fontId="1" fillId="7" borderId="1" xfId="0" applyNumberFormat="1" applyFont="1" applyFill="1" applyBorder="1" applyAlignment="1">
      <x:alignment wrapText="1"/>
    </x:xf>
    <x:xf numFmtId="0" fontId="1" fillId="7" borderId="2" xfId="0" applyNumberFormat="1" applyFont="1" applyFill="1" applyBorder="1" applyAlignment="1">
      <x:alignment wrapText="1"/>
    </x:xf>
    <x:xf numFmtId="0" fontId="1" fillId="7" borderId="3" xfId="0" applyNumberFormat="1" applyFont="1" applyFill="1" applyBorder="1" applyAlignment="1">
      <x:alignment wrapText="1"/>
    </x:xf>
    <x:xf numFmtId="0" fontId="1" fillId="7" borderId="4"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5" xfId="0" applyNumberFormat="1" applyFont="1" applyFill="1" applyBorder="1" applyAlignment="1">
      <x:alignment wrapText="1"/>
    </x:xf>
    <x:xf numFmtId="0" fontId="1" fillId="7" borderId="6" xfId="0" applyNumberFormat="1" applyFont="1" applyFill="1" applyBorder="1" applyAlignment="1">
      <x:alignment wrapText="1"/>
    </x:xf>
    <x:xf numFmtId="0" fontId="1" fillId="7" borderId="7" xfId="0" applyNumberFormat="1" applyFont="1" applyFill="1" applyBorder="1" applyAlignment="1">
      <x:alignment wrapText="1"/>
    </x:xf>
    <x:xf numFmtId="0" fontId="1" fillId="7" borderId="8" xfId="0" applyNumberFormat="1" applyFont="1" applyFill="1" applyBorder="1" applyAlignment="1">
      <x:alignment wrapText="1"/>
    </x:xf>
    <x:xf numFmtId="0" fontId="1" fillId="7" borderId="1" xfId="0" applyNumberFormat="1" applyFont="1" applyFill="1" applyBorder="1" applyAlignment="1">
      <x:alignment vertical="top" wrapText="1"/>
    </x:xf>
    <x:xf numFmtId="0" fontId="1" fillId="7" borderId="2" xfId="0" applyNumberFormat="1" applyFont="1" applyFill="1" applyBorder="1" applyAlignment="1">
      <x:alignment vertical="top" wrapText="1"/>
    </x:xf>
    <x:xf numFmtId="0" fontId="1" fillId="7" borderId="3"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1" fillId="7" borderId="6" xfId="0" applyNumberFormat="1" applyFont="1" applyFill="1" applyBorder="1" applyAlignment="1">
      <x:alignment vertical="top" wrapText="1"/>
    </x:xf>
    <x:xf numFmtId="0" fontId="1" fillId="7" borderId="7" xfId="0" applyNumberFormat="1" applyFont="1" applyFill="1" applyBorder="1" applyAlignment="1">
      <x:alignment vertical="top" wrapText="1"/>
    </x:xf>
    <x:xf numFmtId="0" fontId="1" fillId="7" borderId="8" xfId="0" applyNumberFormat="1" applyFont="1" applyFill="1" applyBorder="1" applyAlignment="1">
      <x:alignment vertical="top" wrapText="1"/>
    </x:xf>
    <x:xf numFmtId="0" fontId="1" fillId="8" borderId="0" xfId="0" applyNumberFormat="1" applyFont="1" applyFill="1" applyBorder="1"/>
    <x:xf numFmtId="0" fontId="6" fillId="8" borderId="0" xfId="0" applyNumberFormat="1" applyFont="1" applyFill="1" applyBorder="1"/>
    <x:xf numFmtId="0" fontId="6" fillId="8" borderId="9" xfId="0" applyNumberFormat="1" applyFont="1" applyFill="1" applyBorder="1"/>
    <x:xf numFmtId="0" fontId="6" fillId="8" borderId="9" xfId="0" applyNumberFormat="1" applyFont="1" applyFill="1" applyBorder="1" applyAlignment="1">
      <x:alignment horizontal="center"/>
    </x:xf>
    <x:xf numFmtId="0" fontId="1" fillId="0" borderId="9" xfId="0" applyNumberFormat="1" applyFont="1" applyFill="1" applyBorder="1"/>
    <x:xf numFmtId="0" fontId="1" fillId="0" borderId="9" xfId="0" applyNumberFormat="1" applyFont="1" applyFill="1" applyBorder="1" applyAlignment="1">
      <x:alignment wrapText="1"/>
    </x:xf>
    <x:xf numFmtId="0" fontId="1" fillId="3" borderId="1" xfId="0" applyNumberFormat="1" applyFont="1" applyFill="1" applyBorder="1"/>
    <x:xf numFmtId="0" fontId="1" fillId="3" borderId="2" xfId="0" applyNumberFormat="1" applyFont="1" applyFill="1" applyBorder="1"/>
    <x:xf numFmtId="0" fontId="1" fillId="3" borderId="3" xfId="0" applyNumberFormat="1" applyFont="1" applyFill="1" applyBorder="1"/>
    <x:xf numFmtId="0" fontId="1" fillId="3" borderId="4" xfId="0" applyNumberFormat="1" applyFont="1" applyFill="1" applyBorder="1"/>
    <x:xf numFmtId="0" fontId="1" fillId="3" borderId="5" xfId="0" applyNumberFormat="1" applyFont="1" applyFill="1" applyBorder="1"/>
    <x:xf numFmtId="0" fontId="1" fillId="3" borderId="6" xfId="0" applyNumberFormat="1" applyFont="1" applyFill="1" applyBorder="1"/>
    <x:xf numFmtId="0" fontId="1" fillId="3" borderId="7" xfId="0" applyNumberFormat="1" applyFont="1" applyFill="1" applyBorder="1"/>
    <x:xf numFmtId="0" fontId="1" fillId="3" borderId="8" xfId="0" applyNumberFormat="1" applyFont="1" applyFill="1" applyBorder="1"/>
    <x:xf numFmtId="0" fontId="1" fillId="3" borderId="1" xfId="0" applyNumberFormat="1" applyFont="1" applyFill="1" applyBorder="1" applyAlignment="1">
      <x:alignment wrapText="1"/>
    </x:xf>
    <x:xf numFmtId="0" fontId="1" fillId="3" borderId="2" xfId="0" applyNumberFormat="1" applyFont="1" applyFill="1" applyBorder="1" applyAlignment="1">
      <x:alignment wrapText="1"/>
    </x:xf>
    <x:xf numFmtId="0" fontId="1" fillId="3" borderId="3" xfId="0" applyNumberFormat="1" applyFont="1" applyFill="1" applyBorder="1" applyAlignment="1">
      <x:alignment wrapText="1"/>
    </x:xf>
    <x:xf numFmtId="0" fontId="1" fillId="3" borderId="4" xfId="0" applyNumberFormat="1" applyFont="1" applyFill="1" applyBorder="1" applyAlignment="1">
      <x:alignment wrapText="1"/>
    </x:xf>
    <x:xf numFmtId="0" fontId="1" fillId="3" borderId="0" xfId="0" applyNumberFormat="1" applyFont="1" applyFill="1" applyBorder="1" applyAlignment="1">
      <x:alignment wrapText="1"/>
    </x:xf>
    <x:xf numFmtId="0" fontId="1" fillId="3" borderId="5" xfId="0" applyNumberFormat="1" applyFont="1" applyFill="1" applyBorder="1" applyAlignment="1">
      <x:alignment wrapText="1"/>
    </x:xf>
    <x:xf numFmtId="0" fontId="1" fillId="3" borderId="6" xfId="0" applyNumberFormat="1" applyFont="1" applyFill="1" applyBorder="1" applyAlignment="1">
      <x:alignment wrapText="1"/>
    </x:xf>
    <x:xf numFmtId="0" fontId="1" fillId="3" borderId="7" xfId="0" applyNumberFormat="1" applyFont="1" applyFill="1" applyBorder="1" applyAlignment="1">
      <x:alignment wrapText="1"/>
    </x:xf>
    <x:xf numFmtId="0" fontId="1" fillId="3" borderId="8" xfId="0" applyNumberFormat="1" applyFont="1" applyFill="1" applyBorder="1" applyAlignment="1">
      <x:alignment wrapText="1"/>
    </x:xf>
    <x:xf numFmtId="0" fontId="1" fillId="3" borderId="1" xfId="0" applyNumberFormat="1" applyFont="1" applyFill="1" applyBorder="1" applyAlignment="1">
      <x:alignment vertical="top" wrapText="1"/>
    </x:xf>
    <x:xf numFmtId="0" fontId="1" fillId="3" borderId="2" xfId="0" applyNumberFormat="1" applyFont="1" applyFill="1" applyBorder="1" applyAlignment="1">
      <x:alignment vertical="top" wrapText="1"/>
    </x:xf>
    <x:xf numFmtId="0" fontId="1" fillId="3" borderId="3"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7" fillId="6" borderId="0" xfId="0" applyNumberFormat="1" applyFont="1" applyFill="1" applyBorder="1"/>
    <x:xf numFmtId="0" fontId="7" fillId="6" borderId="1" xfId="0" applyNumberFormat="1" applyFont="1" applyFill="1" applyBorder="1"/>
    <x:xf numFmtId="0" fontId="7" fillId="6" borderId="2"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6" borderId="6" xfId="0" applyNumberFormat="1" applyFont="1" applyFill="1" applyBorder="1"/>
    <x:xf numFmtId="0" fontId="7" fillId="6" borderId="7" xfId="0" applyNumberFormat="1" applyFont="1" applyFill="1" applyBorder="1"/>
    <x:xf numFmtId="0" fontId="7" fillId="6" borderId="8" xfId="0" applyNumberFormat="1" applyFont="1" applyFill="1" applyBorder="1"/>
    <x:xf numFmtId="0" fontId="7" fillId="6" borderId="1" xfId="0" applyNumberFormat="1" applyFont="1" applyFill="1" applyBorder="1" applyAlignment="1">
      <x:alignment wrapText="1"/>
    </x:xf>
    <x:xf numFmtId="0" fontId="7" fillId="6" borderId="2" xfId="0" applyNumberFormat="1" applyFont="1" applyFill="1" applyBorder="1" applyAlignment="1">
      <x:alignment wrapText="1"/>
    </x:xf>
    <x:xf numFmtId="0" fontId="7" fillId="6" borderId="3" xfId="0" applyNumberFormat="1" applyFont="1" applyFill="1" applyBorder="1" applyAlignment="1">
      <x:alignment wrapText="1"/>
    </x:xf>
    <x:xf numFmtId="0" fontId="7" fillId="6" borderId="4" xfId="0" applyNumberFormat="1" applyFont="1" applyFill="1" applyBorder="1" applyAlignment="1">
      <x:alignment wrapText="1"/>
    </x:xf>
    <x:xf numFmtId="0" fontId="7" fillId="6" borderId="0" xfId="0" applyNumberFormat="1" applyFont="1" applyFill="1" applyBorder="1" applyAlignment="1">
      <x:alignment wrapText="1"/>
    </x:xf>
    <x:xf numFmtId="0" fontId="7" fillId="6" borderId="5" xfId="0" applyNumberFormat="1" applyFont="1" applyFill="1" applyBorder="1" applyAlignment="1">
      <x:alignment wrapText="1"/>
    </x:xf>
    <x:xf numFmtId="0" fontId="7" fillId="6" borderId="6" xfId="0" applyNumberFormat="1" applyFont="1" applyFill="1" applyBorder="1" applyAlignment="1">
      <x:alignment wrapText="1"/>
    </x:xf>
    <x:xf numFmtId="0" fontId="7" fillId="6" borderId="7" xfId="0" applyNumberFormat="1" applyFont="1" applyFill="1" applyBorder="1" applyAlignment="1">
      <x:alignment wrapText="1"/>
    </x:xf>
    <x:xf numFmtId="0" fontId="7" fillId="6" borderId="8" xfId="0" applyNumberFormat="1" applyFont="1" applyFill="1" applyBorder="1" applyAlignment="1">
      <x:alignment wrapText="1"/>
    </x:xf>
    <x:xf numFmtId="0" fontId="7" fillId="6" borderId="1"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6" borderId="6" xfId="0" applyNumberFormat="1" applyFont="1" applyFill="1" applyBorder="1" applyAlignment="1">
      <x:alignment vertical="top" wrapText="1"/>
    </x:xf>
    <x:xf numFmtId="0" fontId="7" fillId="6" borderId="7" xfId="0" applyNumberFormat="1" applyFont="1" applyFill="1" applyBorder="1" applyAlignment="1">
      <x:alignment vertical="top" wrapText="1"/>
    </x:xf>
    <x:xf numFmtId="0" fontId="7" fillId="6" borderId="8" xfId="0" applyNumberFormat="1" applyFont="1" applyFill="1" applyBorder="1" applyAlignment="1">
      <x:alignment vertical="top" wrapText="1"/>
    </x:xf>
    <x:xf numFmtId="0" fontId="5" fillId="7" borderId="0" xfId="0" applyNumberFormat="1" applyFont="1" applyFill="1" applyBorder="1"/>
    <x:xf numFmtId="0" fontId="5" fillId="7" borderId="9" xfId="0" applyNumberFormat="1" applyFont="1" applyFill="1" applyBorder="1"/>
    <x:xf numFmtId="0" fontId="5" fillId="7" borderId="9" xfId="0" applyNumberFormat="1" applyFont="1" applyFill="1" applyBorder="1" applyAlignment="1">
      <x:alignment wrapText="1"/>
    </x:xf>
    <x:xf numFmtId="0" fontId="5" fillId="7" borderId="9" xfId="0" applyNumberFormat="1" applyFont="1" applyFill="1" applyBorder="1" applyAlignment="1">
      <x:alignment horizontal="center" wrapText="1"/>
    </x:xf>
    <x:xf numFmtId="0" fontId="5" fillId="7" borderId="9" xfId="0" applyNumberFormat="1" applyFont="1" applyFill="1" applyBorder="1" applyAlignment="1">
      <x:alignment horizontal="center" vertical="center" wrapText="1"/>
    </x:xf>
    <x:xf numFmtId="0" fontId="1" fillId="9" borderId="0" xfId="0" applyNumberFormat="1" applyFont="1" applyFill="1" applyBorder="1"/>
    <x:xf numFmtId="0" fontId="1" fillId="9" borderId="9" xfId="0" applyNumberFormat="1" applyFont="1" applyFill="1" applyBorder="1"/>
    <x:xf numFmtId="0" fontId="1" fillId="9" borderId="9" xfId="0" applyNumberFormat="1" applyFont="1" applyFill="1" applyBorder="1" applyAlignment="1">
      <x:alignment wrapText="1"/>
    </x:xf>
    <x:xf numFmtId="0" fontId="1" fillId="9" borderId="9" xfId="0" applyNumberFormat="1" applyFont="1" applyFill="1" applyBorder="1" applyAlignment="1">
      <x:alignment vertical="center" wrapText="1"/>
    </x:xf>
    <x:xf numFmtId="200" fontId="1" fillId="9" borderId="9" xfId="0" applyNumberFormat="1" applyFont="1" applyFill="1" applyBorder="1" applyAlignment="1">
      <x:alignment vertical="center" wrapText="1"/>
    </x:xf>
    <x:xf numFmtId="0" fontId="1" fillId="5" borderId="9" xfId="0" applyNumberFormat="1" applyFont="1" applyFill="1" applyBorder="1"/>
    <x:xf numFmtId="200" fontId="1" fillId="5"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4f437c2f924d8d" /><Relationship Type="http://schemas.openxmlformats.org/officeDocument/2006/relationships/theme" Target="/xl/theme/theme1.xml" Id="Rf8436cc1cb4e4f26" /><Relationship Type="http://schemas.openxmlformats.org/officeDocument/2006/relationships/sharedStrings" Target="/xl/sharedStrings.xml" Id="R5ffa3f04f3704c06" /><Relationship Type="http://schemas.openxmlformats.org/officeDocument/2006/relationships/worksheet" Target="/xl/worksheets/sheet1.xml" Id="R140b50ffa032427e" /><Relationship Type="http://schemas.openxmlformats.org/officeDocument/2006/relationships/worksheet" Target="/xl/worksheets/sheet2.xml" Id="R307a69c287504827" /><Relationship Type="http://schemas.openxmlformats.org/officeDocument/2006/relationships/worksheet" Target="/xl/worksheets/sheet3.xml" Id="R8a1486560daa45de" /><Relationship Type="http://schemas.openxmlformats.org/officeDocument/2006/relationships/worksheet" Target="/xl/worksheets/sheet4.xml" Id="R840c14322a3943b5" /></Relationships>
</file>

<file path=xl/drawings/_rels/drawing1.xml.rels>&#65279;<?xml version="1.0" encoding="utf-8"?><Relationships xmlns="http://schemas.openxmlformats.org/package/2006/relationships"><Relationship Type="http://schemas.openxmlformats.org/officeDocument/2006/relationships/chart" Target="/xl/drawings/charts/chart1.xml" Id="R6d759ea494d84af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Stage-1 boundary</a:t>
            </a:r>
          </a:p>
        </c:rich>
      </c:tx>
      <c:overlay val="0"/>
    </c:title>
    <c:plotArea>
      <c:lineChart>
        <c:grouping val="standard"/>
        <c:varyColors val="0"/>
        <c:ser>
          <c:idx val="0"/>
          <c:order val="0"/>
          <c:tx>
            <c:v>Water kg/s</c:v>
          </c:tx>
          <c:marker>
            <c:symbol val="none"/>
          </c:marker>
          <c:cat>
            <c:strRef>
              <c:f>'Gold_Answer_A'!$K$10:$K$15</c:f>
              <c:strCache>
                <c:ptCount val="0"/>
              </c:strCache>
            </c:strRef>
          </c:cat>
          <c:val>
            <c:numRef>
              <c:f>'Gold_Answer_A'!$L$10:$L$15</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10</xdr:col>
      <xdr:colOff>0</xdr:colOff>
      <xdr:row>17</xdr:row>
      <xdr:rowOff>0</xdr:rowOff>
    </xdr:from>
    <xdr:to>
      <xdr:col>14</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d759ea494d84af3"/>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89bcab291aab4ef0"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D6_6b-N02 | Common membrane area and common acid dose across two seasons</x:v>
      </x:c>
      <x:c r="B1" s="6" t="str">
        <x:v>D6_6b-N02 | Common membrane area and common acid dose across two seasons</x:v>
      </x:c>
      <x:c r="C1" s="6" t="str">
        <x:v>D6_6b-N02 | Common membrane area and common acid dose across two seasons</x:v>
      </x:c>
      <x:c r="D1" s="6" t="str">
        <x:v>D6_6b-N02 | Common membrane area and common acid dose across two seasons</x:v>
      </x:c>
      <x:c r="E1" s="6" t="str">
        <x:v>D6_6b-N02 | Common membrane area and common acid dose across two seasons</x:v>
      </x:c>
      <x:c r="F1" s="6" t="str">
        <x:v>D6_6b-N02 | Common membrane area and common acid dose across two seasons</x:v>
      </x:c>
      <x:c r="G1" s="6" t="str">
        <x:v>D6_6b-N02 | Common membrane area and common acid dose across two seasons</x:v>
      </x:c>
      <x:c r="H1" s="6" t="str">
        <x:v>D6_6b-N02 | Common membrane area and common acid dose across two seasons</x:v>
      </x:c>
      <x:c r="I1" s="6" t="str">
        <x:v>D6_6b-N02 | Common membrane area and common acid dose across two seasons</x:v>
      </x:c>
      <x:c r="J1" s="6" t="str">
        <x:v>D6_6b-N02 | Common membrane area and common acid dose across two seasons</x:v>
      </x:c>
      <x:c r="K1" s="6" t="str">
        <x:v>D6_6b-N02 | Common membrane area and common acid dose across two seasons</x:v>
      </x:c>
      <x:c r="L1" s="6" t="str">
        <x:v>D6_6b-N02 | Common membrane area and common acid dose across two seasons</x:v>
      </x:c>
      <x:c r="M1" s="6" t="str">
        <x:v>D6_6b-N02 | Common membrane area and common acid dose across two seasons</x:v>
      </x:c>
      <x:c r="N1" s="6" t="str">
        <x:v>D6_6b-N02 | Common membrane area and common acid dose across two seasons</x:v>
      </x:c>
    </x:row>
    <x:row r="2" ht="28" customHeight="1">
      <x:c r="A2" s="6" t="str">
        <x:v>D6_6b-N02 | Common membrane area and common acid dose across two seasons</x:v>
      </x:c>
      <x:c r="B2" s="6" t="str">
        <x:v>D6_6b-N02 | Common membrane area and common acid dose across two seasons</x:v>
      </x:c>
      <x:c r="C2" s="6" t="str">
        <x:v>D6_6b-N02 | Common membrane area and common acid dose across two seasons</x:v>
      </x:c>
      <x:c r="D2" s="6" t="str">
        <x:v>D6_6b-N02 | Common membrane area and common acid dose across two seasons</x:v>
      </x:c>
      <x:c r="E2" s="6" t="str">
        <x:v>D6_6b-N02 | Common membrane area and common acid dose across two seasons</x:v>
      </x:c>
      <x:c r="F2" s="6" t="str">
        <x:v>D6_6b-N02 | Common membrane area and common acid dose across two seasons</x:v>
      </x:c>
      <x:c r="G2" s="6" t="str">
        <x:v>D6_6b-N02 | Common membrane area and common acid dose across two seasons</x:v>
      </x:c>
      <x:c r="H2" s="6" t="str">
        <x:v>D6_6b-N02 | Common membrane area and common acid dose across two seasons</x:v>
      </x:c>
      <x:c r="I2" s="6" t="str">
        <x:v>D6_6b-N02 | Common membrane area and common acid dose across two seasons</x:v>
      </x:c>
      <x:c r="J2" s="6" t="str">
        <x:v>D6_6b-N02 | Common membrane area and common acid dose across two seasons</x:v>
      </x:c>
      <x:c r="K2" s="6" t="str">
        <x:v>D6_6b-N02 | Common membrane area and common acid dose across two seasons</x:v>
      </x:c>
      <x:c r="L2" s="6" t="str">
        <x:v>D6_6b-N02 | Common membrane area and common acid dose across two seasons</x:v>
      </x:c>
      <x:c r="M2" s="6" t="str">
        <x:v>D6_6b-N02 | Common membrane area and common acid dose across two seasons</x:v>
      </x:c>
      <x:c r="N2" s="6" t="str">
        <x:v>D6_6b-N02 | Common membrane area and common acid dose across two seasons</x:v>
      </x:c>
    </x:row>
    <x:row r="3">
      <x:c r="A3" s="1"/>
      <x:c r="B3" s="1"/>
      <x:c r="C3" s="1"/>
      <x:c r="D3" s="1"/>
      <x:c r="E3" s="1"/>
      <x:c r="F3" s="1"/>
      <x:c r="G3" s="1"/>
      <x:c r="H3" s="1"/>
      <x:c r="I3" s="1"/>
      <x:c r="J3" s="1"/>
      <x:c r="K3" s="1"/>
      <x:c r="L3" s="1"/>
      <x:c r="M3" s="1"/>
      <x:c r="N3" s="1"/>
    </x:row>
    <x:row r="4">
      <x:c r="A4" s="26"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B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C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D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E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F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G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H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I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J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K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L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M4" s="27"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N4" s="28"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row>
    <x:row r="5">
      <x:c r="A5" s="29"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B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C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D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E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F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G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H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I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J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K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L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M5"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N5" s="31"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row>
    <x:row r="6">
      <x:c r="A6" s="29"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B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C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D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E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F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G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H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I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J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K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L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M6" s="30"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N6" s="31"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row>
    <x:row r="7">
      <x:c r="A7" s="32"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B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C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D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E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F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G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H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I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J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K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L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M7" s="33"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c r="N7" s="34" t="str">
        <x:v>An SWRO plant must use one membrane area and one HCl setpoint in a cold winter and warm summer state. Determine the smallest area compliant in both states, then pass each state's actual recovery into equilibrium and identify the one common acid dose meeting both chemical safety margins.</x:v>
      </x:c>
    </x:row>
    <x:row r="8">
      <x:c r="A8" s="1"/>
      <x:c r="B8" s="1"/>
      <x:c r="C8" s="1"/>
      <x:c r="D8" s="1"/>
      <x:c r="E8" s="1"/>
      <x:c r="F8" s="1"/>
      <x:c r="G8" s="1"/>
      <x:c r="H8" s="1"/>
      <x:c r="I8" s="1"/>
      <x:c r="J8" s="1"/>
      <x:c r="K8" s="1"/>
      <x:c r="L8" s="1"/>
      <x:c r="M8" s="1"/>
      <x:c r="N8" s="1"/>
    </x:row>
    <x:row r="9">
      <x:c r="A9" s="37" t="str">
        <x:v>Engineering inputs and design boundary</x:v>
      </x:c>
      <x:c r="B9" s="37" t="str">
        <x:v>Engineering inputs and design boundary</x:v>
      </x:c>
      <x:c r="C9" s="37" t="str">
        <x:v>Engineering inputs and design boundary</x:v>
      </x:c>
      <x:c r="D9" s="37" t="str">
        <x:v>Engineering inputs and design boundary</x:v>
      </x:c>
      <x:c r="E9" s="37" t="str">
        <x:v>Engineering inputs and design boundary</x:v>
      </x:c>
      <x:c r="F9" s="37" t="str">
        <x:v>Engineering inputs and design boundary</x:v>
      </x:c>
      <x:c r="G9" s="1"/>
      <x:c r="H9" s="37" t="str">
        <x:v>Hard constraints and decision rule</x:v>
      </x:c>
      <x:c r="I9" s="37" t="str">
        <x:v>Hard constraints and decision rule</x:v>
      </x:c>
      <x:c r="J9" s="37" t="str">
        <x:v>Hard constraints and decision rule</x:v>
      </x:c>
      <x:c r="K9" s="37" t="str">
        <x:v>Hard constraints and decision rule</x:v>
      </x:c>
      <x:c r="L9" s="37" t="str">
        <x:v>Hard constraints and decision rule</x:v>
      </x:c>
      <x:c r="M9" s="37" t="str">
        <x:v>Hard constraints and decision rule</x:v>
      </x:c>
      <x:c r="N9" s="37" t="str">
        <x:v>Hard constraints and decision rule</x:v>
      </x:c>
    </x:row>
    <x:row r="10">
      <x:c r="A10" s="56" t="str">
        <x:v>Pressure 66 bar; area 65, 72 or 80 m²; feed 36 g/kg; winter 15°C and summer 28°C. The same dose must be evaluated at both inherited recoveries; an average recovery is not allowed.</x:v>
      </x:c>
      <x:c r="B10" s="57" t="str">
        <x:v>Pressure 66 bar; area 65, 72 or 80 m²; feed 36 g/kg; winter 15°C and summer 28°C. The same dose must be evaluated at both inherited recoveries; an average recovery is not allowed.</x:v>
      </x:c>
      <x:c r="C10" s="57" t="str">
        <x:v>Pressure 66 bar; area 65, 72 or 80 m²; feed 36 g/kg; winter 15°C and summer 28°C. The same dose must be evaluated at both inherited recoveries; an average recovery is not allowed.</x:v>
      </x:c>
      <x:c r="D10" s="57" t="str">
        <x:v>Pressure 66 bar; area 65, 72 or 80 m²; feed 36 g/kg; winter 15°C and summer 28°C. The same dose must be evaluated at both inherited recoveries; an average recovery is not allowed.</x:v>
      </x:c>
      <x:c r="E10" s="57" t="str">
        <x:v>Pressure 66 bar; area 65, 72 or 80 m²; feed 36 g/kg; winter 15°C and summer 28°C. The same dose must be evaluated at both inherited recoveries; an average recovery is not allowed.</x:v>
      </x:c>
      <x:c r="F10" s="58" t="str">
        <x:v>Pressure 66 bar; area 65, 72 or 80 m²; feed 36 g/kg; winter 15°C and summer 28°C. The same dose must be evaluated at both inherited recoveries; an average recovery is not allowed.</x:v>
      </x:c>
      <x:c r="G10" s="1"/>
      <x:c r="H10" s="84" t="str">
        <x:v>Both seasons: water ≥0.430 kg/s, NaCl ≤320 mg/L and CP ≤1.35. Chemistry: pH≥6.08, Calcite and Dolomite SI≤−0.30, Gypsum and Anhydrite SI≤0. Select the minimum common area and the unique common dose.</x:v>
      </x:c>
      <x:c r="I10" s="85" t="str">
        <x:v>Both seasons: water ≥0.430 kg/s, NaCl ≤320 mg/L and CP ≤1.35. Chemistry: pH≥6.08, Calcite and Dolomite SI≤−0.30, Gypsum and Anhydrite SI≤0. Select the minimum common area and the unique common dose.</x:v>
      </x:c>
      <x:c r="J10" s="85" t="str">
        <x:v>Both seasons: water ≥0.430 kg/s, NaCl ≤320 mg/L and CP ≤1.35. Chemistry: pH≥6.08, Calcite and Dolomite SI≤−0.30, Gypsum and Anhydrite SI≤0. Select the minimum common area and the unique common dose.</x:v>
      </x:c>
      <x:c r="K10" s="85" t="str">
        <x:v>Both seasons: water ≥0.430 kg/s, NaCl ≤320 mg/L and CP ≤1.35. Chemistry: pH≥6.08, Calcite and Dolomite SI≤−0.30, Gypsum and Anhydrite SI≤0. Select the minimum common area and the unique common dose.</x:v>
      </x:c>
      <x:c r="L10" s="85" t="str">
        <x:v>Both seasons: water ≥0.430 kg/s, NaCl ≤320 mg/L and CP ≤1.35. Chemistry: pH≥6.08, Calcite and Dolomite SI≤−0.30, Gypsum and Anhydrite SI≤0. Select the minimum common area and the unique common dose.</x:v>
      </x:c>
      <x:c r="M10" s="85" t="str">
        <x:v>Both seasons: water ≥0.430 kg/s, NaCl ≤320 mg/L and CP ≤1.35. Chemistry: pH≥6.08, Calcite and Dolomite SI≤−0.30, Gypsum and Anhydrite SI≤0. Select the minimum common area and the unique common dose.</x:v>
      </x:c>
      <x:c r="N10" s="86" t="str">
        <x:v>Both seasons: water ≥0.430 kg/s, NaCl ≤320 mg/L and CP ≤1.35. Chemistry: pH≥6.08, Calcite and Dolomite SI≤−0.30, Gypsum and Anhydrite SI≤0. Select the minimum common area and the unique common dose.</x:v>
      </x:c>
    </x:row>
    <x:row r="11">
      <x:c r="A11" s="59" t="str">
        <x:v>Pressure 66 bar; area 65, 72 or 80 m²; feed 36 g/kg; winter 15°C and summer 28°C. The same dose must be evaluated at both inherited recoveries; an average recovery is not allowed.</x:v>
      </x:c>
      <x:c r="B11" s="60" t="str">
        <x:v>Pressure 66 bar; area 65, 72 or 80 m²; feed 36 g/kg; winter 15°C and summer 28°C. The same dose must be evaluated at both inherited recoveries; an average recovery is not allowed.</x:v>
      </x:c>
      <x:c r="C11" s="60" t="str">
        <x:v>Pressure 66 bar; area 65, 72 or 80 m²; feed 36 g/kg; winter 15°C and summer 28°C. The same dose must be evaluated at both inherited recoveries; an average recovery is not allowed.</x:v>
      </x:c>
      <x:c r="D11" s="60" t="str">
        <x:v>Pressure 66 bar; area 65, 72 or 80 m²; feed 36 g/kg; winter 15°C and summer 28°C. The same dose must be evaluated at both inherited recoveries; an average recovery is not allowed.</x:v>
      </x:c>
      <x:c r="E11" s="60" t="str">
        <x:v>Pressure 66 bar; area 65, 72 or 80 m²; feed 36 g/kg; winter 15°C and summer 28°C. The same dose must be evaluated at both inherited recoveries; an average recovery is not allowed.</x:v>
      </x:c>
      <x:c r="F11" s="61" t="str">
        <x:v>Pressure 66 bar; area 65, 72 or 80 m²; feed 36 g/kg; winter 15°C and summer 28°C. The same dose must be evaluated at both inherited recoveries; an average recovery is not allowed.</x:v>
      </x:c>
      <x:c r="G11" s="1"/>
      <x:c r="H11" s="87" t="str">
        <x:v>Both seasons: water ≥0.430 kg/s, NaCl ≤320 mg/L and CP ≤1.35. Chemistry: pH≥6.08, Calcite and Dolomite SI≤−0.30, Gypsum and Anhydrite SI≤0. Select the minimum common area and the unique common dose.</x:v>
      </x:c>
      <x:c r="I11" s="88" t="str">
        <x:v>Both seasons: water ≥0.430 kg/s, NaCl ≤320 mg/L and CP ≤1.35. Chemistry: pH≥6.08, Calcite and Dolomite SI≤−0.30, Gypsum and Anhydrite SI≤0. Select the minimum common area and the unique common dose.</x:v>
      </x:c>
      <x:c r="J11" s="88" t="str">
        <x:v>Both seasons: water ≥0.430 kg/s, NaCl ≤320 mg/L and CP ≤1.35. Chemistry: pH≥6.08, Calcite and Dolomite SI≤−0.30, Gypsum and Anhydrite SI≤0. Select the minimum common area and the unique common dose.</x:v>
      </x:c>
      <x:c r="K11" s="88" t="str">
        <x:v>Both seasons: water ≥0.430 kg/s, NaCl ≤320 mg/L and CP ≤1.35. Chemistry: pH≥6.08, Calcite and Dolomite SI≤−0.30, Gypsum and Anhydrite SI≤0. Select the minimum common area and the unique common dose.</x:v>
      </x:c>
      <x:c r="L11" s="88" t="str">
        <x:v>Both seasons: water ≥0.430 kg/s, NaCl ≤320 mg/L and CP ≤1.35. Chemistry: pH≥6.08, Calcite and Dolomite SI≤−0.30, Gypsum and Anhydrite SI≤0. Select the minimum common area and the unique common dose.</x:v>
      </x:c>
      <x:c r="M11" s="88" t="str">
        <x:v>Both seasons: water ≥0.430 kg/s, NaCl ≤320 mg/L and CP ≤1.35. Chemistry: pH≥6.08, Calcite and Dolomite SI≤−0.30, Gypsum and Anhydrite SI≤0. Select the minimum common area and the unique common dose.</x:v>
      </x:c>
      <x:c r="N11" s="89" t="str">
        <x:v>Both seasons: water ≥0.430 kg/s, NaCl ≤320 mg/L and CP ≤1.35. Chemistry: pH≥6.08, Calcite and Dolomite SI≤−0.30, Gypsum and Anhydrite SI≤0. Select the minimum common area and the unique common dose.</x:v>
      </x:c>
    </x:row>
    <x:row r="12">
      <x:c r="A12" s="59" t="str">
        <x:v>Pressure 66 bar; area 65, 72 or 80 m²; feed 36 g/kg; winter 15°C and summer 28°C. The same dose must be evaluated at both inherited recoveries; an average recovery is not allowed.</x:v>
      </x:c>
      <x:c r="B12" s="60" t="str">
        <x:v>Pressure 66 bar; area 65, 72 or 80 m²; feed 36 g/kg; winter 15°C and summer 28°C. The same dose must be evaluated at both inherited recoveries; an average recovery is not allowed.</x:v>
      </x:c>
      <x:c r="C12" s="60" t="str">
        <x:v>Pressure 66 bar; area 65, 72 or 80 m²; feed 36 g/kg; winter 15°C and summer 28°C. The same dose must be evaluated at both inherited recoveries; an average recovery is not allowed.</x:v>
      </x:c>
      <x:c r="D12" s="60" t="str">
        <x:v>Pressure 66 bar; area 65, 72 or 80 m²; feed 36 g/kg; winter 15°C and summer 28°C. The same dose must be evaluated at both inherited recoveries; an average recovery is not allowed.</x:v>
      </x:c>
      <x:c r="E12" s="60" t="str">
        <x:v>Pressure 66 bar; area 65, 72 or 80 m²; feed 36 g/kg; winter 15°C and summer 28°C. The same dose must be evaluated at both inherited recoveries; an average recovery is not allowed.</x:v>
      </x:c>
      <x:c r="F12" s="61" t="str">
        <x:v>Pressure 66 bar; area 65, 72 or 80 m²; feed 36 g/kg; winter 15°C and summer 28°C. The same dose must be evaluated at both inherited recoveries; an average recovery is not allowed.</x:v>
      </x:c>
      <x:c r="G12" s="1"/>
      <x:c r="H12" s="87" t="str">
        <x:v>Both seasons: water ≥0.430 kg/s, NaCl ≤320 mg/L and CP ≤1.35. Chemistry: pH≥6.08, Calcite and Dolomite SI≤−0.30, Gypsum and Anhydrite SI≤0. Select the minimum common area and the unique common dose.</x:v>
      </x:c>
      <x:c r="I12" s="88" t="str">
        <x:v>Both seasons: water ≥0.430 kg/s, NaCl ≤320 mg/L and CP ≤1.35. Chemistry: pH≥6.08, Calcite and Dolomite SI≤−0.30, Gypsum and Anhydrite SI≤0. Select the minimum common area and the unique common dose.</x:v>
      </x:c>
      <x:c r="J12" s="88" t="str">
        <x:v>Both seasons: water ≥0.430 kg/s, NaCl ≤320 mg/L and CP ≤1.35. Chemistry: pH≥6.08, Calcite and Dolomite SI≤−0.30, Gypsum and Anhydrite SI≤0. Select the minimum common area and the unique common dose.</x:v>
      </x:c>
      <x:c r="K12" s="88" t="str">
        <x:v>Both seasons: water ≥0.430 kg/s, NaCl ≤320 mg/L and CP ≤1.35. Chemistry: pH≥6.08, Calcite and Dolomite SI≤−0.30, Gypsum and Anhydrite SI≤0. Select the minimum common area and the unique common dose.</x:v>
      </x:c>
      <x:c r="L12" s="88" t="str">
        <x:v>Both seasons: water ≥0.430 kg/s, NaCl ≤320 mg/L and CP ≤1.35. Chemistry: pH≥6.08, Calcite and Dolomite SI≤−0.30, Gypsum and Anhydrite SI≤0. Select the minimum common area and the unique common dose.</x:v>
      </x:c>
      <x:c r="M12" s="88" t="str">
        <x:v>Both seasons: water ≥0.430 kg/s, NaCl ≤320 mg/L and CP ≤1.35. Chemistry: pH≥6.08, Calcite and Dolomite SI≤−0.30, Gypsum and Anhydrite SI≤0. Select the minimum common area and the unique common dose.</x:v>
      </x:c>
      <x:c r="N12" s="89" t="str">
        <x:v>Both seasons: water ≥0.430 kg/s, NaCl ≤320 mg/L and CP ≤1.35. Chemistry: pH≥6.08, Calcite and Dolomite SI≤−0.30, Gypsum and Anhydrite SI≤0. Select the minimum common area and the unique common dose.</x:v>
      </x:c>
    </x:row>
    <x:row r="13">
      <x:c r="A13" s="59" t="str">
        <x:v>Pressure 66 bar; area 65, 72 or 80 m²; feed 36 g/kg; winter 15°C and summer 28°C. The same dose must be evaluated at both inherited recoveries; an average recovery is not allowed.</x:v>
      </x:c>
      <x:c r="B13" s="60" t="str">
        <x:v>Pressure 66 bar; area 65, 72 or 80 m²; feed 36 g/kg; winter 15°C and summer 28°C. The same dose must be evaluated at both inherited recoveries; an average recovery is not allowed.</x:v>
      </x:c>
      <x:c r="C13" s="60" t="str">
        <x:v>Pressure 66 bar; area 65, 72 or 80 m²; feed 36 g/kg; winter 15°C and summer 28°C. The same dose must be evaluated at both inherited recoveries; an average recovery is not allowed.</x:v>
      </x:c>
      <x:c r="D13" s="60" t="str">
        <x:v>Pressure 66 bar; area 65, 72 or 80 m²; feed 36 g/kg; winter 15°C and summer 28°C. The same dose must be evaluated at both inherited recoveries; an average recovery is not allowed.</x:v>
      </x:c>
      <x:c r="E13" s="60" t="str">
        <x:v>Pressure 66 bar; area 65, 72 or 80 m²; feed 36 g/kg; winter 15°C and summer 28°C. The same dose must be evaluated at both inherited recoveries; an average recovery is not allowed.</x:v>
      </x:c>
      <x:c r="F13" s="61" t="str">
        <x:v>Pressure 66 bar; area 65, 72 or 80 m²; feed 36 g/kg; winter 15°C and summer 28°C. The same dose must be evaluated at both inherited recoveries; an average recovery is not allowed.</x:v>
      </x:c>
      <x:c r="G13" s="1"/>
      <x:c r="H13" s="87" t="str">
        <x:v>Both seasons: water ≥0.430 kg/s, NaCl ≤320 mg/L and CP ≤1.35. Chemistry: pH≥6.08, Calcite and Dolomite SI≤−0.30, Gypsum and Anhydrite SI≤0. Select the minimum common area and the unique common dose.</x:v>
      </x:c>
      <x:c r="I13" s="88" t="str">
        <x:v>Both seasons: water ≥0.430 kg/s, NaCl ≤320 mg/L and CP ≤1.35. Chemistry: pH≥6.08, Calcite and Dolomite SI≤−0.30, Gypsum and Anhydrite SI≤0. Select the minimum common area and the unique common dose.</x:v>
      </x:c>
      <x:c r="J13" s="88" t="str">
        <x:v>Both seasons: water ≥0.430 kg/s, NaCl ≤320 mg/L and CP ≤1.35. Chemistry: pH≥6.08, Calcite and Dolomite SI≤−0.30, Gypsum and Anhydrite SI≤0. Select the minimum common area and the unique common dose.</x:v>
      </x:c>
      <x:c r="K13" s="88" t="str">
        <x:v>Both seasons: water ≥0.430 kg/s, NaCl ≤320 mg/L and CP ≤1.35. Chemistry: pH≥6.08, Calcite and Dolomite SI≤−0.30, Gypsum and Anhydrite SI≤0. Select the minimum common area and the unique common dose.</x:v>
      </x:c>
      <x:c r="L13" s="88" t="str">
        <x:v>Both seasons: water ≥0.430 kg/s, NaCl ≤320 mg/L and CP ≤1.35. Chemistry: pH≥6.08, Calcite and Dolomite SI≤−0.30, Gypsum and Anhydrite SI≤0. Select the minimum common area and the unique common dose.</x:v>
      </x:c>
      <x:c r="M13" s="88" t="str">
        <x:v>Both seasons: water ≥0.430 kg/s, NaCl ≤320 mg/L and CP ≤1.35. Chemistry: pH≥6.08, Calcite and Dolomite SI≤−0.30, Gypsum and Anhydrite SI≤0. Select the minimum common area and the unique common dose.</x:v>
      </x:c>
      <x:c r="N13" s="89" t="str">
        <x:v>Both seasons: water ≥0.430 kg/s, NaCl ≤320 mg/L and CP ≤1.35. Chemistry: pH≥6.08, Calcite and Dolomite SI≤−0.30, Gypsum and Anhydrite SI≤0. Select the minimum common area and the unique common dose.</x:v>
      </x:c>
    </x:row>
    <x:row r="14">
      <x:c r="A14" s="59" t="str">
        <x:v>Pressure 66 bar; area 65, 72 or 80 m²; feed 36 g/kg; winter 15°C and summer 28°C. The same dose must be evaluated at both inherited recoveries; an average recovery is not allowed.</x:v>
      </x:c>
      <x:c r="B14" s="60" t="str">
        <x:v>Pressure 66 bar; area 65, 72 or 80 m²; feed 36 g/kg; winter 15°C and summer 28°C. The same dose must be evaluated at both inherited recoveries; an average recovery is not allowed.</x:v>
      </x:c>
      <x:c r="C14" s="60" t="str">
        <x:v>Pressure 66 bar; area 65, 72 or 80 m²; feed 36 g/kg; winter 15°C and summer 28°C. The same dose must be evaluated at both inherited recoveries; an average recovery is not allowed.</x:v>
      </x:c>
      <x:c r="D14" s="60" t="str">
        <x:v>Pressure 66 bar; area 65, 72 or 80 m²; feed 36 g/kg; winter 15°C and summer 28°C. The same dose must be evaluated at both inherited recoveries; an average recovery is not allowed.</x:v>
      </x:c>
      <x:c r="E14" s="60" t="str">
        <x:v>Pressure 66 bar; area 65, 72 or 80 m²; feed 36 g/kg; winter 15°C and summer 28°C. The same dose must be evaluated at both inherited recoveries; an average recovery is not allowed.</x:v>
      </x:c>
      <x:c r="F14" s="61" t="str">
        <x:v>Pressure 66 bar; area 65, 72 or 80 m²; feed 36 g/kg; winter 15°C and summer 28°C. The same dose must be evaluated at both inherited recoveries; an average recovery is not allowed.</x:v>
      </x:c>
      <x:c r="G14" s="1"/>
      <x:c r="H14" s="87" t="str">
        <x:v>Both seasons: water ≥0.430 kg/s, NaCl ≤320 mg/L and CP ≤1.35. Chemistry: pH≥6.08, Calcite and Dolomite SI≤−0.30, Gypsum and Anhydrite SI≤0. Select the minimum common area and the unique common dose.</x:v>
      </x:c>
      <x:c r="I14" s="88" t="str">
        <x:v>Both seasons: water ≥0.430 kg/s, NaCl ≤320 mg/L and CP ≤1.35. Chemistry: pH≥6.08, Calcite and Dolomite SI≤−0.30, Gypsum and Anhydrite SI≤0. Select the minimum common area and the unique common dose.</x:v>
      </x:c>
      <x:c r="J14" s="88" t="str">
        <x:v>Both seasons: water ≥0.430 kg/s, NaCl ≤320 mg/L and CP ≤1.35. Chemistry: pH≥6.08, Calcite and Dolomite SI≤−0.30, Gypsum and Anhydrite SI≤0. Select the minimum common area and the unique common dose.</x:v>
      </x:c>
      <x:c r="K14" s="88" t="str">
        <x:v>Both seasons: water ≥0.430 kg/s, NaCl ≤320 mg/L and CP ≤1.35. Chemistry: pH≥6.08, Calcite and Dolomite SI≤−0.30, Gypsum and Anhydrite SI≤0. Select the minimum common area and the unique common dose.</x:v>
      </x:c>
      <x:c r="L14" s="88" t="str">
        <x:v>Both seasons: water ≥0.430 kg/s, NaCl ≤320 mg/L and CP ≤1.35. Chemistry: pH≥6.08, Calcite and Dolomite SI≤−0.30, Gypsum and Anhydrite SI≤0. Select the minimum common area and the unique common dose.</x:v>
      </x:c>
      <x:c r="M14" s="88" t="str">
        <x:v>Both seasons: water ≥0.430 kg/s, NaCl ≤320 mg/L and CP ≤1.35. Chemistry: pH≥6.08, Calcite and Dolomite SI≤−0.30, Gypsum and Anhydrite SI≤0. Select the minimum common area and the unique common dose.</x:v>
      </x:c>
      <x:c r="N14" s="89" t="str">
        <x:v>Both seasons: water ≥0.430 kg/s, NaCl ≤320 mg/L and CP ≤1.35. Chemistry: pH≥6.08, Calcite and Dolomite SI≤−0.30, Gypsum and Anhydrite SI≤0. Select the minimum common area and the unique common dose.</x:v>
      </x:c>
    </x:row>
    <x:row r="15">
      <x:c r="A15" s="59" t="str">
        <x:v>Pressure 66 bar; area 65, 72 or 80 m²; feed 36 g/kg; winter 15°C and summer 28°C. The same dose must be evaluated at both inherited recoveries; an average recovery is not allowed.</x:v>
      </x:c>
      <x:c r="B15" s="60" t="str">
        <x:v>Pressure 66 bar; area 65, 72 or 80 m²; feed 36 g/kg; winter 15°C and summer 28°C. The same dose must be evaluated at both inherited recoveries; an average recovery is not allowed.</x:v>
      </x:c>
      <x:c r="C15" s="60" t="str">
        <x:v>Pressure 66 bar; area 65, 72 or 80 m²; feed 36 g/kg; winter 15°C and summer 28°C. The same dose must be evaluated at both inherited recoveries; an average recovery is not allowed.</x:v>
      </x:c>
      <x:c r="D15" s="60" t="str">
        <x:v>Pressure 66 bar; area 65, 72 or 80 m²; feed 36 g/kg; winter 15°C and summer 28°C. The same dose must be evaluated at both inherited recoveries; an average recovery is not allowed.</x:v>
      </x:c>
      <x:c r="E15" s="60" t="str">
        <x:v>Pressure 66 bar; area 65, 72 or 80 m²; feed 36 g/kg; winter 15°C and summer 28°C. The same dose must be evaluated at both inherited recoveries; an average recovery is not allowed.</x:v>
      </x:c>
      <x:c r="F15" s="61" t="str">
        <x:v>Pressure 66 bar; area 65, 72 or 80 m²; feed 36 g/kg; winter 15°C and summer 28°C. The same dose must be evaluated at both inherited recoveries; an average recovery is not allowed.</x:v>
      </x:c>
      <x:c r="G15" s="1"/>
      <x:c r="H15" s="87" t="str">
        <x:v>Both seasons: water ≥0.430 kg/s, NaCl ≤320 mg/L and CP ≤1.35. Chemistry: pH≥6.08, Calcite and Dolomite SI≤−0.30, Gypsum and Anhydrite SI≤0. Select the minimum common area and the unique common dose.</x:v>
      </x:c>
      <x:c r="I15" s="88" t="str">
        <x:v>Both seasons: water ≥0.430 kg/s, NaCl ≤320 mg/L and CP ≤1.35. Chemistry: pH≥6.08, Calcite and Dolomite SI≤−0.30, Gypsum and Anhydrite SI≤0. Select the minimum common area and the unique common dose.</x:v>
      </x:c>
      <x:c r="J15" s="88" t="str">
        <x:v>Both seasons: water ≥0.430 kg/s, NaCl ≤320 mg/L and CP ≤1.35. Chemistry: pH≥6.08, Calcite and Dolomite SI≤−0.30, Gypsum and Anhydrite SI≤0. Select the minimum common area and the unique common dose.</x:v>
      </x:c>
      <x:c r="K15" s="88" t="str">
        <x:v>Both seasons: water ≥0.430 kg/s, NaCl ≤320 mg/L and CP ≤1.35. Chemistry: pH≥6.08, Calcite and Dolomite SI≤−0.30, Gypsum and Anhydrite SI≤0. Select the minimum common area and the unique common dose.</x:v>
      </x:c>
      <x:c r="L15" s="88" t="str">
        <x:v>Both seasons: water ≥0.430 kg/s, NaCl ≤320 mg/L and CP ≤1.35. Chemistry: pH≥6.08, Calcite and Dolomite SI≤−0.30, Gypsum and Anhydrite SI≤0. Select the minimum common area and the unique common dose.</x:v>
      </x:c>
      <x:c r="M15" s="88" t="str">
        <x:v>Both seasons: water ≥0.430 kg/s, NaCl ≤320 mg/L and CP ≤1.35. Chemistry: pH≥6.08, Calcite and Dolomite SI≤−0.30, Gypsum and Anhydrite SI≤0. Select the minimum common area and the unique common dose.</x:v>
      </x:c>
      <x:c r="N15" s="89" t="str">
        <x:v>Both seasons: water ≥0.430 kg/s, NaCl ≤320 mg/L and CP ≤1.35. Chemistry: pH≥6.08, Calcite and Dolomite SI≤−0.30, Gypsum and Anhydrite SI≤0. Select the minimum common area and the unique common dose.</x:v>
      </x:c>
    </x:row>
    <x:row r="16">
      <x:c r="A16" s="62" t="str">
        <x:v>Pressure 66 bar; area 65, 72 or 80 m²; feed 36 g/kg; winter 15°C and summer 28°C. The same dose must be evaluated at both inherited recoveries; an average recovery is not allowed.</x:v>
      </x:c>
      <x:c r="B16" s="63" t="str">
        <x:v>Pressure 66 bar; area 65, 72 or 80 m²; feed 36 g/kg; winter 15°C and summer 28°C. The same dose must be evaluated at both inherited recoveries; an average recovery is not allowed.</x:v>
      </x:c>
      <x:c r="C16" s="63" t="str">
        <x:v>Pressure 66 bar; area 65, 72 or 80 m²; feed 36 g/kg; winter 15°C and summer 28°C. The same dose must be evaluated at both inherited recoveries; an average recovery is not allowed.</x:v>
      </x:c>
      <x:c r="D16" s="63" t="str">
        <x:v>Pressure 66 bar; area 65, 72 or 80 m²; feed 36 g/kg; winter 15°C and summer 28°C. The same dose must be evaluated at both inherited recoveries; an average recovery is not allowed.</x:v>
      </x:c>
      <x:c r="E16" s="63" t="str">
        <x:v>Pressure 66 bar; area 65, 72 or 80 m²; feed 36 g/kg; winter 15°C and summer 28°C. The same dose must be evaluated at both inherited recoveries; an average recovery is not allowed.</x:v>
      </x:c>
      <x:c r="F16" s="64" t="str">
        <x:v>Pressure 66 bar; area 65, 72 or 80 m²; feed 36 g/kg; winter 15°C and summer 28°C. The same dose must be evaluated at both inherited recoveries; an average recovery is not allowed.</x:v>
      </x:c>
      <x:c r="G16" s="1"/>
      <x:c r="H16" s="90" t="str">
        <x:v>Both seasons: water ≥0.430 kg/s, NaCl ≤320 mg/L and CP ≤1.35. Chemistry: pH≥6.08, Calcite and Dolomite SI≤−0.30, Gypsum and Anhydrite SI≤0. Select the minimum common area and the unique common dose.</x:v>
      </x:c>
      <x:c r="I16" s="91" t="str">
        <x:v>Both seasons: water ≥0.430 kg/s, NaCl ≤320 mg/L and CP ≤1.35. Chemistry: pH≥6.08, Calcite and Dolomite SI≤−0.30, Gypsum and Anhydrite SI≤0. Select the minimum common area and the unique common dose.</x:v>
      </x:c>
      <x:c r="J16" s="91" t="str">
        <x:v>Both seasons: water ≥0.430 kg/s, NaCl ≤320 mg/L and CP ≤1.35. Chemistry: pH≥6.08, Calcite and Dolomite SI≤−0.30, Gypsum and Anhydrite SI≤0. Select the minimum common area and the unique common dose.</x:v>
      </x:c>
      <x:c r="K16" s="91" t="str">
        <x:v>Both seasons: water ≥0.430 kg/s, NaCl ≤320 mg/L and CP ≤1.35. Chemistry: pH≥6.08, Calcite and Dolomite SI≤−0.30, Gypsum and Anhydrite SI≤0. Select the minimum common area and the unique common dose.</x:v>
      </x:c>
      <x:c r="L16" s="91" t="str">
        <x:v>Both seasons: water ≥0.430 kg/s, NaCl ≤320 mg/L and CP ≤1.35. Chemistry: pH≥6.08, Calcite and Dolomite SI≤−0.30, Gypsum and Anhydrite SI≤0. Select the minimum common area and the unique common dose.</x:v>
      </x:c>
      <x:c r="M16" s="91" t="str">
        <x:v>Both seasons: water ≥0.430 kg/s, NaCl ≤320 mg/L and CP ≤1.35. Chemistry: pH≥6.08, Calcite and Dolomite SI≤−0.30, Gypsum and Anhydrite SI≤0. Select the minimum common area and the unique common dose.</x:v>
      </x:c>
      <x:c r="N16" s="92" t="str">
        <x:v>Both seasons: water ≥0.430 kg/s, NaCl ≤320 mg/L and CP ≤1.35. Chemistry: pH≥6.08, Calcite and Dolomite SI≤−0.30, Gypsum and Anhydrite SI≤0. Select the minimum common area and the unique common dose.</x:v>
      </x:c>
    </x:row>
    <x:row r="17">
      <x:c r="A17" s="1"/>
      <x:c r="B17" s="1"/>
      <x:c r="C17" s="1"/>
      <x:c r="D17" s="1"/>
      <x:c r="E17" s="1"/>
      <x:c r="F17" s="1"/>
      <x:c r="G17" s="1"/>
      <x:c r="H17" s="1"/>
      <x:c r="I17" s="1"/>
      <x:c r="J17" s="1"/>
      <x:c r="K17" s="1"/>
      <x:c r="L17" s="1"/>
      <x:c r="M17" s="1"/>
      <x:c r="N17" s="1"/>
    </x:row>
    <x:row r="18">
      <x:c r="A18" s="37" t="str">
        <x:v>Serial dependency</x:v>
      </x:c>
      <x:c r="B18" s="37" t="str">
        <x:v>Serial dependency</x:v>
      </x:c>
      <x:c r="C18" s="37" t="str">
        <x:v>Serial dependency</x:v>
      </x:c>
      <x:c r="D18" s="37" t="str">
        <x:v>Serial dependency</x:v>
      </x:c>
      <x:c r="E18" s="37" t="str">
        <x:v>Serial dependency</x:v>
      </x:c>
      <x:c r="F18" s="37" t="str">
        <x:v>Serial dependency</x:v>
      </x:c>
      <x:c r="G18" s="1"/>
      <x:c r="H18" s="37" t="str">
        <x:v>Required engineering answer</x:v>
      </x:c>
      <x:c r="I18" s="37" t="str">
        <x:v>Required engineering answer</x:v>
      </x:c>
      <x:c r="J18" s="37" t="str">
        <x:v>Required engineering answer</x:v>
      </x:c>
      <x:c r="K18" s="37" t="str">
        <x:v>Required engineering answer</x:v>
      </x:c>
      <x:c r="L18" s="37" t="str">
        <x:v>Required engineering answer</x:v>
      </x:c>
      <x:c r="M18" s="37" t="str">
        <x:v>Required engineering answer</x:v>
      </x:c>
      <x:c r="N18" s="37" t="str">
        <x:v>Required engineering answer</x:v>
      </x:c>
    </x:row>
    <x:row r="19">
      <x:c r="A19" s="111" t="str">
        <x:v>Stage 1 uses membrane simulation to determine survivors or actual recovery. Stage 2 uses equilibrium chemistry. Stage-2 inputs must come from Stage 1; they may not be independently reset.</x:v>
      </x:c>
      <x:c r="B19" s="112" t="str">
        <x:v>Stage 1 uses membrane simulation to determine survivors or actual recovery. Stage 2 uses equilibrium chemistry. Stage-2 inputs must come from Stage 1; they may not be independently reset.</x:v>
      </x:c>
      <x:c r="C19" s="112" t="str">
        <x:v>Stage 1 uses membrane simulation to determine survivors or actual recovery. Stage 2 uses equilibrium chemistry. Stage-2 inputs must come from Stage 1; they may not be independently reset.</x:v>
      </x:c>
      <x:c r="D19" s="112" t="str">
        <x:v>Stage 1 uses membrane simulation to determine survivors or actual recovery. Stage 2 uses equilibrium chemistry. Stage-2 inputs must come from Stage 1; they may not be independently reset.</x:v>
      </x:c>
      <x:c r="E19" s="112" t="str">
        <x:v>Stage 1 uses membrane simulation to determine survivors or actual recovery. Stage 2 uses equilibrium chemistry. Stage-2 inputs must come from Stage 1; they may not be independently reset.</x:v>
      </x:c>
      <x:c r="F19" s="113" t="str">
        <x:v>Stage 1 uses membrane simulation to determine survivors or actual recovery. Stage 2 uses equilibrium chemistry. Stage-2 inputs must come from Stage 1; they may not be independently reset.</x:v>
      </x:c>
      <x:c r="G19" s="1"/>
      <x:c r="H19" s="123" t="n">
        <x:v>1</x:v>
      </x:c>
      <x:c r="I19" s="125" t="str">
        <x:v>Define a reproducible candidate grid within the stated boundary.</x:v>
      </x:c>
      <x:c r="J19" s="125" t="str">
        <x:v>Define a reproducible candidate grid within the stated boundary.</x:v>
      </x:c>
      <x:c r="K19" s="125" t="str">
        <x:v>Define a reproducible candidate grid within the stated boundary.</x:v>
      </x:c>
      <x:c r="L19" s="125" t="str">
        <x:v>Define a reproducible candidate grid within the stated boundary.</x:v>
      </x:c>
      <x:c r="M19" s="125" t="str">
        <x:v>Define a reproducible candidate grid within the stated boundary.</x:v>
      </x:c>
      <x:c r="N19" s="125" t="str">
        <x:v>Define a reproducible candidate grid within the stated boundary.</x:v>
      </x:c>
    </x:row>
    <x:row r="20">
      <x:c r="A20" s="114" t="str">
        <x:v>Stage 1 uses membrane simulation to determine survivors or actual recovery. Stage 2 uses equilibrium chemistry. Stage-2 inputs must come from Stage 1; they may not be independently reset.</x:v>
      </x:c>
      <x:c r="B20" s="115" t="str">
        <x:v>Stage 1 uses membrane simulation to determine survivors or actual recovery. Stage 2 uses equilibrium chemistry. Stage-2 inputs must come from Stage 1; they may not be independently reset.</x:v>
      </x:c>
      <x:c r="C20" s="115" t="str">
        <x:v>Stage 1 uses membrane simulation to determine survivors or actual recovery. Stage 2 uses equilibrium chemistry. Stage-2 inputs must come from Stage 1; they may not be independently reset.</x:v>
      </x:c>
      <x:c r="D20" s="115" t="str">
        <x:v>Stage 1 uses membrane simulation to determine survivors or actual recovery. Stage 2 uses equilibrium chemistry. Stage-2 inputs must come from Stage 1; they may not be independently reset.</x:v>
      </x:c>
      <x:c r="E20" s="115" t="str">
        <x:v>Stage 1 uses membrane simulation to determine survivors or actual recovery. Stage 2 uses equilibrium chemistry. Stage-2 inputs must come from Stage 1; they may not be independently reset.</x:v>
      </x:c>
      <x:c r="F20" s="116" t="str">
        <x:v>Stage 1 uses membrane simulation to determine survivors or actual recovery. Stage 2 uses equilibrium chemistry. Stage-2 inputs must come from Stage 1; they may not be independently reset.</x:v>
      </x:c>
      <x:c r="G20" s="1"/>
      <x:c r="H20" s="123" t="n">
        <x:v>2</x:v>
      </x:c>
      <x:c r="I20" s="125" t="str">
        <x:v>Complete Stage 1 and identify every pass/fail boundary.</x:v>
      </x:c>
      <x:c r="J20" s="125" t="str">
        <x:v>Complete Stage 1 and identify every pass/fail boundary.</x:v>
      </x:c>
      <x:c r="K20" s="125" t="str">
        <x:v>Complete Stage 1 and identify every pass/fail boundary.</x:v>
      </x:c>
      <x:c r="L20" s="125" t="str">
        <x:v>Complete Stage 1 and identify every pass/fail boundary.</x:v>
      </x:c>
      <x:c r="M20" s="125" t="str">
        <x:v>Complete Stage 1 and identify every pass/fail boundary.</x:v>
      </x:c>
      <x:c r="N20" s="125" t="str">
        <x:v>Complete Stage 1 and identify every pass/fail boundary.</x:v>
      </x:c>
    </x:row>
    <x:row r="21">
      <x:c r="A21" s="114" t="str">
        <x:v>Stage 1 uses membrane simulation to determine survivors or actual recovery. Stage 2 uses equilibrium chemistry. Stage-2 inputs must come from Stage 1; they may not be independently reset.</x:v>
      </x:c>
      <x:c r="B21" s="115" t="str">
        <x:v>Stage 1 uses membrane simulation to determine survivors or actual recovery. Stage 2 uses equilibrium chemistry. Stage-2 inputs must come from Stage 1; they may not be independently reset.</x:v>
      </x:c>
      <x:c r="C21" s="115" t="str">
        <x:v>Stage 1 uses membrane simulation to determine survivors or actual recovery. Stage 2 uses equilibrium chemistry. Stage-2 inputs must come from Stage 1; they may not be independently reset.</x:v>
      </x:c>
      <x:c r="D21" s="115" t="str">
        <x:v>Stage 1 uses membrane simulation to determine survivors or actual recovery. Stage 2 uses equilibrium chemistry. Stage-2 inputs must come from Stage 1; they may not be independently reset.</x:v>
      </x:c>
      <x:c r="E21" s="115" t="str">
        <x:v>Stage 1 uses membrane simulation to determine survivors or actual recovery. Stage 2 uses equilibrium chemistry. Stage-2 inputs must come from Stage 1; they may not be independently reset.</x:v>
      </x:c>
      <x:c r="F21" s="116" t="str">
        <x:v>Stage 1 uses membrane simulation to determine survivors or actual recovery. Stage 2 uses equilibrium chemistry. Stage-2 inputs must come from Stage 1; they may not be independently reset.</x:v>
      </x:c>
      <x:c r="G21" s="1"/>
      <x:c r="H21" s="123" t="n">
        <x:v>3</x:v>
      </x:c>
      <x:c r="I21" s="125" t="str">
        <x:v>Transfer the actual Stage-1 recovery or survivor settings into Stage 2.</x:v>
      </x:c>
      <x:c r="J21" s="125" t="str">
        <x:v>Transfer the actual Stage-1 recovery or survivor settings into Stage 2.</x:v>
      </x:c>
      <x:c r="K21" s="125" t="str">
        <x:v>Transfer the actual Stage-1 recovery or survivor settings into Stage 2.</x:v>
      </x:c>
      <x:c r="L21" s="125" t="str">
        <x:v>Transfer the actual Stage-1 recovery or survivor settings into Stage 2.</x:v>
      </x:c>
      <x:c r="M21" s="125" t="str">
        <x:v>Transfer the actual Stage-1 recovery or survivor settings into Stage 2.</x:v>
      </x:c>
      <x:c r="N21" s="125" t="str">
        <x:v>Transfer the actual Stage-1 recovery or survivor settings into Stage 2.</x:v>
      </x:c>
    </x:row>
    <x:row r="22">
      <x:c r="A22" s="114" t="str">
        <x:v>Stage 1 uses membrane simulation to determine survivors or actual recovery. Stage 2 uses equilibrium chemistry. Stage-2 inputs must come from Stage 1; they may not be independently reset.</x:v>
      </x:c>
      <x:c r="B22" s="115" t="str">
        <x:v>Stage 1 uses membrane simulation to determine survivors or actual recovery. Stage 2 uses equilibrium chemistry. Stage-2 inputs must come from Stage 1; they may not be independently reset.</x:v>
      </x:c>
      <x:c r="C22" s="115" t="str">
        <x:v>Stage 1 uses membrane simulation to determine survivors or actual recovery. Stage 2 uses equilibrium chemistry. Stage-2 inputs must come from Stage 1; they may not be independently reset.</x:v>
      </x:c>
      <x:c r="D22" s="115" t="str">
        <x:v>Stage 1 uses membrane simulation to determine survivors or actual recovery. Stage 2 uses equilibrium chemistry. Stage-2 inputs must come from Stage 1; they may not be independently reset.</x:v>
      </x:c>
      <x:c r="E22" s="115" t="str">
        <x:v>Stage 1 uses membrane simulation to determine survivors or actual recovery. Stage 2 uses equilibrium chemistry. Stage-2 inputs must come from Stage 1; they may not be independently reset.</x:v>
      </x:c>
      <x:c r="F22" s="116" t="str">
        <x:v>Stage 1 uses membrane simulation to determine survivors or actual recovery. Stage 2 uses equilibrium chemistry. Stage-2 inputs must come from Stage 1; they may not be independently reset.</x:v>
      </x:c>
      <x:c r="G22" s="1"/>
      <x:c r="H22" s="123" t="n">
        <x:v>4</x:v>
      </x:c>
      <x:c r="I22" s="125" t="str">
        <x:v>Apply Stage-2 constraints without averaging away failed states.</x:v>
      </x:c>
      <x:c r="J22" s="125" t="str">
        <x:v>Apply Stage-2 constraints without averaging away failed states.</x:v>
      </x:c>
      <x:c r="K22" s="125" t="str">
        <x:v>Apply Stage-2 constraints without averaging away failed states.</x:v>
      </x:c>
      <x:c r="L22" s="125" t="str">
        <x:v>Apply Stage-2 constraints without averaging away failed states.</x:v>
      </x:c>
      <x:c r="M22" s="125" t="str">
        <x:v>Apply Stage-2 constraints without averaging away failed states.</x:v>
      </x:c>
      <x:c r="N22" s="125" t="str">
        <x:v>Apply Stage-2 constraints without averaging away failed states.</x:v>
      </x:c>
    </x:row>
    <x:row r="23">
      <x:c r="A23" s="117" t="str">
        <x:v>Stage 1 uses membrane simulation to determine survivors or actual recovery. Stage 2 uses equilibrium chemistry. Stage-2 inputs must come from Stage 1; they may not be independently reset.</x:v>
      </x:c>
      <x:c r="B23" s="118" t="str">
        <x:v>Stage 1 uses membrane simulation to determine survivors or actual recovery. Stage 2 uses equilibrium chemistry. Stage-2 inputs must come from Stage 1; they may not be independently reset.</x:v>
      </x:c>
      <x:c r="C23" s="118" t="str">
        <x:v>Stage 1 uses membrane simulation to determine survivors or actual recovery. Stage 2 uses equilibrium chemistry. Stage-2 inputs must come from Stage 1; they may not be independently reset.</x:v>
      </x:c>
      <x:c r="D23" s="118" t="str">
        <x:v>Stage 1 uses membrane simulation to determine survivors or actual recovery. Stage 2 uses equilibrium chemistry. Stage-2 inputs must come from Stage 1; they may not be independently reset.</x:v>
      </x:c>
      <x:c r="E23" s="118" t="str">
        <x:v>Stage 1 uses membrane simulation to determine survivors or actual recovery. Stage 2 uses equilibrium chemistry. Stage-2 inputs must come from Stage 1; they may not be independently reset.</x:v>
      </x:c>
      <x:c r="F23" s="119" t="str">
        <x:v>Stage 1 uses membrane simulation to determine survivors or actual recovery. Stage 2 uses equilibrium chemistry. Stage-2 inputs must come from Stage 1; they may not be independently reset.</x:v>
      </x:c>
      <x:c r="G23" s="1"/>
      <x:c r="H23" s="123" t="n">
        <x:v>5</x:v>
      </x:c>
      <x:c r="I23" s="125" t="str">
        <x:v>Report the final setting, adjacent failure evidence and model limitations.</x:v>
      </x:c>
      <x:c r="J23" s="125" t="str">
        <x:v>Report the final setting, adjacent failure evidence and model limitations.</x:v>
      </x:c>
      <x:c r="K23" s="125" t="str">
        <x:v>Report the final setting, adjacent failure evidence and model limitations.</x:v>
      </x:c>
      <x:c r="L23" s="125" t="str">
        <x:v>Report the final setting, adjacent failure evidence and model limitations.</x:v>
      </x:c>
      <x:c r="M23" s="125" t="str">
        <x:v>Report the final setting, adjacent failure evidence and model limitations.</x:v>
      </x:c>
      <x:c r="N23" s="125" t="str">
        <x:v>Report the final setting, adjacent failure evidence and model limitations.</x:v>
      </x:c>
    </x:row>
    <x:row r="24">
      <x:c r="A24" s="1"/>
      <x:c r="B24" s="1"/>
      <x:c r="C24" s="1"/>
      <x:c r="D24" s="1"/>
      <x:c r="E24" s="1"/>
      <x:c r="F24" s="1"/>
      <x:c r="G24" s="1"/>
      <x:c r="H24" s="1"/>
      <x:c r="I24" s="1"/>
      <x:c r="J24" s="1"/>
      <x:c r="K24" s="1"/>
      <x:c r="L24" s="1"/>
      <x:c r="M24" s="1"/>
      <x:c r="N24" s="1"/>
    </x:row>
    <x:row r="25">
      <x:c r="A25" s="37" t="str">
        <x:v>Boundary note</x:v>
      </x:c>
      <x:c r="B25" s="37" t="str">
        <x:v>Feed / configuration notes</x:v>
      </x:c>
      <x:c r="C25" s="37" t="str">
        <x:v>Feed / configuration notes</x:v>
      </x:c>
      <x:c r="D25" s="37" t="str">
        <x:v>Feed / configuration notes</x:v>
      </x:c>
      <x:c r="E25" s="37" t="str">
        <x:v>Feed / configuration notes</x:v>
      </x:c>
      <x:c r="F25" s="37" t="str">
        <x:v>Feed / configuration notes</x:v>
      </x:c>
      <x:c r="G25" s="37" t="str">
        <x:v>Feed / configuration notes</x:v>
      </x:c>
      <x:c r="H25" s="37" t="str">
        <x:v>Feed / configuration notes</x:v>
      </x:c>
      <x:c r="I25" s="37" t="str">
        <x:v>Feed / configuration notes</x:v>
      </x:c>
      <x:c r="J25" s="37" t="str">
        <x:v>Feed / configuration notes</x:v>
      </x:c>
      <x:c r="K25" s="37" t="str">
        <x:v>Feed / configuration notes</x:v>
      </x:c>
      <x:c r="L25" s="37" t="str">
        <x:v>Feed / configuration notes</x:v>
      </x:c>
      <x:c r="M25" s="37" t="str">
        <x:v>Feed / configuration notes</x:v>
      </x:c>
      <x:c r="N25" s="37" t="str">
        <x:v>Feed / configuration notes</x:v>
      </x:c>
    </x:row>
    <x:row r="26">
      <x:c r="A26" s="143" t="str">
        <x:v>The second-stage boundary condition must inherit the actual result selected in Stage 1. A nominal design recovery or independently reset configuration is not acceptable, even if it produces a plausible final number.</x:v>
      </x:c>
      <x:c r="B26" s="144" t="str">
        <x:v>Simulator pair: simulate_ro → equilibrate_feed. The task is judged by engineering lineage: a plausible final number without correct transfer of Stage-1 outputs into Stage 2 is not sufficient.</x:v>
      </x:c>
      <x:c r="C26" s="144" t="str">
        <x:v>Simulator pair: simulate_ro → equilibrate_feed. The task is judged by engineering lineage: a plausible final number without correct transfer of Stage-1 outputs into Stage 2 is not sufficient.</x:v>
      </x:c>
      <x:c r="D26" s="144" t="str">
        <x:v>Simulator pair: simulate_ro → equilibrate_feed. The task is judged by engineering lineage: a plausible final number without correct transfer of Stage-1 outputs into Stage 2 is not sufficient.</x:v>
      </x:c>
      <x:c r="E26" s="144" t="str">
        <x:v>Simulator pair: simulate_ro → equilibrate_feed. The task is judged by engineering lineage: a plausible final number without correct transfer of Stage-1 outputs into Stage 2 is not sufficient.</x:v>
      </x:c>
      <x:c r="F26" s="144" t="str">
        <x:v>Simulator pair: simulate_ro → equilibrate_feed. The task is judged by engineering lineage: a plausible final number without correct transfer of Stage-1 outputs into Stage 2 is not sufficient.</x:v>
      </x:c>
      <x:c r="G26" s="144" t="str">
        <x:v>Simulator pair: simulate_ro → equilibrate_feed. The task is judged by engineering lineage: a plausible final number without correct transfer of Stage-1 outputs into Stage 2 is not sufficient.</x:v>
      </x:c>
      <x:c r="H26" s="144" t="str">
        <x:v>Simulator pair: simulate_ro → equilibrate_feed. The task is judged by engineering lineage: a plausible final number without correct transfer of Stage-1 outputs into Stage 2 is not sufficient.</x:v>
      </x:c>
      <x:c r="I26" s="144" t="str">
        <x:v>Simulator pair: simulate_ro → equilibrate_feed. The task is judged by engineering lineage: a plausible final number without correct transfer of Stage-1 outputs into Stage 2 is not sufficient.</x:v>
      </x:c>
      <x:c r="J26" s="144" t="str">
        <x:v>Simulator pair: simulate_ro → equilibrate_feed. The task is judged by engineering lineage: a plausible final number without correct transfer of Stage-1 outputs into Stage 2 is not sufficient.</x:v>
      </x:c>
      <x:c r="K26" s="144" t="str">
        <x:v>Simulator pair: simulate_ro → equilibrate_feed. The task is judged by engineering lineage: a plausible final number without correct transfer of Stage-1 outputs into Stage 2 is not sufficient.</x:v>
      </x:c>
      <x:c r="L26" s="144" t="str">
        <x:v>Simulator pair: simulate_ro → equilibrate_feed. The task is judged by engineering lineage: a plausible final number without correct transfer of Stage-1 outputs into Stage 2 is not sufficient.</x:v>
      </x:c>
      <x:c r="M26" s="144" t="str">
        <x:v>Simulator pair: simulate_ro → equilibrate_feed. The task is judged by engineering lineage: a plausible final number without correct transfer of Stage-1 outputs into Stage 2 is not sufficient.</x:v>
      </x:c>
      <x:c r="N26" s="145" t="str">
        <x:v>Simulator pair: simulate_ro → equilibrate_feed. The task is judged by engineering lineage: a plausible final number without correct transfer of Stage-1 outputs into Stage 2 is not sufficient.</x:v>
      </x:c>
    </x:row>
    <x:row r="27">
      <x:c r="A27" s="146" t="str">
        <x:v>Simulator pair: simulate_ro → equilibrate_feed. The task is judged by engineering lineage: a plausible final number without correct transfer of Stage-1 outputs into Stage 2 is not sufficient.</x:v>
      </x:c>
      <x:c r="B27" s="147" t="str">
        <x:v>Simulator pair: simulate_ro → equilibrate_feed. The task is judged by engineering lineage: a plausible final number without correct transfer of Stage-1 outputs into Stage 2 is not sufficient.</x:v>
      </x:c>
      <x:c r="C27" s="147" t="str">
        <x:v>Simulator pair: simulate_ro → equilibrate_feed. The task is judged by engineering lineage: a plausible final number without correct transfer of Stage-1 outputs into Stage 2 is not sufficient.</x:v>
      </x:c>
      <x:c r="D27" s="147" t="str">
        <x:v>Simulator pair: simulate_ro → equilibrate_feed. The task is judged by engineering lineage: a plausible final number without correct transfer of Stage-1 outputs into Stage 2 is not sufficient.</x:v>
      </x:c>
      <x:c r="E27" s="147" t="str">
        <x:v>Simulator pair: simulate_ro → equilibrate_feed. The task is judged by engineering lineage: a plausible final number without correct transfer of Stage-1 outputs into Stage 2 is not sufficient.</x:v>
      </x:c>
      <x:c r="F27" s="147" t="str">
        <x:v>Simulator pair: simulate_ro → equilibrate_feed. The task is judged by engineering lineage: a plausible final number without correct transfer of Stage-1 outputs into Stage 2 is not sufficient.</x:v>
      </x:c>
      <x:c r="G27" s="147" t="str">
        <x:v>Simulator pair: simulate_ro → equilibrate_feed. The task is judged by engineering lineage: a plausible final number without correct transfer of Stage-1 outputs into Stage 2 is not sufficient.</x:v>
      </x:c>
      <x:c r="H27" s="147" t="str">
        <x:v>Simulator pair: simulate_ro → equilibrate_feed. The task is judged by engineering lineage: a plausible final number without correct transfer of Stage-1 outputs into Stage 2 is not sufficient.</x:v>
      </x:c>
      <x:c r="I27" s="147" t="str">
        <x:v>Simulator pair: simulate_ro → equilibrate_feed. The task is judged by engineering lineage: a plausible final number without correct transfer of Stage-1 outputs into Stage 2 is not sufficient.</x:v>
      </x:c>
      <x:c r="J27" s="147" t="str">
        <x:v>Simulator pair: simulate_ro → equilibrate_feed. The task is judged by engineering lineage: a plausible final number without correct transfer of Stage-1 outputs into Stage 2 is not sufficient.</x:v>
      </x:c>
      <x:c r="K27" s="147" t="str">
        <x:v>Simulator pair: simulate_ro → equilibrate_feed. The task is judged by engineering lineage: a plausible final number without correct transfer of Stage-1 outputs into Stage 2 is not sufficient.</x:v>
      </x:c>
      <x:c r="L27" s="147" t="str">
        <x:v>Simulator pair: simulate_ro → equilibrate_feed. The task is judged by engineering lineage: a plausible final number without correct transfer of Stage-1 outputs into Stage 2 is not sufficient.</x:v>
      </x:c>
      <x:c r="M27" s="147" t="str">
        <x:v>Simulator pair: simulate_ro → equilibrate_feed. The task is judged by engineering lineage: a plausible final number without correct transfer of Stage-1 outputs into Stage 2 is not sufficient.</x:v>
      </x:c>
      <x:c r="N27" s="148" t="str">
        <x:v>Simulator pair: simulate_ro → equilibrate_feed. The task is judged by engineering lineage: a plausible final number without correct transfer of Stage-1 outputs into Stage 2 is not sufficient.</x:v>
      </x:c>
    </x:row>
    <x:row r="28">
      <x:c r="A28" s="146" t="str">
        <x:v>Simulator pair: simulate_ro → equilibrate_feed. The task is judged by engineering lineage: a plausible final number without correct transfer of Stage-1 outputs into Stage 2 is not sufficient.</x:v>
      </x:c>
      <x:c r="B28" s="147" t="str">
        <x:v>Simulator pair: simulate_ro → equilibrate_feed. The task is judged by engineering lineage: a plausible final number without correct transfer of Stage-1 outputs into Stage 2 is not sufficient.</x:v>
      </x:c>
      <x:c r="C28" s="147" t="str">
        <x:v>Simulator pair: simulate_ro → equilibrate_feed. The task is judged by engineering lineage: a plausible final number without correct transfer of Stage-1 outputs into Stage 2 is not sufficient.</x:v>
      </x:c>
      <x:c r="D28" s="147" t="str">
        <x:v>Simulator pair: simulate_ro → equilibrate_feed. The task is judged by engineering lineage: a plausible final number without correct transfer of Stage-1 outputs into Stage 2 is not sufficient.</x:v>
      </x:c>
      <x:c r="E28" s="147" t="str">
        <x:v>Simulator pair: simulate_ro → equilibrate_feed. The task is judged by engineering lineage: a plausible final number without correct transfer of Stage-1 outputs into Stage 2 is not sufficient.</x:v>
      </x:c>
      <x:c r="F28" s="147" t="str">
        <x:v>Simulator pair: simulate_ro → equilibrate_feed. The task is judged by engineering lineage: a plausible final number without correct transfer of Stage-1 outputs into Stage 2 is not sufficient.</x:v>
      </x:c>
      <x:c r="G28" s="147" t="str">
        <x:v>Simulator pair: simulate_ro → equilibrate_feed. The task is judged by engineering lineage: a plausible final number without correct transfer of Stage-1 outputs into Stage 2 is not sufficient.</x:v>
      </x:c>
      <x:c r="H28" s="147" t="str">
        <x:v>Simulator pair: simulate_ro → equilibrate_feed. The task is judged by engineering lineage: a plausible final number without correct transfer of Stage-1 outputs into Stage 2 is not sufficient.</x:v>
      </x:c>
      <x:c r="I28" s="147" t="str">
        <x:v>Simulator pair: simulate_ro → equilibrate_feed. The task is judged by engineering lineage: a plausible final number without correct transfer of Stage-1 outputs into Stage 2 is not sufficient.</x:v>
      </x:c>
      <x:c r="J28" s="147" t="str">
        <x:v>Simulator pair: simulate_ro → equilibrate_feed. The task is judged by engineering lineage: a plausible final number without correct transfer of Stage-1 outputs into Stage 2 is not sufficient.</x:v>
      </x:c>
      <x:c r="K28" s="147" t="str">
        <x:v>Simulator pair: simulate_ro → equilibrate_feed. The task is judged by engineering lineage: a plausible final number without correct transfer of Stage-1 outputs into Stage 2 is not sufficient.</x:v>
      </x:c>
      <x:c r="L28" s="147" t="str">
        <x:v>Simulator pair: simulate_ro → equilibrate_feed. The task is judged by engineering lineage: a plausible final number without correct transfer of Stage-1 outputs into Stage 2 is not sufficient.</x:v>
      </x:c>
      <x:c r="M28" s="147" t="str">
        <x:v>Simulator pair: simulate_ro → equilibrate_feed. The task is judged by engineering lineage: a plausible final number without correct transfer of Stage-1 outputs into Stage 2 is not sufficient.</x:v>
      </x:c>
      <x:c r="N28" s="148" t="str">
        <x:v>Simulator pair: simulate_ro → equilibrate_feed. The task is judged by engineering lineage: a plausible final number without correct transfer of Stage-1 outputs into Stage 2 is not sufficient.</x:v>
      </x:c>
    </x:row>
    <x:row r="29">
      <x:c r="A29" s="149" t="str">
        <x:v>Simulator pair: simulate_ro → equilibrate_feed. The task is judged by engineering lineage: a plausible final number without correct transfer of Stage-1 outputs into Stage 2 is not sufficient.</x:v>
      </x:c>
      <x:c r="B29" s="150" t="str">
        <x:v>Simulator pair: simulate_ro → equilibrate_feed. The task is judged by engineering lineage: a plausible final number without correct transfer of Stage-1 outputs into Stage 2 is not sufficient.</x:v>
      </x:c>
      <x:c r="C29" s="150" t="str">
        <x:v>Simulator pair: simulate_ro → equilibrate_feed. The task is judged by engineering lineage: a plausible final number without correct transfer of Stage-1 outputs into Stage 2 is not sufficient.</x:v>
      </x:c>
      <x:c r="D29" s="150" t="str">
        <x:v>Simulator pair: simulate_ro → equilibrate_feed. The task is judged by engineering lineage: a plausible final number without correct transfer of Stage-1 outputs into Stage 2 is not sufficient.</x:v>
      </x:c>
      <x:c r="E29" s="150" t="str">
        <x:v>Simulator pair: simulate_ro → equilibrate_feed. The task is judged by engineering lineage: a plausible final number without correct transfer of Stage-1 outputs into Stage 2 is not sufficient.</x:v>
      </x:c>
      <x:c r="F29" s="150" t="str">
        <x:v>Simulator pair: simulate_ro → equilibrate_feed. The task is judged by engineering lineage: a plausible final number without correct transfer of Stage-1 outputs into Stage 2 is not sufficient.</x:v>
      </x:c>
      <x:c r="G29" s="150" t="str">
        <x:v>Simulator pair: simulate_ro → equilibrate_feed. The task is judged by engineering lineage: a plausible final number without correct transfer of Stage-1 outputs into Stage 2 is not sufficient.</x:v>
      </x:c>
      <x:c r="H29" s="150" t="str">
        <x:v>Simulator pair: simulate_ro → equilibrate_feed. The task is judged by engineering lineage: a plausible final number without correct transfer of Stage-1 outputs into Stage 2 is not sufficient.</x:v>
      </x:c>
      <x:c r="I29" s="150" t="str">
        <x:v>Simulator pair: simulate_ro → equilibrate_feed. The task is judged by engineering lineage: a plausible final number without correct transfer of Stage-1 outputs into Stage 2 is not sufficient.</x:v>
      </x:c>
      <x:c r="J29" s="150" t="str">
        <x:v>Simulator pair: simulate_ro → equilibrate_feed. The task is judged by engineering lineage: a plausible final number without correct transfer of Stage-1 outputs into Stage 2 is not sufficient.</x:v>
      </x:c>
      <x:c r="K29" s="150" t="str">
        <x:v>Simulator pair: simulate_ro → equilibrate_feed. The task is judged by engineering lineage: a plausible final number without correct transfer of Stage-1 outputs into Stage 2 is not sufficient.</x:v>
      </x:c>
      <x:c r="L29" s="150" t="str">
        <x:v>Simulator pair: simulate_ro → equilibrate_feed. The task is judged by engineering lineage: a plausible final number without correct transfer of Stage-1 outputs into Stage 2 is not sufficient.</x:v>
      </x:c>
      <x:c r="M29" s="150" t="str">
        <x:v>Simulator pair: simulate_ro → equilibrate_feed. The task is judged by engineering lineage: a plausible final number without correct transfer of Stage-1 outputs into Stage 2 is not sufficient.</x:v>
      </x:c>
      <x:c r="N29" s="151" t="str">
        <x:v>Simulator pair: simulate_ro → equilibrate_feed. The task is judged by engineering lineage: a plausible final number without correct transfer of Stage-1 outputs into Stage 2 is not sufficient.</x:v>
      </x:c>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7"/>
    <x:mergeCell ref="A9:F9"/>
    <x:mergeCell ref="H9:N9"/>
    <x:mergeCell ref="A10:F16"/>
    <x:mergeCell ref="H10:N16"/>
    <x:mergeCell ref="A18:F18"/>
    <x:mergeCell ref="A19:F23"/>
    <x:mergeCell ref="H18:N18"/>
    <x:mergeCell ref="I19:N19"/>
    <x:mergeCell ref="I20:N20"/>
    <x:mergeCell ref="I21:N21"/>
    <x:mergeCell ref="I22:N22"/>
    <x:mergeCell ref="I23:N23"/>
    <x:mergeCell ref="A25:N25"/>
    <x:mergeCell ref="A26:N2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Gold Answer | D6_6b-N02</x:v>
      </x:c>
      <x:c r="B1" s="6" t="str">
        <x:v>Gold Answer | D6_6b-N02</x:v>
      </x:c>
      <x:c r="C1" s="6" t="str">
        <x:v>Gold Answer | D6_6b-N02</x:v>
      </x:c>
      <x:c r="D1" s="6" t="str">
        <x:v>Gold Answer | D6_6b-N02</x:v>
      </x:c>
      <x:c r="E1" s="6" t="str">
        <x:v>Gold Answer | D6_6b-N02</x:v>
      </x:c>
      <x:c r="F1" s="6" t="str">
        <x:v>Gold Answer | D6_6b-N02</x:v>
      </x:c>
      <x:c r="G1" s="6" t="str">
        <x:v>Gold Answer | D6_6b-N02</x:v>
      </x:c>
      <x:c r="H1" s="6" t="str">
        <x:v>Gold Answer | D6_6b-N02</x:v>
      </x:c>
      <x:c r="I1" s="6" t="str">
        <x:v>Gold Answer | D6_6b-N02</x:v>
      </x:c>
      <x:c r="J1" s="6" t="str">
        <x:v>Gold Answer | D6_6b-N02</x:v>
      </x:c>
      <x:c r="K1" s="6" t="str">
        <x:v>Gold Answer | D6_6b-N02</x:v>
      </x:c>
      <x:c r="L1" s="6" t="str">
        <x:v>Gold Answer | D6_6b-N02</x:v>
      </x:c>
      <x:c r="M1" s="6" t="str">
        <x:v>Gold Answer | D6_6b-N02</x:v>
      </x:c>
      <x:c r="N1" s="6" t="str">
        <x:v>Gold Answer | D6_6b-N02</x:v>
      </x:c>
    </x:row>
    <x:row r="2" ht="28" customHeight="1">
      <x:c r="A2" s="6" t="str">
        <x:v>Gold Answer | D6_6b-N02</x:v>
      </x:c>
      <x:c r="B2" s="6" t="str">
        <x:v>Gold Answer | D6_6b-N02</x:v>
      </x:c>
      <x:c r="C2" s="6" t="str">
        <x:v>Gold Answer | D6_6b-N02</x:v>
      </x:c>
      <x:c r="D2" s="6" t="str">
        <x:v>Gold Answer | D6_6b-N02</x:v>
      </x:c>
      <x:c r="E2" s="6" t="str">
        <x:v>Gold Answer | D6_6b-N02</x:v>
      </x:c>
      <x:c r="F2" s="6" t="str">
        <x:v>Gold Answer | D6_6b-N02</x:v>
      </x:c>
      <x:c r="G2" s="6" t="str">
        <x:v>Gold Answer | D6_6b-N02</x:v>
      </x:c>
      <x:c r="H2" s="6" t="str">
        <x:v>Gold Answer | D6_6b-N02</x:v>
      </x:c>
      <x:c r="I2" s="6" t="str">
        <x:v>Gold Answer | D6_6b-N02</x:v>
      </x:c>
      <x:c r="J2" s="6" t="str">
        <x:v>Gold Answer | D6_6b-N02</x:v>
      </x:c>
      <x:c r="K2" s="6" t="str">
        <x:v>Gold Answer | D6_6b-N02</x:v>
      </x:c>
      <x:c r="L2" s="6" t="str">
        <x:v>Gold Answer | D6_6b-N02</x:v>
      </x:c>
      <x:c r="M2" s="6" t="str">
        <x:v>Gold Answer | D6_6b-N02</x:v>
      </x:c>
      <x:c r="N2" s="6" t="str">
        <x:v>Gold Answer | D6_6b-N02</x:v>
      </x:c>
    </x:row>
    <x:row r="3">
      <x:c r="A3" s="1"/>
      <x:c r="B3" s="1"/>
      <x:c r="C3" s="1"/>
      <x:c r="D3" s="1"/>
      <x:c r="E3" s="1"/>
      <x:c r="F3" s="1"/>
      <x:c r="G3" s="1"/>
      <x:c r="H3" s="1"/>
      <x:c r="I3" s="1"/>
      <x:c r="J3" s="1"/>
      <x:c r="K3" s="1"/>
      <x:c r="L3" s="1"/>
      <x:c r="M3" s="1"/>
      <x:c r="N3" s="1"/>
    </x:row>
    <x:row r="4">
      <x:c r="A4" s="170" t="str">
        <x:v>Recommend 72 m² + 0.0022 mol/s common HCl. Winter/summer water is 0.45042/0.43141 kg/s and recovery is 46.2776%/44.3242%. At 0.0021 mol/s summer Dolomite SI=−0.2236 lacks margin; 0.0022 mol/s passes both; 0.0023 mol/s gives summer pH=6.0666 below the limit.</x:v>
      </x:c>
      <x:c r="B4" s="171" t="str">
        <x:v>Recommend 72 m² + 0.0022 mol/s common HCl. Winter/summer water is 0.45042/0.43141 kg/s and recovery is 46.2776%/44.3242%. At 0.0021 mol/s summer Dolomite SI=−0.2236 lacks margin; 0.0022 mol/s passes both; 0.0023 mol/s gives summer pH=6.0666 below the limit.</x:v>
      </x:c>
      <x:c r="C4" s="171" t="str">
        <x:v>Recommend 72 m² + 0.0022 mol/s common HCl. Winter/summer water is 0.45042/0.43141 kg/s and recovery is 46.2776%/44.3242%. At 0.0021 mol/s summer Dolomite SI=−0.2236 lacks margin; 0.0022 mol/s passes both; 0.0023 mol/s gives summer pH=6.0666 below the limit.</x:v>
      </x:c>
      <x:c r="D4" s="171" t="str">
        <x:v>Recommend 72 m² + 0.0022 mol/s common HCl. Winter/summer water is 0.45042/0.43141 kg/s and recovery is 46.2776%/44.3242%. At 0.0021 mol/s summer Dolomite SI=−0.2236 lacks margin; 0.0022 mol/s passes both; 0.0023 mol/s gives summer pH=6.0666 below the limit.</x:v>
      </x:c>
      <x:c r="E4" s="171" t="str">
        <x:v>Recommend 72 m² + 0.0022 mol/s common HCl. Winter/summer water is 0.45042/0.43141 kg/s and recovery is 46.2776%/44.3242%. At 0.0021 mol/s summer Dolomite SI=−0.2236 lacks margin; 0.0022 mol/s passes both; 0.0023 mol/s gives summer pH=6.0666 below the limit.</x:v>
      </x:c>
      <x:c r="F4" s="171" t="str">
        <x:v>Recommend 72 m² + 0.0022 mol/s common HCl. Winter/summer water is 0.45042/0.43141 kg/s and recovery is 46.2776%/44.3242%. At 0.0021 mol/s summer Dolomite SI=−0.2236 lacks margin; 0.0022 mol/s passes both; 0.0023 mol/s gives summer pH=6.0666 below the limit.</x:v>
      </x:c>
      <x:c r="G4" s="171" t="str">
        <x:v>Recommend 72 m² + 0.0022 mol/s common HCl. Winter/summer water is 0.45042/0.43141 kg/s and recovery is 46.2776%/44.3242%. At 0.0021 mol/s summer Dolomite SI=−0.2236 lacks margin; 0.0022 mol/s passes both; 0.0023 mol/s gives summer pH=6.0666 below the limit.</x:v>
      </x:c>
      <x:c r="H4" s="171" t="str">
        <x:v>Recommend 72 m² + 0.0022 mol/s common HCl. Winter/summer water is 0.45042/0.43141 kg/s and recovery is 46.2776%/44.3242%. At 0.0021 mol/s summer Dolomite SI=−0.2236 lacks margin; 0.0022 mol/s passes both; 0.0023 mol/s gives summer pH=6.0666 below the limit.</x:v>
      </x:c>
      <x:c r="I4" s="171" t="str">
        <x:v>Recommend 72 m² + 0.0022 mol/s common HCl. Winter/summer water is 0.45042/0.43141 kg/s and recovery is 46.2776%/44.3242%. At 0.0021 mol/s summer Dolomite SI=−0.2236 lacks margin; 0.0022 mol/s passes both; 0.0023 mol/s gives summer pH=6.0666 below the limit.</x:v>
      </x:c>
      <x:c r="J4" s="171" t="str">
        <x:v>Recommend 72 m² + 0.0022 mol/s common HCl. Winter/summer water is 0.45042/0.43141 kg/s and recovery is 46.2776%/44.3242%. At 0.0021 mol/s summer Dolomite SI=−0.2236 lacks margin; 0.0022 mol/s passes both; 0.0023 mol/s gives summer pH=6.0666 below the limit.</x:v>
      </x:c>
      <x:c r="K4" s="171" t="str">
        <x:v>Recommend 72 m² + 0.0022 mol/s common HCl. Winter/summer water is 0.45042/0.43141 kg/s and recovery is 46.2776%/44.3242%. At 0.0021 mol/s summer Dolomite SI=−0.2236 lacks margin; 0.0022 mol/s passes both; 0.0023 mol/s gives summer pH=6.0666 below the limit.</x:v>
      </x:c>
      <x:c r="L4" s="171" t="str">
        <x:v>Recommend 72 m² + 0.0022 mol/s common HCl. Winter/summer water is 0.45042/0.43141 kg/s and recovery is 46.2776%/44.3242%. At 0.0021 mol/s summer Dolomite SI=−0.2236 lacks margin; 0.0022 mol/s passes both; 0.0023 mol/s gives summer pH=6.0666 below the limit.</x:v>
      </x:c>
      <x:c r="M4" s="171" t="str">
        <x:v>Recommend 72 m² + 0.0022 mol/s common HCl. Winter/summer water is 0.45042/0.43141 kg/s and recovery is 46.2776%/44.3242%. At 0.0021 mol/s summer Dolomite SI=−0.2236 lacks margin; 0.0022 mol/s passes both; 0.0023 mol/s gives summer pH=6.0666 below the limit.</x:v>
      </x:c>
      <x:c r="N4" s="172" t="str">
        <x:v>Recommend 72 m² + 0.0022 mol/s common HCl. Winter/summer water is 0.45042/0.43141 kg/s and recovery is 46.2776%/44.3242%. At 0.0021 mol/s summer Dolomite SI=−0.2236 lacks margin; 0.0022 mol/s passes both; 0.0023 mol/s gives summer pH=6.0666 below the limit.</x:v>
      </x:c>
    </x:row>
    <x:row r="5">
      <x:c r="A5" s="173" t="str">
        <x:v>Recommend 72 m² + 0.0022 mol/s common HCl. Winter/summer water is 0.45042/0.43141 kg/s and recovery is 46.2776%/44.3242%. At 0.0021 mol/s summer Dolomite SI=−0.2236 lacks margin; 0.0022 mol/s passes both; 0.0023 mol/s gives summer pH=6.0666 below the limit.</x:v>
      </x:c>
      <x:c r="B5" s="174" t="str">
        <x:v>Recommend 72 m² + 0.0022 mol/s common HCl. Winter/summer water is 0.45042/0.43141 kg/s and recovery is 46.2776%/44.3242%. At 0.0021 mol/s summer Dolomite SI=−0.2236 lacks margin; 0.0022 mol/s passes both; 0.0023 mol/s gives summer pH=6.0666 below the limit.</x:v>
      </x:c>
      <x:c r="C5" s="174" t="str">
        <x:v>Recommend 72 m² + 0.0022 mol/s common HCl. Winter/summer water is 0.45042/0.43141 kg/s and recovery is 46.2776%/44.3242%. At 0.0021 mol/s summer Dolomite SI=−0.2236 lacks margin; 0.0022 mol/s passes both; 0.0023 mol/s gives summer pH=6.0666 below the limit.</x:v>
      </x:c>
      <x:c r="D5" s="174" t="str">
        <x:v>Recommend 72 m² + 0.0022 mol/s common HCl. Winter/summer water is 0.45042/0.43141 kg/s and recovery is 46.2776%/44.3242%. At 0.0021 mol/s summer Dolomite SI=−0.2236 lacks margin; 0.0022 mol/s passes both; 0.0023 mol/s gives summer pH=6.0666 below the limit.</x:v>
      </x:c>
      <x:c r="E5" s="174" t="str">
        <x:v>Recommend 72 m² + 0.0022 mol/s common HCl. Winter/summer water is 0.45042/0.43141 kg/s and recovery is 46.2776%/44.3242%. At 0.0021 mol/s summer Dolomite SI=−0.2236 lacks margin; 0.0022 mol/s passes both; 0.0023 mol/s gives summer pH=6.0666 below the limit.</x:v>
      </x:c>
      <x:c r="F5" s="174" t="str">
        <x:v>Recommend 72 m² + 0.0022 mol/s common HCl. Winter/summer water is 0.45042/0.43141 kg/s and recovery is 46.2776%/44.3242%. At 0.0021 mol/s summer Dolomite SI=−0.2236 lacks margin; 0.0022 mol/s passes both; 0.0023 mol/s gives summer pH=6.0666 below the limit.</x:v>
      </x:c>
      <x:c r="G5" s="174" t="str">
        <x:v>Recommend 72 m² + 0.0022 mol/s common HCl. Winter/summer water is 0.45042/0.43141 kg/s and recovery is 46.2776%/44.3242%. At 0.0021 mol/s summer Dolomite SI=−0.2236 lacks margin; 0.0022 mol/s passes both; 0.0023 mol/s gives summer pH=6.0666 below the limit.</x:v>
      </x:c>
      <x:c r="H5" s="174" t="str">
        <x:v>Recommend 72 m² + 0.0022 mol/s common HCl. Winter/summer water is 0.45042/0.43141 kg/s and recovery is 46.2776%/44.3242%. At 0.0021 mol/s summer Dolomite SI=−0.2236 lacks margin; 0.0022 mol/s passes both; 0.0023 mol/s gives summer pH=6.0666 below the limit.</x:v>
      </x:c>
      <x:c r="I5" s="174" t="str">
        <x:v>Recommend 72 m² + 0.0022 mol/s common HCl. Winter/summer water is 0.45042/0.43141 kg/s and recovery is 46.2776%/44.3242%. At 0.0021 mol/s summer Dolomite SI=−0.2236 lacks margin; 0.0022 mol/s passes both; 0.0023 mol/s gives summer pH=6.0666 below the limit.</x:v>
      </x:c>
      <x:c r="J5" s="174" t="str">
        <x:v>Recommend 72 m² + 0.0022 mol/s common HCl. Winter/summer water is 0.45042/0.43141 kg/s and recovery is 46.2776%/44.3242%. At 0.0021 mol/s summer Dolomite SI=−0.2236 lacks margin; 0.0022 mol/s passes both; 0.0023 mol/s gives summer pH=6.0666 below the limit.</x:v>
      </x:c>
      <x:c r="K5" s="174" t="str">
        <x:v>Recommend 72 m² + 0.0022 mol/s common HCl. Winter/summer water is 0.45042/0.43141 kg/s and recovery is 46.2776%/44.3242%. At 0.0021 mol/s summer Dolomite SI=−0.2236 lacks margin; 0.0022 mol/s passes both; 0.0023 mol/s gives summer pH=6.0666 below the limit.</x:v>
      </x:c>
      <x:c r="L5" s="174" t="str">
        <x:v>Recommend 72 m² + 0.0022 mol/s common HCl. Winter/summer water is 0.45042/0.43141 kg/s and recovery is 46.2776%/44.3242%. At 0.0021 mol/s summer Dolomite SI=−0.2236 lacks margin; 0.0022 mol/s passes both; 0.0023 mol/s gives summer pH=6.0666 below the limit.</x:v>
      </x:c>
      <x:c r="M5" s="174" t="str">
        <x:v>Recommend 72 m² + 0.0022 mol/s common HCl. Winter/summer water is 0.45042/0.43141 kg/s and recovery is 46.2776%/44.3242%. At 0.0021 mol/s summer Dolomite SI=−0.2236 lacks margin; 0.0022 mol/s passes both; 0.0023 mol/s gives summer pH=6.0666 below the limit.</x:v>
      </x:c>
      <x:c r="N5" s="175" t="str">
        <x:v>Recommend 72 m² + 0.0022 mol/s common HCl. Winter/summer water is 0.45042/0.43141 kg/s and recovery is 46.2776%/44.3242%. At 0.0021 mol/s summer Dolomite SI=−0.2236 lacks margin; 0.0022 mol/s passes both; 0.0023 mol/s gives summer pH=6.0666 below the limit.</x:v>
      </x:c>
    </x:row>
    <x:row r="6">
      <x:c r="A6" s="176" t="str">
        <x:v>Recommend 72 m² + 0.0022 mol/s common HCl. Winter/summer water is 0.45042/0.43141 kg/s and recovery is 46.2776%/44.3242%. At 0.0021 mol/s summer Dolomite SI=−0.2236 lacks margin; 0.0022 mol/s passes both; 0.0023 mol/s gives summer pH=6.0666 below the limit.</x:v>
      </x:c>
      <x:c r="B6" s="177" t="str">
        <x:v>Recommend 72 m² + 0.0022 mol/s common HCl. Winter/summer water is 0.45042/0.43141 kg/s and recovery is 46.2776%/44.3242%. At 0.0021 mol/s summer Dolomite SI=−0.2236 lacks margin; 0.0022 mol/s passes both; 0.0023 mol/s gives summer pH=6.0666 below the limit.</x:v>
      </x:c>
      <x:c r="C6" s="177" t="str">
        <x:v>Recommend 72 m² + 0.0022 mol/s common HCl. Winter/summer water is 0.45042/0.43141 kg/s and recovery is 46.2776%/44.3242%. At 0.0021 mol/s summer Dolomite SI=−0.2236 lacks margin; 0.0022 mol/s passes both; 0.0023 mol/s gives summer pH=6.0666 below the limit.</x:v>
      </x:c>
      <x:c r="D6" s="177" t="str">
        <x:v>Recommend 72 m² + 0.0022 mol/s common HCl. Winter/summer water is 0.45042/0.43141 kg/s and recovery is 46.2776%/44.3242%. At 0.0021 mol/s summer Dolomite SI=−0.2236 lacks margin; 0.0022 mol/s passes both; 0.0023 mol/s gives summer pH=6.0666 below the limit.</x:v>
      </x:c>
      <x:c r="E6" s="177" t="str">
        <x:v>Recommend 72 m² + 0.0022 mol/s common HCl. Winter/summer water is 0.45042/0.43141 kg/s and recovery is 46.2776%/44.3242%. At 0.0021 mol/s summer Dolomite SI=−0.2236 lacks margin; 0.0022 mol/s passes both; 0.0023 mol/s gives summer pH=6.0666 below the limit.</x:v>
      </x:c>
      <x:c r="F6" s="177" t="str">
        <x:v>Recommend 72 m² + 0.0022 mol/s common HCl. Winter/summer water is 0.45042/0.43141 kg/s and recovery is 46.2776%/44.3242%. At 0.0021 mol/s summer Dolomite SI=−0.2236 lacks margin; 0.0022 mol/s passes both; 0.0023 mol/s gives summer pH=6.0666 below the limit.</x:v>
      </x:c>
      <x:c r="G6" s="177" t="str">
        <x:v>Recommend 72 m² + 0.0022 mol/s common HCl. Winter/summer water is 0.45042/0.43141 kg/s and recovery is 46.2776%/44.3242%. At 0.0021 mol/s summer Dolomite SI=−0.2236 lacks margin; 0.0022 mol/s passes both; 0.0023 mol/s gives summer pH=6.0666 below the limit.</x:v>
      </x:c>
      <x:c r="H6" s="177" t="str">
        <x:v>Recommend 72 m² + 0.0022 mol/s common HCl. Winter/summer water is 0.45042/0.43141 kg/s and recovery is 46.2776%/44.3242%. At 0.0021 mol/s summer Dolomite SI=−0.2236 lacks margin; 0.0022 mol/s passes both; 0.0023 mol/s gives summer pH=6.0666 below the limit.</x:v>
      </x:c>
      <x:c r="I6" s="177" t="str">
        <x:v>Recommend 72 m² + 0.0022 mol/s common HCl. Winter/summer water is 0.45042/0.43141 kg/s and recovery is 46.2776%/44.3242%. At 0.0021 mol/s summer Dolomite SI=−0.2236 lacks margin; 0.0022 mol/s passes both; 0.0023 mol/s gives summer pH=6.0666 below the limit.</x:v>
      </x:c>
      <x:c r="J6" s="177" t="str">
        <x:v>Recommend 72 m² + 0.0022 mol/s common HCl. Winter/summer water is 0.45042/0.43141 kg/s and recovery is 46.2776%/44.3242%. At 0.0021 mol/s summer Dolomite SI=−0.2236 lacks margin; 0.0022 mol/s passes both; 0.0023 mol/s gives summer pH=6.0666 below the limit.</x:v>
      </x:c>
      <x:c r="K6" s="177" t="str">
        <x:v>Recommend 72 m² + 0.0022 mol/s common HCl. Winter/summer water is 0.45042/0.43141 kg/s and recovery is 46.2776%/44.3242%. At 0.0021 mol/s summer Dolomite SI=−0.2236 lacks margin; 0.0022 mol/s passes both; 0.0023 mol/s gives summer pH=6.0666 below the limit.</x:v>
      </x:c>
      <x:c r="L6" s="177" t="str">
        <x:v>Recommend 72 m² + 0.0022 mol/s common HCl. Winter/summer water is 0.45042/0.43141 kg/s and recovery is 46.2776%/44.3242%. At 0.0021 mol/s summer Dolomite SI=−0.2236 lacks margin; 0.0022 mol/s passes both; 0.0023 mol/s gives summer pH=6.0666 below the limit.</x:v>
      </x:c>
      <x:c r="M6" s="177" t="str">
        <x:v>Recommend 72 m² + 0.0022 mol/s common HCl. Winter/summer water is 0.45042/0.43141 kg/s and recovery is 46.2776%/44.3242%. At 0.0021 mol/s summer Dolomite SI=−0.2236 lacks margin; 0.0022 mol/s passes both; 0.0023 mol/s gives summer pH=6.0666 below the limit.</x:v>
      </x:c>
      <x:c r="N6" s="178" t="str">
        <x:v>Recommend 72 m² + 0.0022 mol/s common HCl. Winter/summer water is 0.45042/0.43141 kg/s and recovery is 46.2776%/44.3242%. At 0.0021 mol/s summer Dolomite SI=−0.2236 lacks margin; 0.0022 mol/s passes both; 0.0023 mol/s gives summer pH=6.0666 below the limit.</x:v>
      </x:c>
    </x:row>
    <x:row r="7">
      <x:c r="A7" s="1"/>
      <x:c r="B7" s="1"/>
      <x:c r="C7" s="1"/>
      <x:c r="D7" s="1"/>
      <x:c r="E7" s="1"/>
      <x:c r="F7" s="1"/>
      <x:c r="G7" s="1"/>
      <x:c r="H7" s="1"/>
      <x:c r="I7" s="1"/>
      <x:c r="J7" s="1"/>
      <x:c r="K7" s="1"/>
      <x:c r="L7" s="1"/>
      <x:c r="M7" s="1"/>
      <x:c r="N7" s="1"/>
    </x:row>
    <x:row r="8">
      <x:c r="A8" s="37" t="str">
        <x:v>Stage 1 | simulate_ro results</x:v>
      </x:c>
      <x:c r="B8" s="37" t="str">
        <x:v>Stage 1 | simulate_ro results</x:v>
      </x:c>
      <x:c r="C8" s="37" t="str">
        <x:v>Stage 1 | simulate_ro results</x:v>
      </x:c>
      <x:c r="D8" s="37" t="str">
        <x:v>Stage 1 | simulate_ro results</x:v>
      </x:c>
      <x:c r="E8" s="37" t="str">
        <x:v>Stage 1 | simulate_ro results</x:v>
      </x:c>
      <x:c r="F8" s="37" t="str">
        <x:v>Stage 1 | simulate_ro results</x:v>
      </x:c>
      <x:c r="G8" s="37" t="str">
        <x:v>Stage 1 | simulate_ro results</x:v>
      </x:c>
      <x:c r="H8" s="37" t="str">
        <x:v>Stage 1 | simulate_ro results</x:v>
      </x:c>
      <x:c r="I8" s="37" t="str">
        <x:v>Stage 1 | simulate_ro results</x:v>
      </x:c>
      <x:c r="J8" s="37" t="str">
        <x:v>Stage 1 | simulate_ro results</x:v>
      </x:c>
      <x:c r="K8" s="1"/>
      <x:c r="L8" s="1"/>
      <x:c r="M8" s="1"/>
      <x:c r="N8" s="1"/>
    </x:row>
    <x:row r="9">
      <x:c r="A9" s="183" t="str">
        <x:v>ID</x:v>
      </x:c>
      <x:c r="B9" s="183" t="str">
        <x:v>Setting</x:v>
      </x:c>
      <x:c r="C9" s="183" t="str">
        <x:v>Water kg/s</x:v>
      </x:c>
      <x:c r="D9" s="183" t="str">
        <x:v>NaCl mg/L</x:v>
      </x:c>
      <x:c r="E9" s="183" t="str">
        <x:v>Recovery %</x:v>
      </x:c>
      <x:c r="F9" s="183" t="str">
        <x:v>Flux LMH</x:v>
      </x:c>
      <x:c r="G9" s="183" t="str">
        <x:v>Inlet CP</x:v>
      </x:c>
      <x:c r="H9" s="183" t="str">
        <x:v>Status</x:v>
      </x:c>
      <x:c r="I9" s="1"/>
      <x:c r="J9" s="1"/>
      <x:c r="K9" s="1" t="str">
        <x:v>Candidate</x:v>
      </x:c>
      <x:c r="L9" s="1" t="str">
        <x:v>Water kg/s</x:v>
      </x:c>
      <x:c r="M9" s="1"/>
      <x:c r="N9" s="1"/>
    </x:row>
    <x:row r="10">
      <x:c r="A10" s="187" t="str">
        <x:v>T15_A65</x:v>
      </x:c>
      <x:c r="B10" s="187" t="str">
        <x:v>15°C / 65 m²</x:v>
      </x:c>
      <x:c r="C10" s="188" t="n">
        <x:v>0.42835721763097473</x:v>
      </x:c>
      <x:c r="D10" s="188" t="n">
        <x:v>289.0820645147353</x:v>
      </x:c>
      <x:c r="E10" s="188" t="n">
        <x:v>44.01045592730099</x:v>
      </x:c>
      <x:c r="F10" s="188" t="n">
        <x:v>23.724399745715523</x:v>
      </x:c>
      <x:c r="G10" s="188" t="n">
        <x:v>1.336024897542132</x:v>
      </x:c>
      <x:c r="H10" s="187" t="str">
        <x:f>IF(AND(C10&gt;=0.43,D10&lt;=320,G10&lt;=1.35),"PASS","FAIL")</x:f>
        <x:v>FAIL</x:v>
      </x:c>
      <x:c r="I10" s="1"/>
      <x:c r="J10" s="1"/>
      <x:c r="K10" s="1" t="str">
        <x:v>T15_A65</x:v>
      </x:c>
      <x:c r="L10" s="1" t="n">
        <x:v>0.42835721763097473</x:v>
      </x:c>
      <x:c r="M10" s="1"/>
      <x:c r="N10" s="1"/>
    </x:row>
    <x:row r="11">
      <x:c r="A11" s="187" t="str">
        <x:v>T15_A72</x:v>
      </x:c>
      <x:c r="B11" s="187" t="str">
        <x:v>15°C / 72 m²</x:v>
      </x:c>
      <x:c r="C11" s="188" t="n">
        <x:v>0.45042145583600357</x:v>
      </x:c>
      <x:c r="D11" s="188" t="n">
        <x:v>309.47118987813025</x:v>
      </x:c>
      <x:c r="E11" s="188" t="n">
        <x:v>46.277616181231565</x:v>
      </x:c>
      <x:c r="F11" s="188" t="n">
        <x:v>22.521072791800176</x:v>
      </x:c>
      <x:c r="G11" s="188" t="n">
        <x:v>1.346079836251041</x:v>
      </x:c>
      <x:c r="H11" s="187" t="str">
        <x:f>IF(AND(C11&gt;=0.43,D11&lt;=320,G11&lt;=1.35),"PASS","FAIL")</x:f>
        <x:v>PASS</x:v>
      </x:c>
      <x:c r="I11" s="1"/>
      <x:c r="J11" s="1"/>
      <x:c r="K11" s="1" t="str">
        <x:v>T15_A72</x:v>
      </x:c>
      <x:c r="L11" s="1" t="n">
        <x:v>0.45042145583600357</x:v>
      </x:c>
      <x:c r="M11" s="1"/>
      <x:c r="N11" s="1"/>
    </x:row>
    <x:row r="12">
      <x:c r="A12" s="187" t="str">
        <x:v>T15_A80</x:v>
      </x:c>
      <x:c r="B12" s="187" t="str">
        <x:v>15°C / 80 m²</x:v>
      </x:c>
      <x:c r="C12" s="188" t="n">
        <x:v>0.4734568369161259</x:v>
      </x:c>
      <x:c r="D12" s="188" t="n">
        <x:v>332.30687587408767</x:v>
      </x:c>
      <x:c r="E12" s="188" t="n">
        <x:v>48.6446059110281</x:v>
      </x:c>
      <x:c r="F12" s="188" t="n">
        <x:v>21.305557661225663</x:v>
      </x:c>
      <x:c r="G12" s="188" t="n">
        <x:v>1.3566386086824456</x:v>
      </x:c>
      <x:c r="H12" s="187" t="str">
        <x:f>IF(AND(C12&gt;=0.43,D12&lt;=320,G12&lt;=1.35),"PASS","FAIL")</x:f>
        <x:v>FAIL</x:v>
      </x:c>
      <x:c r="I12" s="1"/>
      <x:c r="J12" s="1"/>
      <x:c r="K12" s="1" t="str">
        <x:v>T15_A80</x:v>
      </x:c>
      <x:c r="L12" s="1" t="n">
        <x:v>0.4734568369161259</x:v>
      </x:c>
      <x:c r="M12" s="1"/>
      <x:c r="N12" s="1"/>
    </x:row>
    <x:row r="13">
      <x:c r="A13" s="187" t="str">
        <x:v>T28_A65</x:v>
      </x:c>
      <x:c r="B13" s="187" t="str">
        <x:v>28°C / 65 m²</x:v>
      </x:c>
      <x:c r="C13" s="188" t="n">
        <x:v>0.40997948673430007</x:v>
      </x:c>
      <x:c r="D13" s="188" t="n">
        <x:v>293.909239223643</x:v>
      </x:c>
      <x:c r="E13" s="188" t="n">
        <x:v>42.12233236790489</x:v>
      </x:c>
      <x:c r="F13" s="188" t="n">
        <x:v>22.706556188361237</x:v>
      </x:c>
      <x:c r="G13" s="188" t="n">
        <x:v>1.3189327018792376</x:v>
      </x:c>
      <x:c r="H13" s="187" t="str">
        <x:f>IF(AND(C13&gt;=0.43,D13&lt;=320,G13&lt;=1.35),"PASS","FAIL")</x:f>
        <x:v>FAIL</x:v>
      </x:c>
      <x:c r="I13" s="1"/>
      <x:c r="J13" s="1"/>
      <x:c r="K13" s="1" t="str">
        <x:v>T28_A65</x:v>
      </x:c>
      <x:c r="L13" s="1" t="n">
        <x:v>0.40997948673430007</x:v>
      </x:c>
      <x:c r="M13" s="1"/>
      <x:c r="N13" s="1"/>
    </x:row>
    <x:row r="14">
      <x:c r="A14" s="187" t="str">
        <x:v>T28_A72</x:v>
      </x:c>
      <x:c r="B14" s="187" t="str">
        <x:v>28°C / 72 m²</x:v>
      </x:c>
      <x:c r="C14" s="188" t="n">
        <x:v>0.43140783212818673</x:v>
      </x:c>
      <x:c r="D14" s="188" t="n">
        <x:v>314.0802283249355</x:v>
      </x:c>
      <x:c r="E14" s="188" t="n">
        <x:v>44.32415010883193</x:v>
      </x:c>
      <x:c r="F14" s="188" t="n">
        <x:v>21.570391606409334</x:v>
      </x:c>
      <x:c r="G14" s="188" t="n">
        <x:v>1.3283302817751728</x:v>
      </x:c>
      <x:c r="H14" s="187" t="str">
        <x:f>IF(AND(C14&gt;=0.43,D14&lt;=320,G14&lt;=1.35),"PASS","FAIL")</x:f>
        <x:v>PASS</x:v>
      </x:c>
      <x:c r="I14" s="1"/>
      <x:c r="J14" s="1"/>
      <x:c r="K14" s="1" t="str">
        <x:v>T28_A72</x:v>
      </x:c>
      <x:c r="L14" s="1" t="n">
        <x:v>0.43140783212818673</x:v>
      </x:c>
      <x:c r="M14" s="1"/>
      <x:c r="N14" s="1"/>
    </x:row>
    <x:row r="15">
      <x:c r="A15" s="187" t="str">
        <x:v>T28_A80</x:v>
      </x:c>
      <x:c r="B15" s="187" t="str">
        <x:v>28°C / 80 m²</x:v>
      </x:c>
      <x:c r="C15" s="188" t="n">
        <x:v>0.45384780010753417</x:v>
      </x:c>
      <x:c r="D15" s="188" t="n">
        <x:v>336.6374184052544</x:v>
      </x:c>
      <x:c r="E15" s="188" t="n">
        <x:v>46.629953722587885</x:v>
      </x:c>
      <x:c r="F15" s="188" t="n">
        <x:v>20.42315100483904</x:v>
      </x:c>
      <x:c r="G15" s="188" t="n">
        <x:v>1.3381911803339874</x:v>
      </x:c>
      <x:c r="H15" s="187" t="str">
        <x:f>IF(AND(C15&gt;=0.43,D15&lt;=320,G15&lt;=1.35),"PASS","FAIL")</x:f>
        <x:v>FAIL</x:v>
      </x:c>
      <x:c r="I15" s="1"/>
      <x:c r="J15" s="1"/>
      <x:c r="K15" s="1" t="str">
        <x:v>T28_A80</x:v>
      </x:c>
      <x:c r="L15" s="1" t="n">
        <x:v>0.45384780010753417</x:v>
      </x:c>
      <x:c r="M15" s="1"/>
      <x:c r="N15" s="1"/>
    </x:row>
    <x:row r="16">
      <x:c r="A16" s="1"/>
      <x:c r="B16" s="1"/>
      <x:c r="C16" s="1"/>
      <x:c r="D16" s="1"/>
      <x:c r="E16" s="1"/>
      <x:c r="F16" s="1"/>
      <x:c r="G16" s="1"/>
      <x:c r="H16" s="1"/>
      <x:c r="I16" s="1"/>
      <x:c r="J16" s="1"/>
      <x:c r="K16" s="1"/>
      <x:c r="L16" s="1"/>
      <x:c r="M16" s="1"/>
      <x:c r="N16" s="1"/>
    </x:row>
    <x:row r="17">
      <x:c r="A17" s="37" t="str">
        <x:v>Stage 2 | equilibrate_feed results</x:v>
      </x:c>
      <x:c r="B17" s="37" t="str">
        <x:v>Stage 2 | equilibrate_feed results</x:v>
      </x:c>
      <x:c r="C17" s="37" t="str">
        <x:v>Stage 2 | equilibrate_feed results</x:v>
      </x:c>
      <x:c r="D17" s="37" t="str">
        <x:v>Stage 2 | equilibrate_feed results</x:v>
      </x:c>
      <x:c r="E17" s="37" t="str">
        <x:v>Stage 2 | equilibrate_feed results</x:v>
      </x:c>
      <x:c r="F17" s="37" t="str">
        <x:v>Stage 2 | equilibrate_feed results</x:v>
      </x:c>
      <x:c r="G17" s="37" t="str">
        <x:v>Stage 2 | equilibrate_feed results</x:v>
      </x:c>
      <x:c r="H17" s="37" t="str">
        <x:v>Stage 2 | equilibrate_feed results</x:v>
      </x:c>
      <x:c r="I17" s="37" t="str">
        <x:v>Stage 2 | equilibrate_feed results</x:v>
      </x:c>
      <x:c r="J17" s="37" t="str">
        <x:v>Stage 2 | equilibrate_feed results</x:v>
      </x:c>
      <x:c r="K17" s="1"/>
      <x:c r="L17" s="1"/>
      <x:c r="M17" s="1"/>
      <x:c r="N17" s="1"/>
    </x:row>
    <x:row r="18">
      <x:c r="A18" s="183" t="str">
        <x:v>ID</x:v>
      </x:c>
      <x:c r="B18" s="183" t="str">
        <x:v>Inherited state</x:v>
      </x:c>
      <x:c r="C18" s="183" t="str">
        <x:v>Recovery</x:v>
      </x:c>
      <x:c r="D18" s="183" t="str">
        <x:v>HCl mol/s</x:v>
      </x:c>
      <x:c r="E18" s="183" t="str">
        <x:v>pH</x:v>
      </x:c>
      <x:c r="F18" s="183" t="str">
        <x:v>Calcite SI</x:v>
      </x:c>
      <x:c r="G18" s="183" t="str">
        <x:v>Dolomite SI</x:v>
      </x:c>
      <x:c r="H18" s="183" t="str">
        <x:v>Gypsum SI</x:v>
      </x:c>
      <x:c r="I18" s="183" t="str">
        <x:v>Anhydrite SI</x:v>
      </x:c>
      <x:c r="J18" s="183" t="str">
        <x:v>Status</x:v>
      </x:c>
      <x:c r="K18" s="1"/>
      <x:c r="L18" s="1"/>
      <x:c r="M18" s="1"/>
      <x:c r="N18" s="1"/>
    </x:row>
    <x:row r="19">
      <x:c r="A19" s="187" t="str">
        <x:v>C_0.0021</x:v>
      </x:c>
      <x:c r="B19" s="187" t="str">
        <x:v>C</x:v>
      </x:c>
      <x:c r="C19" s="188" t="n">
        <x:v>0.4627761618123156</x:v>
      </x:c>
      <x:c r="D19" s="188" t="n">
        <x:v>0.0021</x:v>
      </x:c>
      <x:c r="E19" s="188" t="n">
        <x:v>6.170114512782889</x:v>
      </x:c>
      <x:c r="F19" s="188" t="n">
        <x:v>-0.6297664889672402</x:v>
      </x:c>
      <x:c r="G19" s="188" t="n">
        <x:v>-0.6184035746680511</x:v>
      </x:c>
      <x:c r="H19" s="188" t="n">
        <x:v>-0.04828910656177195</x:v>
      </x:c>
      <x:c r="I19" s="188" t="n">
        <x:v>-0.49742343541580664</x:v>
      </x:c>
      <x:c r="J19" s="187" t="str">
        <x:f>IF(AND(E19&gt;=6.08,F19&lt;=-0.3,G19&lt;=-0.3,H19&lt;=0,I19&lt;=0),"PASS","FAIL")</x:f>
        <x:v>PASS</x:v>
      </x:c>
      <x:c r="K19" s="1"/>
      <x:c r="L19" s="1"/>
      <x:c r="M19" s="1"/>
      <x:c r="N19" s="1"/>
    </x:row>
    <x:row r="20">
      <x:c r="A20" s="187" t="str">
        <x:v>C_0.0022</x:v>
      </x:c>
      <x:c r="B20" s="187" t="str">
        <x:v>C</x:v>
      </x:c>
      <x:c r="C20" s="188" t="n">
        <x:v>0.4627761618123156</x:v>
      </x:c>
      <x:c r="D20" s="188" t="n">
        <x:v>0.0022</x:v>
      </x:c>
      <x:c r="E20" s="188" t="n">
        <x:v>6.1412840285718096</x:v>
      </x:c>
      <x:c r="F20" s="188" t="n">
        <x:v>-0.6729442818128992</x:v>
      </x:c>
      <x:c r="G20" s="188" t="n">
        <x:v>-0.7046276081854396</x:v>
      </x:c>
      <x:c r="H20" s="188" t="n">
        <x:v>-0.04830355782902688</x:v>
      </x:c>
      <x:c r="I20" s="188" t="n">
        <x:v>-0.4974340844174338</x:v>
      </x:c>
      <x:c r="J20" s="187" t="str">
        <x:f>IF(AND(E20&gt;=6.08,F20&lt;=-0.3,G20&lt;=-0.3,H20&lt;=0,I20&lt;=0),"PASS","FAIL")</x:f>
        <x:v>PASS</x:v>
      </x:c>
      <x:c r="K20" s="1"/>
      <x:c r="L20" s="1"/>
      <x:c r="M20" s="1"/>
      <x:c r="N20" s="1"/>
    </x:row>
    <x:row r="21">
      <x:c r="A21" s="187" t="str">
        <x:v>C_0.0023</x:v>
      </x:c>
      <x:c r="B21" s="187" t="str">
        <x:v>C</x:v>
      </x:c>
      <x:c r="C21" s="188" t="n">
        <x:v>0.4627761618123156</x:v>
      </x:c>
      <x:c r="D21" s="188" t="n">
        <x:v>0.0023</x:v>
      </x:c>
      <x:c r="E21" s="188" t="n">
        <x:v>6.112426401303164</x:v>
      </x:c>
      <x:c r="F21" s="188" t="n">
        <x:v>-0.7166437461687825</x:v>
      </x:c>
      <x:c r="G21" s="188" t="n">
        <x:v>-0.7918950263988321</x:v>
      </x:c>
      <x:c r="H21" s="188" t="n">
        <x:v>-0.04831805161998628</x:v>
      </x:c>
      <x:c r="I21" s="188" t="n">
        <x:v>-0.4974447762959737</x:v>
      </x:c>
      <x:c r="J21" s="187" t="str">
        <x:f>IF(AND(E21&gt;=6.08,F21&lt;=-0.3,G21&lt;=-0.3,H21&lt;=0,I21&lt;=0),"PASS","FAIL")</x:f>
        <x:v>PASS</x:v>
      </x:c>
      <x:c r="K21" s="1"/>
      <x:c r="L21" s="1"/>
      <x:c r="M21" s="1"/>
      <x:c r="N21" s="1"/>
    </x:row>
    <x:row r="22">
      <x:c r="A22" s="187" t="str">
        <x:v>C_0.0024</x:v>
      </x:c>
      <x:c r="B22" s="187" t="str">
        <x:v>C</x:v>
      </x:c>
      <x:c r="C22" s="188" t="n">
        <x:v>0.4627761618123156</x:v>
      </x:c>
      <x:c r="D22" s="188" t="n">
        <x:v>0.0024</x:v>
      </x:c>
      <x:c r="E22" s="188" t="n">
        <x:v>6.083478283906401</x:v>
      </x:c>
      <x:c r="F22" s="188" t="n">
        <x:v>-0.7609626703799668</x:v>
      </x:c>
      <x:c r="G22" s="188" t="n">
        <x:v>-0.8804014027982863</x:v>
      </x:c>
      <x:c r="H22" s="188" t="n">
        <x:v>-0.0483325857535798</x:v>
      </x:c>
      <x:c r="I22" s="188" t="n">
        <x:v>-0.4974555088322342</x:v>
      </x:c>
      <x:c r="J22" s="187" t="str">
        <x:f>IF(AND(E22&gt;=6.08,F22&lt;=-0.3,G22&lt;=-0.3,H22&lt;=0,I22&lt;=0),"PASS","FAIL")</x:f>
        <x:v>PASS</x:v>
      </x:c>
      <x:c r="K22" s="1"/>
      <x:c r="L22" s="1"/>
      <x:c r="M22" s="1"/>
      <x:c r="N22" s="1"/>
    </x:row>
    <x:row r="23">
      <x:c r="A23" s="187" t="str">
        <x:v>H_0.0021</x:v>
      </x:c>
      <x:c r="B23" s="187" t="str">
        <x:v>H</x:v>
      </x:c>
      <x:c r="C23" s="188" t="n">
        <x:v>0.4432415010883193</x:v>
      </x:c>
      <x:c r="D23" s="188" t="n">
        <x:v>0.0021</x:v>
      </x:c>
      <x:c r="E23" s="188" t="n">
        <x:v>6.124354277565105</x:v>
      </x:c>
      <x:c r="F23" s="188" t="n">
        <x:v>-0.4830259884239769</x:v>
      </x:c>
      <x:c r="G23" s="188" t="n">
        <x:v>-0.2236491876078512</x:v>
      </x:c>
      <x:c r="H23" s="188" t="n">
        <x:v>-0.07856411498282037</x:v>
      </x:c>
      <x:c r="I23" s="188" t="n">
        <x:v>-0.36544539208009197</x:v>
      </x:c>
      <x:c r="J23" s="187" t="str">
        <x:f>IF(AND(E23&gt;=6.08,F23&lt;=-0.3,G23&lt;=-0.3,H23&lt;=0,I23&lt;=0),"PASS","FAIL")</x:f>
        <x:v>FAIL</x:v>
      </x:c>
      <x:c r="K23" s="1"/>
      <x:c r="L23" s="1"/>
      <x:c r="M23" s="1"/>
      <x:c r="N23" s="1"/>
    </x:row>
    <x:row r="24">
      <x:c r="A24" s="187" t="str">
        <x:v>H_0.0022</x:v>
      </x:c>
      <x:c r="B24" s="187" t="str">
        <x:v>H</x:v>
      </x:c>
      <x:c r="C24" s="188" t="n">
        <x:v>0.4432415010883193</x:v>
      </x:c>
      <x:c r="D24" s="188" t="n">
        <x:v>0.0022</x:v>
      </x:c>
      <x:c r="E24" s="188" t="n">
        <x:v>6.095459745229929</x:v>
      </x:c>
      <x:c r="F24" s="188" t="n">
        <x:v>-0.5255502339076403</x:v>
      </x:c>
      <x:c r="G24" s="188" t="n">
        <x:v>-0.3085707156286217</x:v>
      </x:c>
      <x:c r="H24" s="188" t="n">
        <x:v>-0.07857954881729035</x:v>
      </x:c>
      <x:c r="I24" s="188" t="n">
        <x:v>-0.3654571363554424</x:v>
      </x:c>
      <x:c r="J24" s="187" t="str">
        <x:f>IF(AND(E24&gt;=6.08,F24&lt;=-0.3,G24&lt;=-0.3,H24&lt;=0,I24&lt;=0),"PASS","FAIL")</x:f>
        <x:v>PASS</x:v>
      </x:c>
      <x:c r="K24" s="1"/>
      <x:c r="L24" s="1"/>
      <x:c r="M24" s="1"/>
      <x:c r="N24" s="1"/>
    </x:row>
    <x:row r="25">
      <x:c r="A25" s="187" t="str">
        <x:v>H_0.0023</x:v>
      </x:c>
      <x:c r="B25" s="187" t="str">
        <x:v>H</x:v>
      </x:c>
      <x:c r="C25" s="188" t="n">
        <x:v>0.4432415010883193</x:v>
      </x:c>
      <x:c r="D25" s="188" t="n">
        <x:v>0.0023</x:v>
      </x:c>
      <x:c r="E25" s="188" t="n">
        <x:v>6.066635187558129</x:v>
      </x:c>
      <x:c r="F25" s="188" t="n">
        <x:v>-0.5684520530145559</x:v>
      </x:c>
      <x:c r="G25" s="188" t="n">
        <x:v>-0.39424745286766133</x:v>
      </x:c>
      <x:c r="H25" s="188" t="n">
        <x:v>-0.07859503474253653</x:v>
      </x:c>
      <x:c r="I25" s="188" t="n">
        <x:v>-0.36546893312040624</x:v>
      </x:c>
      <x:c r="J25" s="187" t="str">
        <x:f>IF(AND(E25&gt;=6.08,F25&lt;=-0.3,G25&lt;=-0.3,H25&lt;=0,I25&lt;=0),"PASS","FAIL")</x:f>
        <x:v>FAIL</x:v>
      </x:c>
      <x:c r="K25" s="1"/>
      <x:c r="L25" s="1"/>
      <x:c r="M25" s="1"/>
      <x:c r="N25" s="1"/>
    </x:row>
    <x:row r="26">
      <x:c r="A26" s="187" t="str">
        <x:v>H_0.0024</x:v>
      </x:c>
      <x:c r="B26" s="187" t="str">
        <x:v>H</x:v>
      </x:c>
      <x:c r="C26" s="188" t="n">
        <x:v>0.4432415010883193</x:v>
      </x:c>
      <x:c r="D26" s="188" t="n">
        <x:v>0.0024</x:v>
      </x:c>
      <x:c r="E26" s="188" t="n">
        <x:v>6.0378177904767885</x:v>
      </x:c>
      <x:c r="F26" s="188" t="n">
        <x:v>-0.6118235492125597</x:v>
      </x:c>
      <x:c r="G26" s="188" t="n">
        <x:v>-0.48086360116572735</x:v>
      </x:c>
      <x:c r="H26" s="188" t="n">
        <x:v>-0.07861057031669964</x:v>
      </x:c>
      <x:c r="I26" s="188" t="n">
        <x:v>-0.3654807798891305</x:v>
      </x:c>
      <x:c r="J26" s="187" t="str">
        <x:f>IF(AND(E26&gt;=6.08,F26&lt;=-0.3,G26&lt;=-0.3,H26&lt;=0,I26&lt;=0),"PASS","FAIL")</x:f>
        <x:v>FAIL</x:v>
      </x:c>
      <x:c r="K26" s="1"/>
      <x:c r="L26" s="1"/>
      <x:c r="M26" s="1"/>
      <x:c r="N26" s="1"/>
    </x:row>
    <x:row r="27">
      <x:c r="A27" s="1"/>
      <x:c r="B27" s="1"/>
      <x:c r="C27" s="1"/>
      <x:c r="D27" s="1"/>
      <x:c r="E27" s="1"/>
      <x:c r="F27" s="1"/>
      <x:c r="G27" s="1"/>
      <x:c r="H27" s="1"/>
      <x:c r="I27" s="1"/>
      <x:c r="J27" s="1"/>
      <x:c r="K27" s="1"/>
      <x:c r="L27" s="1"/>
      <x:c r="M27" s="1"/>
      <x:c r="N27" s="1"/>
    </x:row>
    <x:row r="28">
      <x:c r="A28" s="37" t="str">
        <x:v>Engineering conversion / final KPI</x:v>
      </x:c>
      <x:c r="B28" s="37" t="str">
        <x:v>Engineering conversion / final KPI</x:v>
      </x:c>
      <x:c r="C28" s="37" t="str">
        <x:v>Engineering conversion / final KPI</x:v>
      </x:c>
      <x:c r="D28" s="37" t="str">
        <x:v>Engineering conversion / final KPI</x:v>
      </x:c>
      <x:c r="E28" s="37" t="str">
        <x:v>Engineering conversion / final KPI</x:v>
      </x:c>
      <x:c r="F28" s="37" t="str">
        <x:v>Engineering conversion / final KPI</x:v>
      </x:c>
      <x:c r="G28" s="1"/>
      <x:c r="H28" s="37" t="str">
        <x:v>Boundary evidence</x:v>
      </x:c>
      <x:c r="I28" s="37" t="str">
        <x:v>Boundary evidence</x:v>
      </x:c>
      <x:c r="J28" s="37" t="str">
        <x:v>Boundary evidence</x:v>
      </x:c>
      <x:c r="K28" s="37" t="str">
        <x:v>Boundary evidence</x:v>
      </x:c>
      <x:c r="L28" s="37" t="str">
        <x:v>Boundary evidence</x:v>
      </x:c>
      <x:c r="M28" s="37" t="str">
        <x:v>Boundary evidence</x:v>
      </x:c>
      <x:c r="N28" s="37" t="str">
        <x:v>Boundary evidence</x:v>
      </x:c>
    </x:row>
    <x:row r="29">
      <x:c r="A29" s="189" t="str">
        <x:v>Selected HCl mol/s</x:v>
      </x:c>
      <x:c r="B29" s="190" t="n">
        <x:v>0.0022</x:v>
      </x:c>
      <x:c r="C29" s="189" t="str"/>
      <x:c r="D29" s="1"/>
      <x:c r="E29" s="1"/>
      <x:c r="F29" s="1"/>
      <x:c r="G29" s="1"/>
      <x:c r="H29" s="84" t="str">
        <x:v>Final recommendation: Recommend 72 m² + 0.0022 mol/s common HCl. Winter/summer water is 0.45042/0.43141 kg/s and recovery is 46.2776%/44.3242%. At 0.0021 mol/s summer Dolomite SI=−0.2236 lacks margin; 0.0022 mol/s passes both; 0.0023 mol/s gives summer pH=6.0666 below the limit.</x:v>
      </x:c>
      <x:c r="I29" s="85" t="str">
        <x:v>Final recommendation: Recommend 72 m² + 0.0022 mol/s common HCl. Winter/summer water is 0.45042/0.43141 kg/s and recovery is 46.2776%/44.3242%. At 0.0021 mol/s summer Dolomite SI=−0.2236 lacks margin; 0.0022 mol/s passes both; 0.0023 mol/s gives summer pH=6.0666 below the limit.</x:v>
      </x:c>
      <x:c r="J29" s="85" t="str">
        <x:v>Final recommendation: Recommend 72 m² + 0.0022 mol/s common HCl. Winter/summer water is 0.45042/0.43141 kg/s and recovery is 46.2776%/44.3242%. At 0.0021 mol/s summer Dolomite SI=−0.2236 lacks margin; 0.0022 mol/s passes both; 0.0023 mol/s gives summer pH=6.0666 below the limit.</x:v>
      </x:c>
      <x:c r="K29" s="85" t="str">
        <x:v>Final recommendation: Recommend 72 m² + 0.0022 mol/s common HCl. Winter/summer water is 0.45042/0.43141 kg/s and recovery is 46.2776%/44.3242%. At 0.0021 mol/s summer Dolomite SI=−0.2236 lacks margin; 0.0022 mol/s passes both; 0.0023 mol/s gives summer pH=6.0666 below the limit.</x:v>
      </x:c>
      <x:c r="L29" s="85" t="str">
        <x:v>Final recommendation: Recommend 72 m² + 0.0022 mol/s common HCl. Winter/summer water is 0.45042/0.43141 kg/s and recovery is 46.2776%/44.3242%. At 0.0021 mol/s summer Dolomite SI=−0.2236 lacks margin; 0.0022 mol/s passes both; 0.0023 mol/s gives summer pH=6.0666 below the limit.</x:v>
      </x:c>
      <x:c r="M29" s="85" t="str">
        <x:v>Final recommendation: Recommend 72 m² + 0.0022 mol/s common HCl. Winter/summer water is 0.45042/0.43141 kg/s and recovery is 46.2776%/44.3242%. At 0.0021 mol/s summer Dolomite SI=−0.2236 lacks margin; 0.0022 mol/s passes both; 0.0023 mol/s gives summer pH=6.0666 below the limit.</x:v>
      </x:c>
      <x:c r="N29" s="86" t="str">
        <x:v>Final recommendation: Recommend 72 m² + 0.0022 mol/s common HCl. Winter/summer water is 0.45042/0.43141 kg/s and recovery is 46.2776%/44.3242%. At 0.0021 mol/s summer Dolomite SI=−0.2236 lacks margin; 0.0022 mol/s passes both; 0.0023 mol/s gives summer pH=6.0666 below the limit.</x:v>
      </x:c>
    </x:row>
    <x:row r="30">
      <x:c r="A30" s="189" t="str">
        <x:v>Pure HCl g/h</x:v>
      </x:c>
      <x:c r="B30" s="190" t="n">
        <x:f>B29*36.46*3600</x:f>
        <x:v>288.76320000000004</x:v>
      </x:c>
      <x:c r="C30" s="189" t="str"/>
      <x:c r="D30" s="1"/>
      <x:c r="E30" s="1"/>
      <x:c r="F30" s="1"/>
      <x:c r="G30" s="1"/>
      <x:c r="H30" s="87" t="str">
        <x:v>Final recommendation: Recommend 72 m² + 0.0022 mol/s common HCl. Winter/summer water is 0.45042/0.43141 kg/s and recovery is 46.2776%/44.3242%. At 0.0021 mol/s summer Dolomite SI=−0.2236 lacks margin; 0.0022 mol/s passes both; 0.0023 mol/s gives summer pH=6.0666 below the limit.</x:v>
      </x:c>
      <x:c r="I30" s="88" t="str">
        <x:v>Final recommendation: Recommend 72 m² + 0.0022 mol/s common HCl. Winter/summer water is 0.45042/0.43141 kg/s and recovery is 46.2776%/44.3242%. At 0.0021 mol/s summer Dolomite SI=−0.2236 lacks margin; 0.0022 mol/s passes both; 0.0023 mol/s gives summer pH=6.0666 below the limit.</x:v>
      </x:c>
      <x:c r="J30" s="88" t="str">
        <x:v>Final recommendation: Recommend 72 m² + 0.0022 mol/s common HCl. Winter/summer water is 0.45042/0.43141 kg/s and recovery is 46.2776%/44.3242%. At 0.0021 mol/s summer Dolomite SI=−0.2236 lacks margin; 0.0022 mol/s passes both; 0.0023 mol/s gives summer pH=6.0666 below the limit.</x:v>
      </x:c>
      <x:c r="K30" s="88" t="str">
        <x:v>Final recommendation: Recommend 72 m² + 0.0022 mol/s common HCl. Winter/summer water is 0.45042/0.43141 kg/s and recovery is 46.2776%/44.3242%. At 0.0021 mol/s summer Dolomite SI=−0.2236 lacks margin; 0.0022 mol/s passes both; 0.0023 mol/s gives summer pH=6.0666 below the limit.</x:v>
      </x:c>
      <x:c r="L30" s="88" t="str">
        <x:v>Final recommendation: Recommend 72 m² + 0.0022 mol/s common HCl. Winter/summer water is 0.45042/0.43141 kg/s and recovery is 46.2776%/44.3242%. At 0.0021 mol/s summer Dolomite SI=−0.2236 lacks margin; 0.0022 mol/s passes both; 0.0023 mol/s gives summer pH=6.0666 below the limit.</x:v>
      </x:c>
      <x:c r="M30" s="88" t="str">
        <x:v>Final recommendation: Recommend 72 m² + 0.0022 mol/s common HCl. Winter/summer water is 0.45042/0.43141 kg/s and recovery is 46.2776%/44.3242%. At 0.0021 mol/s summer Dolomite SI=−0.2236 lacks margin; 0.0022 mol/s passes both; 0.0023 mol/s gives summer pH=6.0666 below the limit.</x:v>
      </x:c>
      <x:c r="N30" s="89" t="str">
        <x:v>Final recommendation: Recommend 72 m² + 0.0022 mol/s common HCl. Winter/summer water is 0.45042/0.43141 kg/s and recovery is 46.2776%/44.3242%. At 0.0021 mol/s summer Dolomite SI=−0.2236 lacks margin; 0.0022 mol/s passes both; 0.0023 mol/s gives summer pH=6.0666 below the limit.</x:v>
      </x:c>
    </x:row>
    <x:row r="31">
      <x:c r="A31" s="189" t="str">
        <x:v>31 wt% HCl L/h</x:v>
      </x:c>
      <x:c r="B31" s="190" t="n">
        <x:f>B30/(31%*1150)</x:f>
        <x:v>0.8099949509116411</x:v>
      </x:c>
      <x:c r="C31" s="189" t="str"/>
      <x:c r="D31" s="1"/>
      <x:c r="E31" s="1"/>
      <x:c r="F31" s="1"/>
      <x:c r="G31" s="1"/>
      <x:c r="H31" s="90" t="str">
        <x:v>Final recommendation: Recommend 72 m² + 0.0022 mol/s common HCl. Winter/summer water is 0.45042/0.43141 kg/s and recovery is 46.2776%/44.3242%. At 0.0021 mol/s summer Dolomite SI=−0.2236 lacks margin; 0.0022 mol/s passes both; 0.0023 mol/s gives summer pH=6.0666 below the limit.</x:v>
      </x:c>
      <x:c r="I31" s="91" t="str">
        <x:v>Final recommendation: Recommend 72 m² + 0.0022 mol/s common HCl. Winter/summer water is 0.45042/0.43141 kg/s and recovery is 46.2776%/44.3242%. At 0.0021 mol/s summer Dolomite SI=−0.2236 lacks margin; 0.0022 mol/s passes both; 0.0023 mol/s gives summer pH=6.0666 below the limit.</x:v>
      </x:c>
      <x:c r="J31" s="91" t="str">
        <x:v>Final recommendation: Recommend 72 m² + 0.0022 mol/s common HCl. Winter/summer water is 0.45042/0.43141 kg/s and recovery is 46.2776%/44.3242%. At 0.0021 mol/s summer Dolomite SI=−0.2236 lacks margin; 0.0022 mol/s passes both; 0.0023 mol/s gives summer pH=6.0666 below the limit.</x:v>
      </x:c>
      <x:c r="K31" s="91" t="str">
        <x:v>Final recommendation: Recommend 72 m² + 0.0022 mol/s common HCl. Winter/summer water is 0.45042/0.43141 kg/s and recovery is 46.2776%/44.3242%. At 0.0021 mol/s summer Dolomite SI=−0.2236 lacks margin; 0.0022 mol/s passes both; 0.0023 mol/s gives summer pH=6.0666 below the limit.</x:v>
      </x:c>
      <x:c r="L31" s="91" t="str">
        <x:v>Final recommendation: Recommend 72 m² + 0.0022 mol/s common HCl. Winter/summer water is 0.45042/0.43141 kg/s and recovery is 46.2776%/44.3242%. At 0.0021 mol/s summer Dolomite SI=−0.2236 lacks margin; 0.0022 mol/s passes both; 0.0023 mol/s gives summer pH=6.0666 below the limit.</x:v>
      </x:c>
      <x:c r="M31" s="91" t="str">
        <x:v>Final recommendation: Recommend 72 m² + 0.0022 mol/s common HCl. Winter/summer water is 0.45042/0.43141 kg/s and recovery is 46.2776%/44.3242%. At 0.0021 mol/s summer Dolomite SI=−0.2236 lacks margin; 0.0022 mol/s passes both; 0.0023 mol/s gives summer pH=6.0666 below the limit.</x:v>
      </x:c>
      <x:c r="N31" s="92" t="str">
        <x:v>Final recommendation: Recommend 72 m² + 0.0022 mol/s common HCl. Winter/summer water is 0.45042/0.43141 kg/s and recovery is 46.2776%/44.3242%. At 0.0021 mol/s summer Dolomite SI=−0.2236 lacks margin; 0.0022 mol/s passes both; 0.0023 mol/s gives summer pH=6.0666 below the limit.</x:v>
      </x:c>
    </x:row>
    <x:row r="32">
      <x:c r="A32" s="1"/>
      <x:c r="B32" s="1"/>
      <x:c r="C32" s="1"/>
      <x:c r="D32" s="1"/>
      <x:c r="E32" s="1"/>
      <x:c r="F32" s="1"/>
      <x:c r="G32" s="1"/>
      <x:c r="H32" s="1"/>
      <x:c r="I32" s="1"/>
      <x:c r="J32" s="1"/>
      <x:c r="K32" s="1"/>
      <x:c r="L32" s="1"/>
      <x:c r="M32" s="1"/>
      <x:c r="N32" s="1"/>
    </x:row>
    <x:row r="33">
      <x:c r="A33" s="37" t="str">
        <x:v>Model scope and audit note</x:v>
      </x:c>
      <x:c r="B33" s="37" t="str">
        <x:v>Model scope and audit note</x:v>
      </x:c>
      <x:c r="C33" s="37" t="str">
        <x:v>Model scope and audit note</x:v>
      </x:c>
      <x:c r="D33" s="37" t="str">
        <x:v>Model scope and audit note</x:v>
      </x:c>
      <x:c r="E33" s="37" t="str">
        <x:v>Model scope and audit note</x:v>
      </x:c>
      <x:c r="F33" s="37" t="str">
        <x:v>Model scope and audit note</x:v>
      </x:c>
      <x:c r="G33" s="37" t="str">
        <x:v>Model scope and audit note</x:v>
      </x:c>
      <x:c r="H33" s="37" t="str">
        <x:v>Model scope and audit note</x:v>
      </x:c>
      <x:c r="I33" s="37" t="str">
        <x:v>Model scope and audit note</x:v>
      </x:c>
      <x:c r="J33" s="37" t="str">
        <x:v>Model scope and audit note</x:v>
      </x:c>
      <x:c r="K33" s="37" t="str">
        <x:v>Model scope and audit note</x:v>
      </x:c>
      <x:c r="L33" s="37" t="str">
        <x:v>Model scope and audit note</x:v>
      </x:c>
      <x:c r="M33" s="37" t="str">
        <x:v>Model scope and audit note</x:v>
      </x:c>
      <x:c r="N33" s="37" t="str">
        <x:v>Model scope and audit note</x:v>
      </x:c>
    </x:row>
    <x:row r="34">
      <x:c r="A34" s="143"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4" s="144"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4" s="145"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5">
      <x:c r="A35"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5"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5"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6">
      <x:c r="A36" s="146"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6" s="147"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6" s="148"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7">
      <x:c r="A37" s="149"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B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C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D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E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F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G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H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I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J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K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L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M37" s="150"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c r="N37" s="151" t="str">
        <x:v>All numeric rows are direct outputs from the connected ROprocess simulators. Stage-2 recovery or configuration is inherited from Stage 1. Chemistry uses Pitzer activity corrections; simulate_ro represents dissolved salts as NaCl equivalent, while simulate_swro_system reports whole-plant energy and cost. Do not force osmotic pressures from different tools to match.</x:v>
      </x:c>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A8:J8"/>
    <x:mergeCell ref="A17:J17"/>
    <x:mergeCell ref="A28:F28"/>
    <x:mergeCell ref="H28:N28"/>
    <x:mergeCell ref="H29:N31"/>
    <x:mergeCell ref="A33:N33"/>
    <x:mergeCell ref="A34:N37"/>
  </x:mergeCells>
  <x:pageMargins left="0.7" right="0.7" top="0.75" bottom="0.75" header="0.3" footer="0.3"/>
  <x:drawing xmlns:r="http://schemas.openxmlformats.org/officeDocument/2006/relationships" r:id="R89bcab291aab4ef0"/>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D6_6b-N02 | Trajectory rubric (100 points)</x:v>
      </x:c>
      <x:c r="B1" s="6" t="str">
        <x:v>D6_6b-N02 | Trajectory rubric (100 points)</x:v>
      </x:c>
      <x:c r="C1" s="6" t="str">
        <x:v>D6_6b-N02 | Trajectory rubric (100 points)</x:v>
      </x:c>
      <x:c r="D1" s="6" t="str">
        <x:v>D6_6b-N02 | Trajectory rubric (100 points)</x:v>
      </x:c>
      <x:c r="E1" s="6" t="str">
        <x:v>D6_6b-N02 | Trajectory rubric (100 points)</x:v>
      </x:c>
      <x:c r="F1" s="6" t="str">
        <x:v>D6_6b-N02 | Trajectory rubric (100 points)</x:v>
      </x:c>
      <x:c r="G1" s="6" t="str">
        <x:v>D6_6b-N02 | Trajectory rubric (100 points)</x:v>
      </x:c>
      <x:c r="H1" s="6" t="str">
        <x:v>D6_6b-N02 | Trajectory rubric (100 points)</x:v>
      </x:c>
      <x:c r="I1" s="6" t="str">
        <x:v>D6_6b-N02 | Trajectory rubric (100 points)</x:v>
      </x:c>
      <x:c r="J1" s="6" t="str">
        <x:v>D6_6b-N02 | Trajectory rubric (100 points)</x:v>
      </x:c>
      <x:c r="K1" s="6" t="str">
        <x:v>D6_6b-N02 | Trajectory rubric (100 points)</x:v>
      </x:c>
      <x:c r="L1" s="6" t="str">
        <x:v>D6_6b-N02 | Trajectory rubric (100 points)</x:v>
      </x:c>
      <x:c r="M1" s="6" t="str">
        <x:v>D6_6b-N02 | Trajectory rubric (100 points)</x:v>
      </x:c>
      <x:c r="N1" s="6" t="str">
        <x:v>D6_6b-N02 | Trajectory rubric (100 points)</x:v>
      </x:c>
    </x:row>
    <x:row r="2" ht="28" customHeight="1">
      <x:c r="A2" s="6" t="str">
        <x:v>D6_6b-N02 | Trajectory rubric (100 points)</x:v>
      </x:c>
      <x:c r="B2" s="6" t="str">
        <x:v>D6_6b-N02 | Trajectory rubric (100 points)</x:v>
      </x:c>
      <x:c r="C2" s="6" t="str">
        <x:v>D6_6b-N02 | Trajectory rubric (100 points)</x:v>
      </x:c>
      <x:c r="D2" s="6" t="str">
        <x:v>D6_6b-N02 | Trajectory rubric (100 points)</x:v>
      </x:c>
      <x:c r="E2" s="6" t="str">
        <x:v>D6_6b-N02 | Trajectory rubric (100 points)</x:v>
      </x:c>
      <x:c r="F2" s="6" t="str">
        <x:v>D6_6b-N02 | Trajectory rubric (100 points)</x:v>
      </x:c>
      <x:c r="G2" s="6" t="str">
        <x:v>D6_6b-N02 | Trajectory rubric (100 points)</x:v>
      </x:c>
      <x:c r="H2" s="6" t="str">
        <x:v>D6_6b-N02 | Trajectory rubric (100 points)</x:v>
      </x:c>
      <x:c r="I2" s="6" t="str">
        <x:v>D6_6b-N02 | Trajectory rubric (100 points)</x:v>
      </x:c>
      <x:c r="J2" s="6" t="str">
        <x:v>D6_6b-N02 | Trajectory rubric (100 points)</x:v>
      </x:c>
      <x:c r="K2" s="6" t="str">
        <x:v>D6_6b-N02 | Trajectory rubric (100 points)</x:v>
      </x:c>
      <x:c r="L2" s="6" t="str">
        <x:v>D6_6b-N02 | Trajectory rubric (100 points)</x:v>
      </x:c>
      <x:c r="M2" s="6" t="str">
        <x:v>D6_6b-N02 | Trajectory rubric (100 points)</x:v>
      </x:c>
      <x:c r="N2" s="6" t="str">
        <x:v>D6_6b-N02 | Trajectory rubric (100 points)</x:v>
      </x:c>
    </x:row>
    <x:row r="3">
      <x:c r="A3" s="1"/>
      <x:c r="B3" s="1"/>
      <x:c r="C3" s="1"/>
      <x:c r="D3" s="1"/>
      <x:c r="E3" s="1"/>
      <x:c r="F3" s="1"/>
      <x:c r="G3" s="1"/>
      <x:c r="H3" s="1"/>
      <x:c r="I3" s="1"/>
      <x:c r="J3" s="1"/>
      <x:c r="K3" s="1"/>
      <x:c r="L3" s="1"/>
      <x:c r="M3" s="1"/>
      <x:c r="N3" s="1"/>
    </x:row>
    <x:row r="4">
      <x:c r="A4" s="147" t="str">
        <x:v>Score the complete state-plan-tool-call-observation-update-branch-verification-stop trajectory. Correct serial transfer is central; a guessed final setting is not sufficient.</x:v>
      </x:c>
      <x:c r="B4" s="147" t="str">
        <x:v>Score the complete state-plan-tool-call-observation-update-branch-verification-stop trajectory. Correct serial transfer is central; a guessed final setting is not sufficient.</x:v>
      </x:c>
      <x:c r="C4" s="147" t="str">
        <x:v>Score the complete state-plan-tool-call-observation-update-branch-verification-stop trajectory. Correct serial transfer is central; a guessed final setting is not sufficient.</x:v>
      </x:c>
      <x:c r="D4" s="147" t="str">
        <x:v>Score the complete state-plan-tool-call-observation-update-branch-verification-stop trajectory. Correct serial transfer is central; a guessed final setting is not sufficient.</x:v>
      </x:c>
      <x:c r="E4" s="147" t="str">
        <x:v>Score the complete state-plan-tool-call-observation-update-branch-verification-stop trajectory. Correct serial transfer is central; a guessed final setting is not sufficient.</x:v>
      </x:c>
      <x:c r="F4" s="147" t="str">
        <x:v>Score the complete state-plan-tool-call-observation-update-branch-verification-stop trajectory. Correct serial transfer is central; a guessed final setting is not sufficient.</x:v>
      </x:c>
      <x:c r="G4" s="147" t="str">
        <x:v>Score the complete state-plan-tool-call-observation-update-branch-verification-stop trajectory. Correct serial transfer is central; a guessed final setting is not sufficient.</x:v>
      </x:c>
      <x:c r="H4" s="147" t="str">
        <x:v>Score the complete state-plan-tool-call-observation-update-branch-verification-stop trajectory. Correct serial transfer is central; a guessed final setting is not sufficient.</x:v>
      </x:c>
      <x:c r="I4" s="147" t="str">
        <x:v>Score the complete state-plan-tool-call-observation-update-branch-verification-stop trajectory. Correct serial transfer is central; a guessed final setting is not sufficient.</x:v>
      </x:c>
      <x:c r="J4" s="147" t="str">
        <x:v>Score the complete state-plan-tool-call-observation-update-branch-verification-stop trajectory. Correct serial transfer is central; a guessed final setting is not sufficient.</x:v>
      </x:c>
      <x:c r="K4" s="147" t="str">
        <x:v>Score the complete state-plan-tool-call-observation-update-branch-verification-stop trajectory. Correct serial transfer is central; a guessed final setting is not sufficient.</x:v>
      </x:c>
      <x:c r="L4" s="147" t="str">
        <x:v>Score the complete state-plan-tool-call-observation-update-branch-verification-stop trajectory. Correct serial transfer is central; a guessed final setting is not sufficient.</x:v>
      </x:c>
      <x:c r="M4" s="147" t="str">
        <x:v>Score the complete state-plan-tool-call-observation-update-branch-verification-stop trajectory. Correct serial transfer is central; a guessed final setting is not sufficient.</x:v>
      </x:c>
      <x:c r="N4" s="147" t="str">
        <x:v>Score the complete state-plan-tool-call-observation-update-branch-verification-stop trajectory. Correct serial transfer is central; a guessed final setting is not sufficient.</x:v>
      </x:c>
    </x:row>
    <x:row r="5">
      <x:c r="A5" s="147" t="str">
        <x:v>Score the complete state-plan-tool-call-observation-update-branch-verification-stop trajectory. Correct serial transfer is central; a guessed final setting is not sufficient.</x:v>
      </x:c>
      <x:c r="B5" s="147" t="str">
        <x:v>Score the complete state-plan-tool-call-observation-update-branch-verification-stop trajectory. Correct serial transfer is central; a guessed final setting is not sufficient.</x:v>
      </x:c>
      <x:c r="C5" s="147" t="str">
        <x:v>Score the complete state-plan-tool-call-observation-update-branch-verification-stop trajectory. Correct serial transfer is central; a guessed final setting is not sufficient.</x:v>
      </x:c>
      <x:c r="D5" s="147" t="str">
        <x:v>Score the complete state-plan-tool-call-observation-update-branch-verification-stop trajectory. Correct serial transfer is central; a guessed final setting is not sufficient.</x:v>
      </x:c>
      <x:c r="E5" s="147" t="str">
        <x:v>Score the complete state-plan-tool-call-observation-update-branch-verification-stop trajectory. Correct serial transfer is central; a guessed final setting is not sufficient.</x:v>
      </x:c>
      <x:c r="F5" s="147" t="str">
        <x:v>Score the complete state-plan-tool-call-observation-update-branch-verification-stop trajectory. Correct serial transfer is central; a guessed final setting is not sufficient.</x:v>
      </x:c>
      <x:c r="G5" s="147" t="str">
        <x:v>Score the complete state-plan-tool-call-observation-update-branch-verification-stop trajectory. Correct serial transfer is central; a guessed final setting is not sufficient.</x:v>
      </x:c>
      <x:c r="H5" s="147" t="str">
        <x:v>Score the complete state-plan-tool-call-observation-update-branch-verification-stop trajectory. Correct serial transfer is central; a guessed final setting is not sufficient.</x:v>
      </x:c>
      <x:c r="I5" s="147" t="str">
        <x:v>Score the complete state-plan-tool-call-observation-update-branch-verification-stop trajectory. Correct serial transfer is central; a guessed final setting is not sufficient.</x:v>
      </x:c>
      <x:c r="J5" s="147" t="str">
        <x:v>Score the complete state-plan-tool-call-observation-update-branch-verification-stop trajectory. Correct serial transfer is central; a guessed final setting is not sufficient.</x:v>
      </x:c>
      <x:c r="K5" s="147" t="str">
        <x:v>Score the complete state-plan-tool-call-observation-update-branch-verification-stop trajectory. Correct serial transfer is central; a guessed final setting is not sufficient.</x:v>
      </x:c>
      <x:c r="L5" s="147" t="str">
        <x:v>Score the complete state-plan-tool-call-observation-update-branch-verification-stop trajectory. Correct serial transfer is central; a guessed final setting is not sufficient.</x:v>
      </x:c>
      <x:c r="M5" s="147" t="str">
        <x:v>Score the complete state-plan-tool-call-observation-update-branch-verification-stop trajectory. Correct serial transfer is central; a guessed final setting is not sufficient.</x:v>
      </x:c>
      <x:c r="N5" s="147" t="str">
        <x:v>Score the complete state-plan-tool-call-observation-update-branch-verification-stop trajectory. Correct serial transfer is central; a guessed final setting is not sufficient.</x:v>
      </x:c>
    </x:row>
    <x:row r="6">
      <x:c r="A6" s="147" t="str">
        <x:v>Score the complete state-plan-tool-call-observation-update-branch-verification-stop trajectory. Correct serial transfer is central; a guessed final setting is not sufficient.</x:v>
      </x:c>
      <x:c r="B6" s="147" t="str">
        <x:v>Score the complete state-plan-tool-call-observation-update-branch-verification-stop trajectory. Correct serial transfer is central; a guessed final setting is not sufficient.</x:v>
      </x:c>
      <x:c r="C6" s="147" t="str">
        <x:v>Score the complete state-plan-tool-call-observation-update-branch-verification-stop trajectory. Correct serial transfer is central; a guessed final setting is not sufficient.</x:v>
      </x:c>
      <x:c r="D6" s="147" t="str">
        <x:v>Score the complete state-plan-tool-call-observation-update-branch-verification-stop trajectory. Correct serial transfer is central; a guessed final setting is not sufficient.</x:v>
      </x:c>
      <x:c r="E6" s="147" t="str">
        <x:v>Score the complete state-plan-tool-call-observation-update-branch-verification-stop trajectory. Correct serial transfer is central; a guessed final setting is not sufficient.</x:v>
      </x:c>
      <x:c r="F6" s="147" t="str">
        <x:v>Score the complete state-plan-tool-call-observation-update-branch-verification-stop trajectory. Correct serial transfer is central; a guessed final setting is not sufficient.</x:v>
      </x:c>
      <x:c r="G6" s="147" t="str">
        <x:v>Score the complete state-plan-tool-call-observation-update-branch-verification-stop trajectory. Correct serial transfer is central; a guessed final setting is not sufficient.</x:v>
      </x:c>
      <x:c r="H6" s="147" t="str">
        <x:v>Score the complete state-plan-tool-call-observation-update-branch-verification-stop trajectory. Correct serial transfer is central; a guessed final setting is not sufficient.</x:v>
      </x:c>
      <x:c r="I6" s="147" t="str">
        <x:v>Score the complete state-plan-tool-call-observation-update-branch-verification-stop trajectory. Correct serial transfer is central; a guessed final setting is not sufficient.</x:v>
      </x:c>
      <x:c r="J6" s="147" t="str">
        <x:v>Score the complete state-plan-tool-call-observation-update-branch-verification-stop trajectory. Correct serial transfer is central; a guessed final setting is not sufficient.</x:v>
      </x:c>
      <x:c r="K6" s="147" t="str">
        <x:v>Score the complete state-plan-tool-call-observation-update-branch-verification-stop trajectory. Correct serial transfer is central; a guessed final setting is not sufficient.</x:v>
      </x:c>
      <x:c r="L6" s="147" t="str">
        <x:v>Score the complete state-plan-tool-call-observation-update-branch-verification-stop trajectory. Correct serial transfer is central; a guessed final setting is not sufficient.</x:v>
      </x:c>
      <x:c r="M6" s="147" t="str">
        <x:v>Score the complete state-plan-tool-call-observation-update-branch-verification-stop trajectory. Correct serial transfer is central; a guessed final setting is not sufficient.</x:v>
      </x:c>
      <x:c r="N6" s="147" t="str">
        <x:v>Score the complete state-plan-tool-call-observation-update-branch-verification-stop trajectory. Correct serial transfer is central; a guessed final setting is not sufficient.</x:v>
      </x:c>
    </x:row>
    <x:row r="7">
      <x:c r="A7" s="1"/>
      <x:c r="B7" s="1"/>
      <x:c r="C7" s="1"/>
      <x:c r="D7" s="1"/>
      <x:c r="E7" s="1"/>
      <x:c r="F7" s="1"/>
      <x:c r="G7" s="1"/>
      <x:c r="H7" s="1"/>
      <x:c r="I7" s="1"/>
      <x:c r="J7" s="1"/>
      <x:c r="K7" s="1"/>
      <x:c r="L7" s="1"/>
      <x:c r="M7" s="1"/>
      <x:c r="N7" s="1"/>
    </x:row>
    <x:row r="8">
      <x:c r="A8" s="183" t="str">
        <x:v>Dimension</x:v>
      </x:c>
      <x:c r="B8" s="183" t="str">
        <x:v>Focus</x:v>
      </x:c>
      <x:c r="C8" s="183" t="str">
        <x:v>Full-credit evidence</x:v>
      </x:c>
      <x:c r="D8" s="183" t="str">
        <x:v>Partial</x:v>
      </x:c>
      <x:c r="E8" s="183" t="str">
        <x:v>Critical failure</x:v>
      </x:c>
      <x:c r="F8" s="183" t="str">
        <x:v>Weight</x:v>
      </x:c>
      <x:c r="G8" s="183" t="str"/>
      <x:c r="H8" s="183" t="str"/>
      <x:c r="I8" s="183" t="str"/>
      <x:c r="J8" s="183" t="str"/>
      <x:c r="K8" s="183" t="str"/>
      <x:c r="L8" s="183" t="str"/>
      <x:c r="M8" s="183" t="str"/>
      <x:c r="N8" s="183" t="str"/>
    </x:row>
    <x:row r="9" ht="54" customHeight="1">
      <x:c r="A9" s="187" t="str">
        <x:v>TQ1 Formulation</x:v>
      </x:c>
      <x:c r="B9" s="187" t="str">
        <x:v>Recognizes two-stage constraints</x:v>
      </x:c>
      <x:c r="C9" s="187" t="str">
        <x:v>States stage order, units and objective.</x:v>
      </x:c>
      <x:c r="D9" s="187" t="str">
        <x:v>One secondary omission.</x:v>
      </x:c>
      <x:c r="E9" s="187" t="str">
        <x:v>Treats the two models as independent.</x:v>
      </x:c>
      <x:c r="F9" s="187" t="n">
        <x:v>15</x:v>
      </x:c>
      <x:c r="G9" s="187" t="str"/>
      <x:c r="H9" s="187" t="str"/>
      <x:c r="I9" s="187" t="str"/>
      <x:c r="J9" s="187" t="str"/>
      <x:c r="K9" s="187" t="str"/>
      <x:c r="L9" s="187" t="str"/>
      <x:c r="M9" s="187" t="str"/>
      <x:c r="N9" s="187" t="str"/>
    </x:row>
    <x:row r="10" ht="54" customHeight="1">
      <x:c r="A10" s="187" t="str">
        <x:v>TQ2 Stage-1 fidelity</x:v>
      </x:c>
      <x:c r="B10" s="187" t="str">
        <x:v>ro</x:v>
      </x:c>
      <x:c r="C10" s="187" t="str">
        <x:v>Runs the full Stage-1 grid with consistent inputs.</x:v>
      </x:c>
      <x:c r="D10" s="187" t="str">
        <x:v>Minor transcription issue.</x:v>
      </x:c>
      <x:c r="E10" s="187" t="str">
        <x:v>Changes non-target variables silently.</x:v>
      </x:c>
      <x:c r="F10" s="187" t="n">
        <x:v>15</x:v>
      </x:c>
      <x:c r="G10" s="187" t="str"/>
      <x:c r="H10" s="187" t="str"/>
      <x:c r="I10" s="187" t="str"/>
      <x:c r="J10" s="187" t="str"/>
      <x:c r="K10" s="187" t="str"/>
      <x:c r="L10" s="187" t="str"/>
      <x:c r="M10" s="187" t="str"/>
      <x:c r="N10" s="187" t="str"/>
    </x:row>
    <x:row r="11" ht="54" customHeight="1">
      <x:c r="A11" s="187" t="str">
        <x:v>TQ3 Boundary logic</x:v>
      </x:c>
      <x:c r="B11" s="187" t="str">
        <x:v>Pass/fail boundary</x:v>
      </x:c>
      <x:c r="C11" s="187" t="str">
        <x:v>Shows adjacent failure and first/last feasible point.</x:v>
      </x:c>
      <x:c r="D11" s="187" t="str">
        <x:v>Limited boundary evidence.</x:v>
      </x:c>
      <x:c r="E11" s="187" t="str">
        <x:v>Selects by one metric only.</x:v>
      </x:c>
      <x:c r="F11" s="187" t="n">
        <x:v>15</x:v>
      </x:c>
      <x:c r="G11" s="187" t="str"/>
      <x:c r="H11" s="187" t="str"/>
      <x:c r="I11" s="187" t="str"/>
      <x:c r="J11" s="187" t="str"/>
      <x:c r="K11" s="187" t="str"/>
      <x:c r="L11" s="187" t="str"/>
      <x:c r="M11" s="187" t="str"/>
      <x:c r="N11" s="187" t="str"/>
    </x:row>
    <x:row r="12" ht="54" customHeight="1">
      <x:c r="A12" s="187" t="str">
        <x:v>TQ4 Serial coupling</x:v>
      </x:c>
      <x:c r="B12" s="187" t="str">
        <x:v>Lineage transfer</x:v>
      </x:c>
      <x:c r="C12" s="187" t="str">
        <x:v>Transfers actual recovery or survivor configuration exactly.</x:v>
      </x:c>
      <x:c r="D12" s="187" t="str">
        <x:v>Rounded but non-decisive transfer.</x:v>
      </x:c>
      <x:c r="E12" s="187" t="str">
        <x:v>Uses target recovery or resets configuration.</x:v>
      </x:c>
      <x:c r="F12" s="187" t="n">
        <x:v>20</x:v>
      </x:c>
      <x:c r="G12" s="187" t="str"/>
      <x:c r="H12" s="187" t="str"/>
      <x:c r="I12" s="187" t="str"/>
      <x:c r="J12" s="187" t="str"/>
      <x:c r="K12" s="187" t="str"/>
      <x:c r="L12" s="187" t="str"/>
      <x:c r="M12" s="187" t="str"/>
      <x:c r="N12" s="187" t="str"/>
    </x:row>
    <x:row r="13" ht="54" customHeight="1">
      <x:c r="A13" s="187" t="str">
        <x:v>TQ5 Stage-2 verification</x:v>
      </x:c>
      <x:c r="B13" s="187" t="str">
        <x:v>eq</x:v>
      </x:c>
      <x:c r="C13" s="187" t="str">
        <x:v>Evaluates every required dose/state/finalist and all constraints.</x:v>
      </x:c>
      <x:c r="D13" s="187" t="str">
        <x:v>One non-decisive omission.</x:v>
      </x:c>
      <x:c r="E13" s="187" t="str">
        <x:v>Averages away a failed state.</x:v>
      </x:c>
      <x:c r="F13" s="187" t="n">
        <x:v>20</x:v>
      </x:c>
      <x:c r="G13" s="187" t="str"/>
      <x:c r="H13" s="187" t="str"/>
      <x:c r="I13" s="187" t="str"/>
      <x:c r="J13" s="187" t="str"/>
      <x:c r="K13" s="187" t="str"/>
      <x:c r="L13" s="187" t="str"/>
      <x:c r="M13" s="187" t="str"/>
      <x:c r="N13" s="187" t="str"/>
    </x:row>
    <x:row r="14" ht="54" customHeight="1">
      <x:c r="A14" s="187" t="str">
        <x:v>TQ6 Decision and scope</x:v>
      </x:c>
      <x:c r="B14" s="187" t="str">
        <x:v>Final recommendation</x:v>
      </x:c>
      <x:c r="C14" s="187" t="str">
        <x:v>Reports final setting, decisive numbers and model limits.</x:v>
      </x:c>
      <x:c r="D14" s="187" t="str">
        <x:v>Correct setting with weak explanation.</x:v>
      </x:c>
      <x:c r="E14" s="187" t="str">
        <x:v>Wrong setting or unsupported certainty.</x:v>
      </x:c>
      <x:c r="F14" s="187" t="n">
        <x:v>15</x:v>
      </x:c>
      <x:c r="G14" s="187" t="str"/>
      <x:c r="H14" s="187" t="str"/>
      <x:c r="I14" s="187" t="str"/>
      <x:c r="J14" s="187" t="str"/>
      <x:c r="K14" s="187" t="str"/>
      <x:c r="L14" s="187" t="str"/>
      <x:c r="M14" s="187" t="str"/>
      <x:c r="N14" s="187" t="str"/>
    </x:row>
    <x:row r="15">
      <x:c r="A15" s="1"/>
      <x:c r="B15" s="1"/>
      <x:c r="C15" s="1"/>
      <x:c r="D15" s="1"/>
      <x:c r="E15" s="1"/>
      <x:c r="F15" s="1"/>
      <x:c r="G15" s="1"/>
      <x:c r="H15" s="1"/>
      <x:c r="I15" s="1"/>
      <x:c r="J15" s="1"/>
      <x:c r="K15" s="1"/>
      <x:c r="L15" s="1"/>
      <x:c r="M15" s="1"/>
      <x:c r="N15" s="1"/>
    </x:row>
    <x:row r="16">
      <x:c r="A16" s="37" t="str">
        <x:v>Gold Answer anchors</x:v>
      </x:c>
      <x:c r="B16" s="37" t="str">
        <x:v>Gold Answer anchors</x:v>
      </x:c>
      <x:c r="C16" s="37" t="str">
        <x:v>Gold Answer anchors</x:v>
      </x:c>
      <x:c r="D16" s="37" t="str">
        <x:v>Gold Answer anchors</x:v>
      </x:c>
      <x:c r="E16" s="37" t="str">
        <x:v>Gold Answer anchors</x:v>
      </x:c>
      <x:c r="F16" s="37" t="str">
        <x:v>Gold Answer anchors</x:v>
      </x:c>
      <x:c r="G16" s="37" t="str">
        <x:v>Gold Answer anchors</x:v>
      </x:c>
      <x:c r="H16" s="37" t="str">
        <x:v>Gold Answer anchors</x:v>
      </x:c>
      <x:c r="I16" s="37" t="str">
        <x:v>Gold Answer anchors</x:v>
      </x:c>
      <x:c r="J16" s="37" t="str">
        <x:v>Gold Answer anchors</x:v>
      </x:c>
      <x:c r="K16" s="37" t="str">
        <x:v>Gold Answer anchors</x:v>
      </x:c>
      <x:c r="L16" s="37" t="str">
        <x:v>Gold Answer anchors</x:v>
      </x:c>
      <x:c r="M16" s="37" t="str">
        <x:v>Gold Answer anchors</x:v>
      </x:c>
      <x:c r="N16" s="37" t="str">
        <x:v>Gold Answer anchors</x:v>
      </x:c>
    </x:row>
    <x:row r="17">
      <x:c r="A17" s="125" t="str">
        <x:v>Stage-1 recommendation</x:v>
      </x:c>
      <x:c r="B17" s="125" t="str">
        <x:v>T15_A72 / T28_A72</x:v>
      </x:c>
      <x:c r="C17" s="125" t="str"/>
      <x:c r="D17" s="125" t="str"/>
      <x:c r="E17" s="125" t="str"/>
      <x:c r="F17" s="125" t="str"/>
      <x:c r="G17" s="125" t="str"/>
      <x:c r="H17" s="125" t="str"/>
      <x:c r="I17" s="125" t="str"/>
      <x:c r="J17" s="125" t="str"/>
      <x:c r="K17" s="125" t="str"/>
      <x:c r="L17" s="125" t="str"/>
      <x:c r="M17" s="125" t="str"/>
      <x:c r="N17" s="125" t="str"/>
    </x:row>
    <x:row r="18">
      <x:c r="A18" s="125" t="str">
        <x:v>Stage-2 recommendation</x:v>
      </x:c>
      <x:c r="B18" s="125" t="str">
        <x:v>C_0.0022 / H_0.0022</x:v>
      </x:c>
      <x:c r="C18" s="125" t="str"/>
      <x:c r="D18" s="125" t="str"/>
      <x:c r="E18" s="125" t="str"/>
      <x:c r="F18" s="125" t="str"/>
      <x:c r="G18" s="125" t="str"/>
      <x:c r="H18" s="125" t="str"/>
      <x:c r="I18" s="125" t="str"/>
      <x:c r="J18" s="125" t="str"/>
      <x:c r="K18" s="125" t="str"/>
      <x:c r="L18" s="125" t="str"/>
      <x:c r="M18" s="125" t="str"/>
      <x:c r="N18" s="125" t="str"/>
    </x:row>
    <x:row r="19">
      <x:c r="A19" s="125" t="str">
        <x:v>Simulator pair</x:v>
      </x:c>
      <x:c r="B19" s="125" t="str">
        <x:v>simulate_ro → equilibrate_feed</x:v>
      </x:c>
      <x:c r="C19" s="125" t="str"/>
      <x:c r="D19" s="125" t="str"/>
      <x:c r="E19" s="125" t="str"/>
      <x:c r="F19" s="125" t="str"/>
      <x:c r="G19" s="125" t="str"/>
      <x:c r="H19" s="125" t="str"/>
      <x:c r="I19" s="125" t="str"/>
      <x:c r="J19" s="125" t="str"/>
      <x:c r="K19" s="125" t="str"/>
      <x:c r="L19" s="125" t="str"/>
      <x:c r="M19" s="125" t="str"/>
      <x:c r="N19" s="125" t="str"/>
    </x:row>
    <x:row r="20">
      <x:c r="A20" s="125" t="str">
        <x:v>Stage-1 calls</x:v>
      </x:c>
      <x:c r="B20" s="125" t="n">
        <x:v>6</x:v>
      </x:c>
      <x:c r="C20" s="125" t="str"/>
      <x:c r="D20" s="125" t="str"/>
      <x:c r="E20" s="125" t="str"/>
      <x:c r="F20" s="125" t="str"/>
      <x:c r="G20" s="125" t="str"/>
      <x:c r="H20" s="125" t="str"/>
      <x:c r="I20" s="125" t="str"/>
      <x:c r="J20" s="125" t="str"/>
      <x:c r="K20" s="125" t="str"/>
      <x:c r="L20" s="125" t="str"/>
      <x:c r="M20" s="125" t="str"/>
      <x:c r="N20" s="125" t="str"/>
    </x:row>
    <x:row r="21">
      <x:c r="A21" s="125" t="str">
        <x:v>Stage-2 calls</x:v>
      </x:c>
      <x:c r="B21" s="125" t="n">
        <x:v>8</x:v>
      </x:c>
      <x:c r="C21" s="125" t="str"/>
      <x:c r="D21" s="125" t="str"/>
      <x:c r="E21" s="125" t="str"/>
      <x:c r="F21" s="125" t="str"/>
      <x:c r="G21" s="125" t="str"/>
      <x:c r="H21" s="125" t="str"/>
      <x:c r="I21" s="125" t="str"/>
      <x:c r="J21" s="125" t="str"/>
      <x:c r="K21" s="125" t="str"/>
      <x:c r="L21" s="125" t="str"/>
      <x:c r="M21" s="125" t="str"/>
      <x:c r="N21" s="125" t="str"/>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G8:N8"/>
    <x:mergeCell ref="G9:N9"/>
    <x:mergeCell ref="G10:N10"/>
    <x:mergeCell ref="G11:N11"/>
    <x:mergeCell ref="G12:N12"/>
    <x:mergeCell ref="G13:N13"/>
    <x:mergeCell ref="G14:N14"/>
    <x:mergeCell ref="A16:N16"/>
    <x:mergeCell ref="C17:N17"/>
    <x:mergeCell ref="C18:N18"/>
    <x:mergeCell ref="C19:N19"/>
    <x:mergeCell ref="C20:N20"/>
    <x:mergeCell ref="C21:N2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8" hidden="0" customWidth="1"/>
    <x:col min="3" max="3" width="18" hidden="0" customWidth="1"/>
    <x:col min="4" max="4" width="15" hidden="0" customWidth="1"/>
    <x:col min="5" max="5" width="15" hidden="0" customWidth="1"/>
    <x:col min="6" max="6" width="15" hidden="0" customWidth="1"/>
    <x:col min="7" max="7" width="6" hidden="0" customWidth="1"/>
    <x:col min="8" max="8" width="14" hidden="0" customWidth="1"/>
    <x:col min="9" max="9" width="16" hidden="0" customWidth="1"/>
    <x:col min="10" max="10" width="18" hidden="0" customWidth="1"/>
    <x:col min="11" max="11" width="15" hidden="0" customWidth="1"/>
    <x:col min="12" max="12" width="15" hidden="0" customWidth="1"/>
    <x:col min="13" max="13" width="15" hidden="0" customWidth="1"/>
    <x:col min="14" max="14" width="15" hidden="0" customWidth="1"/>
  </x:cols>
  <x:sheetData>
    <x:row r="1" ht="28" customHeight="1">
      <x:c r="A1" s="6" t="str">
        <x:v>D6_6b-N02 | Tool efficiency (100 points)</x:v>
      </x:c>
      <x:c r="B1" s="6" t="str">
        <x:v>D6_6b-N02 | Tool efficiency (100 points)</x:v>
      </x:c>
      <x:c r="C1" s="6" t="str">
        <x:v>D6_6b-N02 | Tool efficiency (100 points)</x:v>
      </x:c>
      <x:c r="D1" s="6" t="str">
        <x:v>D6_6b-N02 | Tool efficiency (100 points)</x:v>
      </x:c>
      <x:c r="E1" s="6" t="str">
        <x:v>D6_6b-N02 | Tool efficiency (100 points)</x:v>
      </x:c>
      <x:c r="F1" s="6" t="str">
        <x:v>D6_6b-N02 | Tool efficiency (100 points)</x:v>
      </x:c>
      <x:c r="G1" s="6" t="str">
        <x:v>D6_6b-N02 | Tool efficiency (100 points)</x:v>
      </x:c>
      <x:c r="H1" s="6" t="str">
        <x:v>D6_6b-N02 | Tool efficiency (100 points)</x:v>
      </x:c>
      <x:c r="I1" s="6" t="str">
        <x:v>D6_6b-N02 | Tool efficiency (100 points)</x:v>
      </x:c>
      <x:c r="J1" s="6" t="str">
        <x:v>D6_6b-N02 | Tool efficiency (100 points)</x:v>
      </x:c>
      <x:c r="K1" s="6" t="str">
        <x:v>D6_6b-N02 | Tool efficiency (100 points)</x:v>
      </x:c>
      <x:c r="L1" s="6" t="str">
        <x:v>D6_6b-N02 | Tool efficiency (100 points)</x:v>
      </x:c>
      <x:c r="M1" s="6" t="str">
        <x:v>D6_6b-N02 | Tool efficiency (100 points)</x:v>
      </x:c>
      <x:c r="N1" s="6" t="str">
        <x:v>D6_6b-N02 | Tool efficiency (100 points)</x:v>
      </x:c>
    </x:row>
    <x:row r="2" ht="28" customHeight="1">
      <x:c r="A2" s="6" t="str">
        <x:v>D6_6b-N02 | Tool efficiency (100 points)</x:v>
      </x:c>
      <x:c r="B2" s="6" t="str">
        <x:v>D6_6b-N02 | Tool efficiency (100 points)</x:v>
      </x:c>
      <x:c r="C2" s="6" t="str">
        <x:v>D6_6b-N02 | Tool efficiency (100 points)</x:v>
      </x:c>
      <x:c r="D2" s="6" t="str">
        <x:v>D6_6b-N02 | Tool efficiency (100 points)</x:v>
      </x:c>
      <x:c r="E2" s="6" t="str">
        <x:v>D6_6b-N02 | Tool efficiency (100 points)</x:v>
      </x:c>
      <x:c r="F2" s="6" t="str">
        <x:v>D6_6b-N02 | Tool efficiency (100 points)</x:v>
      </x:c>
      <x:c r="G2" s="6" t="str">
        <x:v>D6_6b-N02 | Tool efficiency (100 points)</x:v>
      </x:c>
      <x:c r="H2" s="6" t="str">
        <x:v>D6_6b-N02 | Tool efficiency (100 points)</x:v>
      </x:c>
      <x:c r="I2" s="6" t="str">
        <x:v>D6_6b-N02 | Tool efficiency (100 points)</x:v>
      </x:c>
      <x:c r="J2" s="6" t="str">
        <x:v>D6_6b-N02 | Tool efficiency (100 points)</x:v>
      </x:c>
      <x:c r="K2" s="6" t="str">
        <x:v>D6_6b-N02 | Tool efficiency (100 points)</x:v>
      </x:c>
      <x:c r="L2" s="6" t="str">
        <x:v>D6_6b-N02 | Tool efficiency (100 points)</x:v>
      </x:c>
      <x:c r="M2" s="6" t="str">
        <x:v>D6_6b-N02 | Tool efficiency (100 points)</x:v>
      </x:c>
      <x:c r="N2" s="6" t="str">
        <x:v>D6_6b-N02 | Tool efficiency (100 points)</x:v>
      </x:c>
    </x:row>
    <x:row r="3">
      <x:c r="A3" s="1"/>
      <x:c r="B3" s="1"/>
      <x:c r="C3" s="1"/>
      <x:c r="D3" s="1"/>
      <x:c r="E3" s="1"/>
      <x:c r="F3" s="1"/>
      <x:c r="G3" s="1"/>
      <x:c r="H3" s="1"/>
      <x:c r="I3" s="1"/>
      <x:c r="J3" s="1"/>
      <x:c r="K3" s="1"/>
      <x:c r="L3" s="1"/>
      <x:c r="M3" s="1"/>
      <x:c r="N3" s="1"/>
    </x:row>
    <x:row r="4">
      <x:c r="A4" s="147" t="str">
        <x:v>Reference trajectory: 6 Stage-1 calls + 8 Stage-2 calls. Efficiency means every call changes the next decision boundary, not merely fewer calls.</x:v>
      </x:c>
      <x:c r="B4" s="147" t="str">
        <x:v>Reference trajectory: 6 Stage-1 calls + 8 Stage-2 calls. Efficiency means every call changes the next decision boundary, not merely fewer calls.</x:v>
      </x:c>
      <x:c r="C4" s="147" t="str">
        <x:v>Reference trajectory: 6 Stage-1 calls + 8 Stage-2 calls. Efficiency means every call changes the next decision boundary, not merely fewer calls.</x:v>
      </x:c>
      <x:c r="D4" s="147" t="str">
        <x:v>Reference trajectory: 6 Stage-1 calls + 8 Stage-2 calls. Efficiency means every call changes the next decision boundary, not merely fewer calls.</x:v>
      </x:c>
      <x:c r="E4" s="147" t="str">
        <x:v>Reference trajectory: 6 Stage-1 calls + 8 Stage-2 calls. Efficiency means every call changes the next decision boundary, not merely fewer calls.</x:v>
      </x:c>
      <x:c r="F4" s="147" t="str">
        <x:v>Reference trajectory: 6 Stage-1 calls + 8 Stage-2 calls. Efficiency means every call changes the next decision boundary, not merely fewer calls.</x:v>
      </x:c>
      <x:c r="G4" s="147" t="str">
        <x:v>Reference trajectory: 6 Stage-1 calls + 8 Stage-2 calls. Efficiency means every call changes the next decision boundary, not merely fewer calls.</x:v>
      </x:c>
      <x:c r="H4" s="147" t="str">
        <x:v>Reference trajectory: 6 Stage-1 calls + 8 Stage-2 calls. Efficiency means every call changes the next decision boundary, not merely fewer calls.</x:v>
      </x:c>
      <x:c r="I4" s="147" t="str">
        <x:v>Reference trajectory: 6 Stage-1 calls + 8 Stage-2 calls. Efficiency means every call changes the next decision boundary, not merely fewer calls.</x:v>
      </x:c>
      <x:c r="J4" s="147" t="str">
        <x:v>Reference trajectory: 6 Stage-1 calls + 8 Stage-2 calls. Efficiency means every call changes the next decision boundary, not merely fewer calls.</x:v>
      </x:c>
      <x:c r="K4" s="147" t="str">
        <x:v>Reference trajectory: 6 Stage-1 calls + 8 Stage-2 calls. Efficiency means every call changes the next decision boundary, not merely fewer calls.</x:v>
      </x:c>
      <x:c r="L4" s="147" t="str">
        <x:v>Reference trajectory: 6 Stage-1 calls + 8 Stage-2 calls. Efficiency means every call changes the next decision boundary, not merely fewer calls.</x:v>
      </x:c>
      <x:c r="M4" s="147" t="str">
        <x:v>Reference trajectory: 6 Stage-1 calls + 8 Stage-2 calls. Efficiency means every call changes the next decision boundary, not merely fewer calls.</x:v>
      </x:c>
      <x:c r="N4" s="147" t="str">
        <x:v>Reference trajectory: 6 Stage-1 calls + 8 Stage-2 calls. Efficiency means every call changes the next decision boundary, not merely fewer calls.</x:v>
      </x:c>
    </x:row>
    <x:row r="5">
      <x:c r="A5" s="147" t="str">
        <x:v>Reference trajectory: 6 Stage-1 calls + 8 Stage-2 calls. Efficiency means every call changes the next decision boundary, not merely fewer calls.</x:v>
      </x:c>
      <x:c r="B5" s="147" t="str">
        <x:v>Reference trajectory: 6 Stage-1 calls + 8 Stage-2 calls. Efficiency means every call changes the next decision boundary, not merely fewer calls.</x:v>
      </x:c>
      <x:c r="C5" s="147" t="str">
        <x:v>Reference trajectory: 6 Stage-1 calls + 8 Stage-2 calls. Efficiency means every call changes the next decision boundary, not merely fewer calls.</x:v>
      </x:c>
      <x:c r="D5" s="147" t="str">
        <x:v>Reference trajectory: 6 Stage-1 calls + 8 Stage-2 calls. Efficiency means every call changes the next decision boundary, not merely fewer calls.</x:v>
      </x:c>
      <x:c r="E5" s="147" t="str">
        <x:v>Reference trajectory: 6 Stage-1 calls + 8 Stage-2 calls. Efficiency means every call changes the next decision boundary, not merely fewer calls.</x:v>
      </x:c>
      <x:c r="F5" s="147" t="str">
        <x:v>Reference trajectory: 6 Stage-1 calls + 8 Stage-2 calls. Efficiency means every call changes the next decision boundary, not merely fewer calls.</x:v>
      </x:c>
      <x:c r="G5" s="147" t="str">
        <x:v>Reference trajectory: 6 Stage-1 calls + 8 Stage-2 calls. Efficiency means every call changes the next decision boundary, not merely fewer calls.</x:v>
      </x:c>
      <x:c r="H5" s="147" t="str">
        <x:v>Reference trajectory: 6 Stage-1 calls + 8 Stage-2 calls. Efficiency means every call changes the next decision boundary, not merely fewer calls.</x:v>
      </x:c>
      <x:c r="I5" s="147" t="str">
        <x:v>Reference trajectory: 6 Stage-1 calls + 8 Stage-2 calls. Efficiency means every call changes the next decision boundary, not merely fewer calls.</x:v>
      </x:c>
      <x:c r="J5" s="147" t="str">
        <x:v>Reference trajectory: 6 Stage-1 calls + 8 Stage-2 calls. Efficiency means every call changes the next decision boundary, not merely fewer calls.</x:v>
      </x:c>
      <x:c r="K5" s="147" t="str">
        <x:v>Reference trajectory: 6 Stage-1 calls + 8 Stage-2 calls. Efficiency means every call changes the next decision boundary, not merely fewer calls.</x:v>
      </x:c>
      <x:c r="L5" s="147" t="str">
        <x:v>Reference trajectory: 6 Stage-1 calls + 8 Stage-2 calls. Efficiency means every call changes the next decision boundary, not merely fewer calls.</x:v>
      </x:c>
      <x:c r="M5" s="147" t="str">
        <x:v>Reference trajectory: 6 Stage-1 calls + 8 Stage-2 calls. Efficiency means every call changes the next decision boundary, not merely fewer calls.</x:v>
      </x:c>
      <x:c r="N5" s="147" t="str">
        <x:v>Reference trajectory: 6 Stage-1 calls + 8 Stage-2 calls. Efficiency means every call changes the next decision boundary, not merely fewer calls.</x:v>
      </x:c>
    </x:row>
    <x:row r="6">
      <x:c r="A6" s="147" t="str">
        <x:v>Reference trajectory: 6 Stage-1 calls + 8 Stage-2 calls. Efficiency means every call changes the next decision boundary, not merely fewer calls.</x:v>
      </x:c>
      <x:c r="B6" s="147" t="str">
        <x:v>Reference trajectory: 6 Stage-1 calls + 8 Stage-2 calls. Efficiency means every call changes the next decision boundary, not merely fewer calls.</x:v>
      </x:c>
      <x:c r="C6" s="147" t="str">
        <x:v>Reference trajectory: 6 Stage-1 calls + 8 Stage-2 calls. Efficiency means every call changes the next decision boundary, not merely fewer calls.</x:v>
      </x:c>
      <x:c r="D6" s="147" t="str">
        <x:v>Reference trajectory: 6 Stage-1 calls + 8 Stage-2 calls. Efficiency means every call changes the next decision boundary, not merely fewer calls.</x:v>
      </x:c>
      <x:c r="E6" s="147" t="str">
        <x:v>Reference trajectory: 6 Stage-1 calls + 8 Stage-2 calls. Efficiency means every call changes the next decision boundary, not merely fewer calls.</x:v>
      </x:c>
      <x:c r="F6" s="147" t="str">
        <x:v>Reference trajectory: 6 Stage-1 calls + 8 Stage-2 calls. Efficiency means every call changes the next decision boundary, not merely fewer calls.</x:v>
      </x:c>
      <x:c r="G6" s="147" t="str">
        <x:v>Reference trajectory: 6 Stage-1 calls + 8 Stage-2 calls. Efficiency means every call changes the next decision boundary, not merely fewer calls.</x:v>
      </x:c>
      <x:c r="H6" s="147" t="str">
        <x:v>Reference trajectory: 6 Stage-1 calls + 8 Stage-2 calls. Efficiency means every call changes the next decision boundary, not merely fewer calls.</x:v>
      </x:c>
      <x:c r="I6" s="147" t="str">
        <x:v>Reference trajectory: 6 Stage-1 calls + 8 Stage-2 calls. Efficiency means every call changes the next decision boundary, not merely fewer calls.</x:v>
      </x:c>
      <x:c r="J6" s="147" t="str">
        <x:v>Reference trajectory: 6 Stage-1 calls + 8 Stage-2 calls. Efficiency means every call changes the next decision boundary, not merely fewer calls.</x:v>
      </x:c>
      <x:c r="K6" s="147" t="str">
        <x:v>Reference trajectory: 6 Stage-1 calls + 8 Stage-2 calls. Efficiency means every call changes the next decision boundary, not merely fewer calls.</x:v>
      </x:c>
      <x:c r="L6" s="147" t="str">
        <x:v>Reference trajectory: 6 Stage-1 calls + 8 Stage-2 calls. Efficiency means every call changes the next decision boundary, not merely fewer calls.</x:v>
      </x:c>
      <x:c r="M6" s="147" t="str">
        <x:v>Reference trajectory: 6 Stage-1 calls + 8 Stage-2 calls. Efficiency means every call changes the next decision boundary, not merely fewer calls.</x:v>
      </x:c>
      <x:c r="N6" s="147" t="str">
        <x:v>Reference trajectory: 6 Stage-1 calls + 8 Stage-2 calls. Efficiency means every call changes the next decision boundary, not merely fewer calls.</x:v>
      </x:c>
    </x:row>
    <x:row r="7">
      <x:c r="A7" s="1"/>
      <x:c r="B7" s="1"/>
      <x:c r="C7" s="1"/>
      <x:c r="D7" s="1"/>
      <x:c r="E7" s="1"/>
      <x:c r="F7" s="1"/>
      <x:c r="G7" s="1"/>
      <x:c r="H7" s="1"/>
      <x:c r="I7" s="1"/>
      <x:c r="J7" s="1"/>
      <x:c r="K7" s="1"/>
      <x:c r="L7" s="1"/>
      <x:c r="M7" s="1"/>
      <x:c r="N7" s="1"/>
    </x:row>
    <x:row r="8">
      <x:c r="A8" s="183" t="str">
        <x:v>Stage</x:v>
      </x:c>
      <x:c r="B8" s="183" t="str">
        <x:v>Tool</x:v>
      </x:c>
      <x:c r="C8" s="183" t="str">
        <x:v>Calls</x:v>
      </x:c>
      <x:c r="D8" s="183" t="str">
        <x:v>Key input</x:v>
      </x:c>
      <x:c r="E8" s="183" t="str">
        <x:v>Key observation</x:v>
      </x:c>
      <x:c r="F8" s="183" t="str">
        <x:v>State update</x:v>
      </x:c>
      <x:c r="G8" s="183" t="str">
        <x:v>Next step</x:v>
      </x:c>
      <x:c r="H8" s="183" t="str"/>
      <x:c r="I8" s="183" t="str"/>
      <x:c r="J8" s="183" t="str"/>
      <x:c r="K8" s="183" t="str"/>
      <x:c r="L8" s="183" t="str"/>
      <x:c r="M8" s="183" t="str"/>
      <x:c r="N8" s="183" t="str"/>
    </x:row>
    <x:row r="9" ht="52" customHeight="1">
      <x:c r="A9" s="187" t="str">
        <x:v>1 Metadata</x:v>
      </x:c>
      <x:c r="B9" s="187" t="str">
        <x:v>describe_*</x:v>
      </x:c>
      <x:c r="C9" s="187" t="n">
        <x:v>0</x:v>
      </x:c>
      <x:c r="D9" s="187" t="str">
        <x:v>Units, species and parameter scope</x:v>
      </x:c>
      <x:c r="E9" s="187" t="str">
        <x:v>Confirm valid inputs</x:v>
      </x:c>
      <x:c r="F9" s="187" t="str">
        <x:v>Lock the candidate table</x:v>
      </x:c>
      <x:c r="G9" s="187" t="str">
        <x:v>Run Stage 1</x:v>
      </x:c>
      <x:c r="H9" s="187" t="str"/>
      <x:c r="I9" s="187" t="str"/>
      <x:c r="J9" s="187" t="str"/>
      <x:c r="K9" s="187" t="str"/>
      <x:c r="L9" s="187" t="str"/>
      <x:c r="M9" s="187" t="str"/>
      <x:c r="N9" s="187" t="str"/>
    </x:row>
    <x:row r="10" ht="52" customHeight="1">
      <x:c r="A10" s="187" t="str">
        <x:v>2 Stage 1</x:v>
      </x:c>
      <x:c r="B10" s="187" t="str">
        <x:v>simulate_ro</x:v>
      </x:c>
      <x:c r="C10" s="187" t="n">
        <x:v>6</x:v>
      </x:c>
      <x:c r="D10" s="187" t="str">
        <x:v>Vary only declared design variables</x:v>
      </x:c>
      <x:c r="E10" s="187" t="str">
        <x:v>Locate pass/fail boundary</x:v>
      </x:c>
      <x:c r="F10" s="187" t="str">
        <x:v>Keep survivors or actual recovery</x:v>
      </x:c>
      <x:c r="G10" s="187" t="str">
        <x:v>Transfer lineage</x:v>
      </x:c>
      <x:c r="H10" s="187" t="str"/>
      <x:c r="I10" s="187" t="str"/>
      <x:c r="J10" s="187" t="str"/>
      <x:c r="K10" s="187" t="str"/>
      <x:c r="L10" s="187" t="str"/>
      <x:c r="M10" s="187" t="str"/>
      <x:c r="N10" s="187" t="str"/>
    </x:row>
    <x:row r="11" ht="52" customHeight="1">
      <x:c r="A11" s="187" t="str">
        <x:v>3 Coupling</x:v>
      </x:c>
      <x:c r="B11" s="187" t="str">
        <x:v>—</x:v>
      </x:c>
      <x:c r="C11" s="187" t="n">
        <x:v>0</x:v>
      </x:c>
      <x:c r="D11" s="187" t="str">
        <x:v>Stage-1 IDs and exact outputs</x:v>
      </x:c>
      <x:c r="E11" s="187" t="str">
        <x:v>No target-value substitution</x:v>
      </x:c>
      <x:c r="F11" s="187" t="str">
        <x:v>Create Stage-2 inputs</x:v>
      </x:c>
      <x:c r="G11" s="187" t="str">
        <x:v>Run Stage 2</x:v>
      </x:c>
      <x:c r="H11" s="187" t="str"/>
      <x:c r="I11" s="187" t="str"/>
      <x:c r="J11" s="187" t="str"/>
      <x:c r="K11" s="187" t="str"/>
      <x:c r="L11" s="187" t="str"/>
      <x:c r="M11" s="187" t="str"/>
      <x:c r="N11" s="187" t="str"/>
    </x:row>
    <x:row r="12" ht="52" customHeight="1">
      <x:c r="A12" s="187" t="str">
        <x:v>4 Stage 2</x:v>
      </x:c>
      <x:c r="B12" s="187" t="str">
        <x:v>equilibrate_feed</x:v>
      </x:c>
      <x:c r="C12" s="187" t="n">
        <x:v>8</x:v>
      </x:c>
      <x:c r="D12" s="187" t="str">
        <x:v>Inherited recovery/configuration</x:v>
      </x:c>
      <x:c r="E12" s="187" t="str">
        <x:v>Evaluate all second-stage constraints</x:v>
      </x:c>
      <x:c r="F12" s="187" t="str">
        <x:v>Lock final feasible set</x:v>
      </x:c>
      <x:c r="G12" s="187" t="str">
        <x:v>Check adjacent failures</x:v>
      </x:c>
      <x:c r="H12" s="187" t="str"/>
      <x:c r="I12" s="187" t="str"/>
      <x:c r="J12" s="187" t="str"/>
      <x:c r="K12" s="187" t="str"/>
      <x:c r="L12" s="187" t="str"/>
      <x:c r="M12" s="187" t="str"/>
      <x:c r="N12" s="187" t="str"/>
    </x:row>
    <x:row r="13" ht="52" customHeight="1">
      <x:c r="A13" s="187" t="str">
        <x:v>5 Stop</x:v>
      </x:c>
      <x:c r="B13" s="187" t="str">
        <x:v>—</x:v>
      </x:c>
      <x:c r="C13" s="187" t="n">
        <x:v>0</x:v>
      </x:c>
      <x:c r="D13" s="187" t="str">
        <x:v>Winner plus failure evidence</x:v>
      </x:c>
      <x:c r="E13" s="187" t="str">
        <x:v>No unresolved boundary</x:v>
      </x:c>
      <x:c r="F13" s="187" t="str">
        <x:v>Report recommendation and limits</x:v>
      </x:c>
      <x:c r="G13" s="187" t="str">
        <x:v>Stop</x:v>
      </x:c>
      <x:c r="H13" s="187" t="str"/>
      <x:c r="I13" s="187" t="str"/>
      <x:c r="J13" s="187" t="str"/>
      <x:c r="K13" s="187" t="str"/>
      <x:c r="L13" s="187" t="str"/>
      <x:c r="M13" s="187" t="str"/>
      <x:c r="N13" s="187" t="str"/>
    </x:row>
    <x:row r="14">
      <x:c r="A14" s="1"/>
      <x:c r="B14" s="1"/>
      <x:c r="C14" s="1"/>
      <x:c r="D14" s="1"/>
      <x:c r="E14" s="1"/>
      <x:c r="F14" s="1"/>
      <x:c r="G14" s="1"/>
      <x:c r="H14" s="1"/>
      <x:c r="I14" s="1"/>
      <x:c r="J14" s="1"/>
      <x:c r="K14" s="1"/>
      <x:c r="L14" s="1"/>
      <x:c r="M14" s="1"/>
      <x:c r="N14" s="1"/>
    </x:row>
    <x:row r="15">
      <x:c r="A15" s="1"/>
      <x:c r="B15" s="1"/>
      <x:c r="C15" s="1"/>
      <x:c r="D15" s="1"/>
      <x:c r="E15" s="1"/>
      <x:c r="F15" s="1"/>
      <x:c r="G15" s="1"/>
      <x:c r="H15" s="1"/>
      <x:c r="I15" s="1"/>
      <x:c r="J15" s="1"/>
      <x:c r="K15" s="1"/>
      <x:c r="L15" s="1"/>
      <x:c r="M15" s="1"/>
      <x:c r="N15" s="1"/>
    </x:row>
    <x:row r="16">
      <x:c r="A16" s="37" t="str">
        <x:v>Serial trajectory audit</x:v>
      </x:c>
      <x:c r="B16" s="37" t="str">
        <x:v>Serial trajectory audit</x:v>
      </x:c>
      <x:c r="C16" s="37" t="str">
        <x:v>Serial trajectory audit</x:v>
      </x:c>
      <x:c r="D16" s="37" t="str">
        <x:v>Serial trajectory audit</x:v>
      </x:c>
      <x:c r="E16" s="37" t="str">
        <x:v>Serial trajectory audit</x:v>
      </x:c>
      <x:c r="F16" s="37" t="str">
        <x:v>Serial trajectory audit</x:v>
      </x:c>
      <x:c r="G16" s="37" t="str">
        <x:v>Serial trajectory audit</x:v>
      </x:c>
      <x:c r="H16" s="37" t="str">
        <x:v>Serial trajectory audit</x:v>
      </x:c>
      <x:c r="I16" s="37" t="str">
        <x:v>Serial trajectory audit</x:v>
      </x:c>
      <x:c r="J16" s="37" t="str">
        <x:v>Serial trajectory audit</x:v>
      </x:c>
      <x:c r="K16" s="37" t="str">
        <x:v>Serial trajectory audit</x:v>
      </x:c>
      <x:c r="L16" s="37" t="str">
        <x:v>Serial trajectory audit</x:v>
      </x:c>
      <x:c r="M16" s="37" t="str">
        <x:v>Serial trajectory audit</x:v>
      </x:c>
      <x:c r="N16" s="37" t="str">
        <x:v>Serial trajectory audit</x:v>
      </x:c>
    </x:row>
    <x:row r="17">
      <x:c r="A17" s="84"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7" s="85"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7" s="86"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8">
      <x:c r="A18"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8"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8"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19">
      <x:c r="A19" s="87"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19" s="88"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19" s="89"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0">
      <x:c r="A20" s="90"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B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C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D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E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F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G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H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I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J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K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L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M20" s="91"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c r="N20" s="92" t="str">
        <x:v>Critical audit rule: Stage 2 must use the exact Stage-1 recovery or surviving configuration associated with the same candidate ID. Re-running Stage 2 with a rounded target recovery, a different membrane, or a different ERD breaks the trajectory even if the final recommendation happens to match.</x:v>
      </x:c>
    </x:row>
    <x:row r="21">
      <x:c r="A21" s="1"/>
      <x:c r="B21" s="1"/>
      <x:c r="C21" s="1"/>
      <x:c r="D21" s="1"/>
      <x:c r="E21" s="1"/>
      <x:c r="F21" s="1"/>
      <x:c r="G21" s="1"/>
      <x:c r="H21" s="1"/>
      <x:c r="I21" s="1"/>
      <x:c r="J21" s="1"/>
      <x:c r="K21" s="1"/>
      <x:c r="L21" s="1"/>
      <x:c r="M21" s="1"/>
      <x:c r="N21" s="1"/>
    </x:row>
    <x:row r="22">
      <x:c r="A22" s="1"/>
      <x:c r="B22" s="1"/>
      <x:c r="C22" s="1"/>
      <x:c r="D22" s="1"/>
      <x:c r="E22" s="1"/>
      <x:c r="F22" s="1"/>
      <x:c r="G22" s="1"/>
      <x:c r="H22" s="1"/>
      <x:c r="I22" s="1"/>
      <x:c r="J22" s="1"/>
      <x:c r="K22" s="1"/>
      <x:c r="L22" s="1"/>
      <x:c r="M22" s="1"/>
      <x:c r="N22" s="1"/>
    </x:row>
    <x:row r="23">
      <x:c r="A23" s="1"/>
      <x:c r="B23" s="1"/>
      <x:c r="C23" s="1"/>
      <x:c r="D23" s="1"/>
      <x:c r="E23" s="1"/>
      <x:c r="F23" s="1"/>
      <x:c r="G23" s="1"/>
      <x:c r="H23" s="1"/>
      <x:c r="I23" s="1"/>
      <x:c r="J23" s="1"/>
      <x:c r="K23" s="1"/>
      <x:c r="L23" s="1"/>
      <x:c r="M23" s="1"/>
      <x:c r="N23" s="1"/>
    </x:row>
    <x:row r="24">
      <x:c r="A24" s="1"/>
      <x:c r="B24" s="1"/>
      <x:c r="C24" s="1"/>
      <x:c r="D24" s="1"/>
      <x:c r="E24" s="1"/>
      <x:c r="F24" s="1"/>
      <x:c r="G24" s="1"/>
      <x:c r="H24" s="1"/>
      <x:c r="I24" s="1"/>
      <x:c r="J24" s="1"/>
      <x:c r="K24" s="1"/>
      <x:c r="L24" s="1"/>
      <x:c r="M24" s="1"/>
      <x:c r="N24" s="1"/>
    </x:row>
    <x:row r="25">
      <x:c r="A25" s="1"/>
      <x:c r="B25" s="1"/>
      <x:c r="C25" s="1"/>
      <x:c r="D25" s="1"/>
      <x:c r="E25" s="1"/>
      <x:c r="F25" s="1"/>
      <x:c r="G25" s="1"/>
      <x:c r="H25" s="1"/>
      <x:c r="I25" s="1"/>
      <x:c r="J25" s="1"/>
      <x:c r="K25" s="1"/>
      <x:c r="L25" s="1"/>
      <x:c r="M25" s="1"/>
      <x:c r="N25" s="1"/>
    </x:row>
    <x:row r="26">
      <x:c r="A26" s="1"/>
      <x:c r="B26" s="1"/>
      <x:c r="C26" s="1"/>
      <x:c r="D26" s="1"/>
      <x:c r="E26" s="1"/>
      <x:c r="F26" s="1"/>
      <x:c r="G26" s="1"/>
      <x:c r="H26" s="1"/>
      <x:c r="I26" s="1"/>
      <x:c r="J26" s="1"/>
      <x:c r="K26" s="1"/>
      <x:c r="L26" s="1"/>
      <x:c r="M26" s="1"/>
      <x:c r="N26" s="1"/>
    </x:row>
    <x:row r="27">
      <x:c r="A27" s="1"/>
      <x:c r="B27" s="1"/>
      <x:c r="C27" s="1"/>
      <x:c r="D27" s="1"/>
      <x:c r="E27" s="1"/>
      <x:c r="F27" s="1"/>
      <x:c r="G27" s="1"/>
      <x:c r="H27" s="1"/>
      <x:c r="I27" s="1"/>
      <x:c r="J27" s="1"/>
      <x:c r="K27" s="1"/>
      <x:c r="L27" s="1"/>
      <x:c r="M27" s="1"/>
      <x:c r="N27" s="1"/>
    </x:row>
    <x:row r="28">
      <x:c r="A28" s="1"/>
      <x:c r="B28" s="1"/>
      <x:c r="C28" s="1"/>
      <x:c r="D28" s="1"/>
      <x:c r="E28" s="1"/>
      <x:c r="F28" s="1"/>
      <x:c r="G28" s="1"/>
      <x:c r="H28" s="1"/>
      <x:c r="I28" s="1"/>
      <x:c r="J28" s="1"/>
      <x:c r="K28" s="1"/>
      <x:c r="L28" s="1"/>
      <x:c r="M28" s="1"/>
      <x:c r="N28" s="1"/>
    </x:row>
    <x:row r="29">
      <x:c r="A29" s="1"/>
      <x:c r="B29" s="1"/>
      <x:c r="C29" s="1"/>
      <x:c r="D29" s="1"/>
      <x:c r="E29" s="1"/>
      <x:c r="F29" s="1"/>
      <x:c r="G29" s="1"/>
      <x:c r="H29" s="1"/>
      <x:c r="I29" s="1"/>
      <x:c r="J29" s="1"/>
      <x:c r="K29" s="1"/>
      <x:c r="L29" s="1"/>
      <x:c r="M29" s="1"/>
      <x:c r="N29" s="1"/>
    </x:row>
    <x:row r="30">
      <x:c r="A30" s="1"/>
      <x:c r="B30" s="1"/>
      <x:c r="C30" s="1"/>
      <x:c r="D30" s="1"/>
      <x:c r="E30" s="1"/>
      <x:c r="F30" s="1"/>
      <x:c r="G30" s="1"/>
      <x:c r="H30" s="1"/>
      <x:c r="I30" s="1"/>
      <x:c r="J30" s="1"/>
      <x:c r="K30" s="1"/>
      <x:c r="L30" s="1"/>
      <x:c r="M30" s="1"/>
      <x:c r="N30" s="1"/>
    </x:row>
    <x:row r="31">
      <x:c r="A31" s="1"/>
      <x:c r="B31" s="1"/>
      <x:c r="C31" s="1"/>
      <x:c r="D31" s="1"/>
      <x:c r="E31" s="1"/>
      <x:c r="F31" s="1"/>
      <x:c r="G31" s="1"/>
      <x:c r="H31" s="1"/>
      <x:c r="I31" s="1"/>
      <x:c r="J31" s="1"/>
      <x:c r="K31" s="1"/>
      <x:c r="L31" s="1"/>
      <x:c r="M31" s="1"/>
      <x:c r="N31" s="1"/>
    </x:row>
    <x:row r="32">
      <x:c r="A32" s="1"/>
      <x:c r="B32" s="1"/>
      <x:c r="C32" s="1"/>
      <x:c r="D32" s="1"/>
      <x:c r="E32" s="1"/>
      <x:c r="F32" s="1"/>
      <x:c r="G32" s="1"/>
      <x:c r="H32" s="1"/>
      <x:c r="I32" s="1"/>
      <x:c r="J32" s="1"/>
      <x:c r="K32" s="1"/>
      <x:c r="L32" s="1"/>
      <x:c r="M32" s="1"/>
      <x:c r="N32" s="1"/>
    </x:row>
    <x:row r="33">
      <x:c r="A33" s="1"/>
      <x:c r="B33" s="1"/>
      <x:c r="C33" s="1"/>
      <x:c r="D33" s="1"/>
      <x:c r="E33" s="1"/>
      <x:c r="F33" s="1"/>
      <x:c r="G33" s="1"/>
      <x:c r="H33" s="1"/>
      <x:c r="I33" s="1"/>
      <x:c r="J33" s="1"/>
      <x:c r="K33" s="1"/>
      <x:c r="L33" s="1"/>
      <x:c r="M33" s="1"/>
      <x:c r="N33" s="1"/>
    </x:row>
    <x:row r="34">
      <x:c r="A34" s="1"/>
      <x:c r="B34" s="1"/>
      <x:c r="C34" s="1"/>
      <x:c r="D34" s="1"/>
      <x:c r="E34" s="1"/>
      <x:c r="F34" s="1"/>
      <x:c r="G34" s="1"/>
      <x:c r="H34" s="1"/>
      <x:c r="I34" s="1"/>
      <x:c r="J34" s="1"/>
      <x:c r="K34" s="1"/>
      <x:c r="L34" s="1"/>
      <x:c r="M34" s="1"/>
      <x:c r="N34" s="1"/>
    </x:row>
    <x:row r="35">
      <x:c r="A35" s="1"/>
      <x:c r="B35" s="1"/>
      <x:c r="C35" s="1"/>
      <x:c r="D35" s="1"/>
      <x:c r="E35" s="1"/>
      <x:c r="F35" s="1"/>
      <x:c r="G35" s="1"/>
      <x:c r="H35" s="1"/>
      <x:c r="I35" s="1"/>
      <x:c r="J35" s="1"/>
      <x:c r="K35" s="1"/>
      <x:c r="L35" s="1"/>
      <x:c r="M35" s="1"/>
      <x:c r="N35" s="1"/>
    </x:row>
    <x:row r="36">
      <x:c r="A36" s="1"/>
      <x:c r="B36" s="1"/>
      <x:c r="C36" s="1"/>
      <x:c r="D36" s="1"/>
      <x:c r="E36" s="1"/>
      <x:c r="F36" s="1"/>
      <x:c r="G36" s="1"/>
      <x:c r="H36" s="1"/>
      <x:c r="I36" s="1"/>
      <x:c r="J36" s="1"/>
      <x:c r="K36" s="1"/>
      <x:c r="L36" s="1"/>
      <x:c r="M36" s="1"/>
      <x:c r="N36" s="1"/>
    </x:row>
    <x:row r="37">
      <x:c r="A37" s="1"/>
      <x:c r="B37" s="1"/>
      <x:c r="C37" s="1"/>
      <x:c r="D37" s="1"/>
      <x:c r="E37" s="1"/>
      <x:c r="F37" s="1"/>
      <x:c r="G37" s="1"/>
      <x:c r="H37" s="1"/>
      <x:c r="I37" s="1"/>
      <x:c r="J37" s="1"/>
      <x:c r="K37" s="1"/>
      <x:c r="L37" s="1"/>
      <x:c r="M37" s="1"/>
      <x:c r="N37" s="1"/>
    </x:row>
    <x:row r="38">
      <x:c r="A38" s="1"/>
      <x:c r="B38" s="1"/>
      <x:c r="C38" s="1"/>
      <x:c r="D38" s="1"/>
      <x:c r="E38" s="1"/>
      <x:c r="F38" s="1"/>
      <x:c r="G38" s="1"/>
      <x:c r="H38" s="1"/>
      <x:c r="I38" s="1"/>
      <x:c r="J38" s="1"/>
      <x:c r="K38" s="1"/>
      <x:c r="L38" s="1"/>
      <x:c r="M38" s="1"/>
      <x:c r="N38" s="1"/>
    </x:row>
    <x:row r="39">
      <x:c r="A39" s="1"/>
      <x:c r="B39" s="1"/>
      <x:c r="C39" s="1"/>
      <x:c r="D39" s="1"/>
      <x:c r="E39" s="1"/>
      <x:c r="F39" s="1"/>
      <x:c r="G39" s="1"/>
      <x:c r="H39" s="1"/>
      <x:c r="I39" s="1"/>
      <x:c r="J39" s="1"/>
      <x:c r="K39" s="1"/>
      <x:c r="L39" s="1"/>
      <x:c r="M39" s="1"/>
      <x:c r="N39" s="1"/>
    </x:row>
    <x:row r="40">
      <x:c r="A40" s="1"/>
      <x:c r="B40" s="1"/>
      <x:c r="C40" s="1"/>
      <x:c r="D40" s="1"/>
      <x:c r="E40" s="1"/>
      <x:c r="F40" s="1"/>
      <x:c r="G40" s="1"/>
      <x:c r="H40" s="1"/>
      <x:c r="I40" s="1"/>
      <x:c r="J40" s="1"/>
      <x:c r="K40" s="1"/>
      <x:c r="L40" s="1"/>
      <x:c r="M40" s="1"/>
      <x:c r="N40" s="1"/>
    </x:row>
    <x:row r="41">
      <x:c r="A41" s="1"/>
      <x:c r="B41" s="1"/>
      <x:c r="C41" s="1"/>
      <x:c r="D41" s="1"/>
      <x:c r="E41" s="1"/>
      <x:c r="F41" s="1"/>
      <x:c r="G41" s="1"/>
      <x:c r="H41" s="1"/>
      <x:c r="I41" s="1"/>
      <x:c r="J41" s="1"/>
      <x:c r="K41" s="1"/>
      <x:c r="L41" s="1"/>
      <x:c r="M41" s="1"/>
      <x:c r="N41" s="1"/>
    </x:row>
    <x:row r="42">
      <x:c r="A42" s="1"/>
      <x:c r="B42" s="1"/>
      <x:c r="C42" s="1"/>
      <x:c r="D42" s="1"/>
      <x:c r="E42" s="1"/>
      <x:c r="F42" s="1"/>
      <x:c r="G42" s="1"/>
      <x:c r="H42" s="1"/>
      <x:c r="I42" s="1"/>
      <x:c r="J42" s="1"/>
      <x:c r="K42" s="1"/>
      <x:c r="L42" s="1"/>
      <x:c r="M42" s="1"/>
      <x:c r="N42" s="1"/>
    </x:row>
    <x:row r="43">
      <x:c r="A43" s="1"/>
      <x:c r="B43" s="1"/>
      <x:c r="C43" s="1"/>
      <x:c r="D43" s="1"/>
      <x:c r="E43" s="1"/>
      <x:c r="F43" s="1"/>
      <x:c r="G43" s="1"/>
      <x:c r="H43" s="1"/>
      <x:c r="I43" s="1"/>
      <x:c r="J43" s="1"/>
      <x:c r="K43" s="1"/>
      <x:c r="L43" s="1"/>
      <x:c r="M43" s="1"/>
      <x:c r="N43" s="1"/>
    </x:row>
    <x:row r="44">
      <x:c r="A44" s="1"/>
      <x:c r="B44" s="1"/>
      <x:c r="C44" s="1"/>
      <x:c r="D44" s="1"/>
      <x:c r="E44" s="1"/>
      <x:c r="F44" s="1"/>
      <x:c r="G44" s="1"/>
      <x:c r="H44" s="1"/>
      <x:c r="I44" s="1"/>
      <x:c r="J44" s="1"/>
      <x:c r="K44" s="1"/>
      <x:c r="L44" s="1"/>
      <x:c r="M44" s="1"/>
      <x:c r="N44" s="1"/>
    </x:row>
    <x:row r="45">
      <x:c r="A45" s="1"/>
      <x:c r="B45" s="1"/>
      <x:c r="C45" s="1"/>
      <x:c r="D45" s="1"/>
      <x:c r="E45" s="1"/>
      <x:c r="F45" s="1"/>
      <x:c r="G45" s="1"/>
      <x:c r="H45" s="1"/>
      <x:c r="I45" s="1"/>
      <x:c r="J45" s="1"/>
      <x:c r="K45" s="1"/>
      <x:c r="L45" s="1"/>
      <x:c r="M45" s="1"/>
      <x:c r="N45" s="1"/>
    </x:row>
    <x:row r="46">
      <x:c r="A46" s="1"/>
      <x:c r="B46" s="1"/>
      <x:c r="C46" s="1"/>
      <x:c r="D46" s="1"/>
      <x:c r="E46" s="1"/>
      <x:c r="F46" s="1"/>
      <x:c r="G46" s="1"/>
      <x:c r="H46" s="1"/>
      <x:c r="I46" s="1"/>
      <x:c r="J46" s="1"/>
      <x:c r="K46" s="1"/>
      <x:c r="L46" s="1"/>
      <x:c r="M46" s="1"/>
      <x:c r="N46" s="1"/>
    </x:row>
    <x:row r="47">
      <x:c r="A47" s="1"/>
      <x:c r="B47" s="1"/>
      <x:c r="C47" s="1"/>
      <x:c r="D47" s="1"/>
      <x:c r="E47" s="1"/>
      <x:c r="F47" s="1"/>
      <x:c r="G47" s="1"/>
      <x:c r="H47" s="1"/>
      <x:c r="I47" s="1"/>
      <x:c r="J47" s="1"/>
      <x:c r="K47" s="1"/>
      <x:c r="L47" s="1"/>
      <x:c r="M47" s="1"/>
      <x:c r="N47" s="1"/>
    </x:row>
    <x:row r="48">
      <x:c r="A48" s="1"/>
      <x:c r="B48" s="1"/>
      <x:c r="C48" s="1"/>
      <x:c r="D48" s="1"/>
      <x:c r="E48" s="1"/>
      <x:c r="F48" s="1"/>
      <x:c r="G48" s="1"/>
      <x:c r="H48" s="1"/>
      <x:c r="I48" s="1"/>
      <x:c r="J48" s="1"/>
      <x:c r="K48" s="1"/>
      <x:c r="L48" s="1"/>
      <x:c r="M48" s="1"/>
      <x:c r="N48" s="1"/>
    </x:row>
    <x:row r="49">
      <x:c r="A49" s="1"/>
      <x:c r="B49" s="1"/>
      <x:c r="C49" s="1"/>
      <x:c r="D49" s="1"/>
      <x:c r="E49" s="1"/>
      <x:c r="F49" s="1"/>
      <x:c r="G49" s="1"/>
      <x:c r="H49" s="1"/>
      <x:c r="I49" s="1"/>
      <x:c r="J49" s="1"/>
      <x:c r="K49" s="1"/>
      <x:c r="L49" s="1"/>
      <x:c r="M49" s="1"/>
      <x:c r="N49" s="1"/>
    </x:row>
    <x:row r="50">
      <x:c r="A50" s="1"/>
      <x:c r="B50" s="1"/>
      <x:c r="C50" s="1"/>
      <x:c r="D50" s="1"/>
      <x:c r="E50" s="1"/>
      <x:c r="F50" s="1"/>
      <x:c r="G50" s="1"/>
      <x:c r="H50" s="1"/>
      <x:c r="I50" s="1"/>
      <x:c r="J50" s="1"/>
      <x:c r="K50" s="1"/>
      <x:c r="L50" s="1"/>
      <x:c r="M50" s="1"/>
      <x:c r="N50" s="1"/>
    </x:row>
    <x:row r="51">
      <x:c r="A51" s="1"/>
      <x:c r="B51" s="1"/>
      <x:c r="C51" s="1"/>
      <x:c r="D51" s="1"/>
      <x:c r="E51" s="1"/>
      <x:c r="F51" s="1"/>
      <x:c r="G51" s="1"/>
      <x:c r="H51" s="1"/>
      <x:c r="I51" s="1"/>
      <x:c r="J51" s="1"/>
      <x:c r="K51" s="1"/>
      <x:c r="L51" s="1"/>
      <x:c r="M51" s="1"/>
      <x:c r="N51" s="1"/>
    </x:row>
    <x:row r="52">
      <x:c r="A52" s="1"/>
      <x:c r="B52" s="1"/>
      <x:c r="C52" s="1"/>
      <x:c r="D52" s="1"/>
      <x:c r="E52" s="1"/>
      <x:c r="F52" s="1"/>
      <x:c r="G52" s="1"/>
      <x:c r="H52" s="1"/>
      <x:c r="I52" s="1"/>
      <x:c r="J52" s="1"/>
      <x:c r="K52" s="1"/>
      <x:c r="L52" s="1"/>
      <x:c r="M52" s="1"/>
      <x:c r="N52" s="1"/>
    </x:row>
    <x:row r="53">
      <x:c r="A53" s="1"/>
      <x:c r="B53" s="1"/>
      <x:c r="C53" s="1"/>
      <x:c r="D53" s="1"/>
      <x:c r="E53" s="1"/>
      <x:c r="F53" s="1"/>
      <x:c r="G53" s="1"/>
      <x:c r="H53" s="1"/>
      <x:c r="I53" s="1"/>
      <x:c r="J53" s="1"/>
      <x:c r="K53" s="1"/>
      <x:c r="L53" s="1"/>
      <x:c r="M53" s="1"/>
      <x:c r="N53" s="1"/>
    </x:row>
    <x:row r="54">
      <x:c r="A54" s="1"/>
      <x:c r="B54" s="1"/>
      <x:c r="C54" s="1"/>
      <x:c r="D54" s="1"/>
      <x:c r="E54" s="1"/>
      <x:c r="F54" s="1"/>
      <x:c r="G54" s="1"/>
      <x:c r="H54" s="1"/>
      <x:c r="I54" s="1"/>
      <x:c r="J54" s="1"/>
      <x:c r="K54" s="1"/>
      <x:c r="L54" s="1"/>
      <x:c r="M54" s="1"/>
      <x:c r="N54" s="1"/>
    </x:row>
    <x:row r="55">
      <x:c r="A55" s="1"/>
      <x:c r="B55" s="1"/>
      <x:c r="C55" s="1"/>
      <x:c r="D55" s="1"/>
      <x:c r="E55" s="1"/>
      <x:c r="F55" s="1"/>
      <x:c r="G55" s="1"/>
      <x:c r="H55" s="1"/>
      <x:c r="I55" s="1"/>
      <x:c r="J55" s="1"/>
      <x:c r="K55" s="1"/>
      <x:c r="L55" s="1"/>
      <x:c r="M55" s="1"/>
      <x:c r="N55" s="1"/>
    </x:row>
    <x:row r="56">
      <x:c r="A56" s="1"/>
      <x:c r="B56" s="1"/>
      <x:c r="C56" s="1"/>
      <x:c r="D56" s="1"/>
      <x:c r="E56" s="1"/>
      <x:c r="F56" s="1"/>
      <x:c r="G56" s="1"/>
      <x:c r="H56" s="1"/>
      <x:c r="I56" s="1"/>
      <x:c r="J56" s="1"/>
      <x:c r="K56" s="1"/>
      <x:c r="L56" s="1"/>
      <x:c r="M56" s="1"/>
      <x:c r="N56" s="1"/>
    </x:row>
    <x:row r="57">
      <x:c r="A57" s="1"/>
      <x:c r="B57" s="1"/>
      <x:c r="C57" s="1"/>
      <x:c r="D57" s="1"/>
      <x:c r="E57" s="1"/>
      <x:c r="F57" s="1"/>
      <x:c r="G57" s="1"/>
      <x:c r="H57" s="1"/>
      <x:c r="I57" s="1"/>
      <x:c r="J57" s="1"/>
      <x:c r="K57" s="1"/>
      <x:c r="L57" s="1"/>
      <x:c r="M57" s="1"/>
      <x:c r="N57" s="1"/>
    </x:row>
    <x:row r="58">
      <x:c r="A58" s="1"/>
      <x:c r="B58" s="1"/>
      <x:c r="C58" s="1"/>
      <x:c r="D58" s="1"/>
      <x:c r="E58" s="1"/>
      <x:c r="F58" s="1"/>
      <x:c r="G58" s="1"/>
      <x:c r="H58" s="1"/>
      <x:c r="I58" s="1"/>
      <x:c r="J58" s="1"/>
      <x:c r="K58" s="1"/>
      <x:c r="L58" s="1"/>
      <x:c r="M58" s="1"/>
      <x:c r="N58" s="1"/>
    </x:row>
    <x:row r="59">
      <x:c r="A59" s="1"/>
      <x:c r="B59" s="1"/>
      <x:c r="C59" s="1"/>
      <x:c r="D59" s="1"/>
      <x:c r="E59" s="1"/>
      <x:c r="F59" s="1"/>
      <x:c r="G59" s="1"/>
      <x:c r="H59" s="1"/>
      <x:c r="I59" s="1"/>
      <x:c r="J59" s="1"/>
      <x:c r="K59" s="1"/>
      <x:c r="L59" s="1"/>
      <x:c r="M59" s="1"/>
      <x:c r="N59" s="1"/>
    </x:row>
    <x:row r="60">
      <x:c r="A60" s="1"/>
      <x:c r="B60" s="1"/>
      <x:c r="C60" s="1"/>
      <x:c r="D60" s="1"/>
      <x:c r="E60" s="1"/>
      <x:c r="F60" s="1"/>
      <x:c r="G60" s="1"/>
      <x:c r="H60" s="1"/>
      <x:c r="I60" s="1"/>
      <x:c r="J60" s="1"/>
      <x:c r="K60" s="1"/>
      <x:c r="L60" s="1"/>
      <x:c r="M60" s="1"/>
      <x:c r="N60" s="1"/>
    </x:row>
  </x:sheetData>
  <x:mergeCells>
    <x:mergeCell ref="A1:N2"/>
    <x:mergeCell ref="A4:N6"/>
    <x:mergeCell ref="H8:N8"/>
    <x:mergeCell ref="H9:N9"/>
    <x:mergeCell ref="H10:N10"/>
    <x:mergeCell ref="H11:N11"/>
    <x:mergeCell ref="H12:N12"/>
    <x:mergeCell ref="H13:N13"/>
    <x:mergeCell ref="A16:N16"/>
    <x:mergeCell ref="A17:N20"/>
  </x:mergeCells>
  <x:pageMargins left="0.7" right="0.7" top="0.75" bottom="0.75" header="0.3" footer="0.3"/>
</x:worksheet>
</file>