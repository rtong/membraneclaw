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8d5f4fc2174ab0" /></Relationships>
</file>

<file path=xl/workbook.xml><?xml version="1.0" encoding="utf-8"?>
<x:workbook xmlns:x="http://schemas.openxmlformats.org/spreadsheetml/2006/main">
  <x:sheets>
    <x:sheet xmlns:r="http://schemas.openxmlformats.org/officeDocument/2006/relationships" name="Question_Q" sheetId="1" r:id="R9ed8d745880a4b23"/>
    <x:sheet xmlns:r="http://schemas.openxmlformats.org/officeDocument/2006/relationships" name="Gold_Answer_A" sheetId="2" r:id="R4ba5974955d245f9"/>
    <x:sheet xmlns:r="http://schemas.openxmlformats.org/officeDocument/2006/relationships" name="Trajectory_Rubric" sheetId="3" r:id="R78204bd157e14a03"/>
    <x:sheet xmlns:r="http://schemas.openxmlformats.org/officeDocument/2006/relationships" name="Tool_Efficiency" sheetId="4" r:id="R56a113ee1b8645a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00E+00"/>
    <x:numFmt numFmtId="202" formatCode="0.0%"/>
    <x:numFmt numFmtId="203" formatCode="0.000"/>
  </x:numFmts>
  <x:fonts count="10">
    <x:font>
      <x:sz val="11"/>
      <x:name val="Carlito"/>
    </x:font>
    <x:font>
      <x:sz val="9"/>
      <x:color rgb="FF1F2937"/>
      <x:name val="Aptos"/>
    </x:font>
    <x:font>
      <x:b/>
      <x:sz val="18"/>
      <x:color rgb="FFFFFFFF"/>
      <x:name val="Aptos"/>
    </x:font>
    <x:font>
      <x:i/>
      <x:sz val="10"/>
      <x:color rgb="FF1F2937"/>
      <x:name val="Aptos"/>
    </x:font>
    <x:font>
      <x:b/>
      <x:sz val="11"/>
      <x:color rgb="FFFFFFFF"/>
      <x:name val="Aptos"/>
    </x:font>
    <x:font>
      <x:sz val="10"/>
      <x:color rgb="FF1F2937"/>
      <x:name val="Aptos"/>
    </x:font>
    <x:font>
      <x:b/>
      <x:sz val="9"/>
      <x:color rgb="FFFFFFFF"/>
      <x:name val="Aptos"/>
    </x:font>
    <x:font>
      <x:b/>
      <x:sz val="10"/>
      <x:color rgb="FF1F2937"/>
      <x:name val="Aptos"/>
    </x:font>
    <x:font>
      <x:b/>
      <x:sz val="9"/>
      <x:color rgb="FF16324F"/>
      <x:name val="Aptos"/>
    </x:font>
    <x:font>
      <x:b/>
      <x:sz val="9"/>
      <x:color rgb="FF1F2937"/>
      <x:name val="Aptos"/>
    </x:font>
  </x:fonts>
  <x:fills count="11">
    <x:fill>
      <x:patternFill patternType="none"/>
    </x:fill>
    <x:fill>
      <x:patternFill patternType="gray125"/>
    </x:fill>
    <x:fill>
      <x:patternFill patternType="solid">
        <x:fgColor rgb="FF16324F"/>
      </x:patternFill>
    </x:fill>
    <x:fill>
      <x:patternFill patternType="solid">
        <x:fgColor rgb="FFDCEAF7"/>
      </x:patternFill>
    </x:fill>
    <x:fill>
      <x:patternFill patternType="solid">
        <x:fgColor rgb="FF087E8B"/>
      </x:patternFill>
    </x:fill>
    <x:fill>
      <x:patternFill patternType="solid">
        <x:fgColor rgb="FFF5F8FB"/>
      </x:patternFill>
    </x:fill>
    <x:fill>
      <x:patternFill patternType="solid">
        <x:fgColor rgb="FFFFFFFF"/>
      </x:patternFill>
    </x:fill>
    <x:fill>
      <x:patternFill patternType="solid">
        <x:fgColor rgb="FFDDF3EC"/>
      </x:patternFill>
    </x:fill>
    <x:fill>
      <x:patternFill patternType="solid">
        <x:fgColor rgb="FFF4C95D"/>
      </x:patternFill>
    </x:fill>
    <x:fill>
      <x:patternFill patternType="solid">
        <x:fgColor rgb="FFD9F2E6"/>
      </x:patternFill>
    </x:fill>
    <x:fill>
      <x:patternFill patternType="solid">
        <x:fgColor rgb="FFFDE2E1"/>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5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left" wrapText="1"/>
    </x:xf>
    <x:xf numFmtId="0" fontId="2" fillId="2" borderId="0" xfId="0" applyNumberFormat="1" applyFont="1" applyFill="1" applyBorder="1" applyAlignment="1">
      <x:alignment horizontal="left" vertical="center" wrapText="1"/>
    </x:xf>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2" fillId="2" borderId="1" xfId="0" applyNumberFormat="1" applyFont="1" applyFill="1" applyBorder="1" applyAlignment="1">
      <x:alignment horizontal="left" vertical="center" wrapText="1"/>
    </x:xf>
    <x:xf numFmtId="0" fontId="3" fillId="3" borderId="1" xfId="0" applyNumberFormat="1" applyFont="1" applyFill="1" applyBorder="1" applyAlignment="1">
      <x:alignment vertical="center"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1" fillId="5" borderId="0"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top" wrapText="1"/>
    </x:xf>
    <x:xf numFmtId="0" fontId="6" fillId="2" borderId="0" xfId="0" applyNumberFormat="1" applyFont="1" applyFill="1" applyBorder="1"/>
    <x:xf numFmtId="0" fontId="6" fillId="2" borderId="1" xfId="0" applyNumberFormat="1" applyFont="1" applyFill="1" applyBorder="1"/>
    <x:xf numFmtId="0" fontId="6" fillId="2" borderId="1" xfId="0" applyNumberFormat="1" applyFont="1" applyFill="1" applyBorder="1" applyAlignment="1">
      <x:alignment wrapText="1"/>
    </x:xf>
    <x:xf numFmtId="0" fontId="6" fillId="2" borderId="1" xfId="0" applyNumberFormat="1" applyFont="1" applyFill="1" applyBorder="1" applyAlignment="1">
      <x:alignment horizontal="center" wrapText="1"/>
    </x:xf>
    <x:xf numFmtId="0" fontId="6" fillId="2" borderId="1" xfId="0" applyNumberFormat="1" applyFont="1" applyFill="1" applyBorder="1" applyAlignment="1">
      <x:alignment horizontal="center" vertical="center" wrapText="1"/>
    </x:xf>
    <x:xf numFmtId="0" fontId="1" fillId="6" borderId="0"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wrapText="1"/>
    </x:xf>
    <x:xf numFmtId="0" fontId="1" fillId="6" borderId="1" xfId="0" applyNumberFormat="1" applyFont="1" applyFill="1" applyBorder="1" applyAlignment="1">
      <x:alignment vertical="center" wrapText="1"/>
    </x:xf>
    <x:xf numFmtId="200" fontId="1" fillId="6" borderId="1" xfId="0" applyNumberFormat="1" applyFont="1" applyFill="1" applyBorder="1" applyAlignment="1">
      <x:alignment vertical="center" wrapText="1"/>
    </x:xf>
    <x:xf numFmtId="201" fontId="1" fillId="6" borderId="1" xfId="0" applyNumberFormat="1" applyFont="1" applyFill="1" applyBorder="1" applyAlignment="1">
      <x:alignment vertical="center" wrapText="1"/>
    </x:xf>
    <x:xf numFmtId="202" fontId="1" fillId="6" borderId="1" xfId="0" applyNumberFormat="1" applyFont="1" applyFill="1" applyBorder="1" applyAlignment="1">
      <x:alignment vertical="center" wrapText="1"/>
    </x:xf>
    <x:xf numFmtId="0" fontId="1" fillId="7" borderId="0" xfId="0" applyNumberFormat="1" applyFont="1" applyFill="1" applyBorder="1"/>
    <x:xf numFmtId="0" fontId="7" fillId="7" borderId="0"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vertical="top" wrapText="1"/>
    </x:xf>
    <x:xf numFmtId="0" fontId="1" fillId="8" borderId="1" xfId="0" applyNumberFormat="1" applyFont="1" applyFill="1" applyBorder="1" applyAlignment="1">
      <x:alignment vertical="center" wrapText="1"/>
    </x:xf>
    <x:xf numFmtId="0" fontId="8" fillId="8" borderId="1" xfId="0" applyNumberFormat="1" applyFont="1" applyFill="1" applyBorder="1" applyAlignment="1">
      <x:alignment vertical="center" wrapText="1"/>
    </x:xf>
    <x:xf numFmtId="0" fontId="8" fillId="8" borderId="1" xfId="0" applyNumberFormat="1" applyFont="1" applyFill="1" applyBorder="1" applyAlignment="1">
      <x:alignment horizontal="center" vertical="center" wrapText="1"/>
    </x:xf>
    <x:xf numFmtId="0" fontId="1" fillId="9" borderId="0" xfId="0" applyNumberFormat="1" applyFont="1" applyFill="1" applyBorder="1"/>
    <x:xf numFmtId="0" fontId="7" fillId="9" borderId="0" xfId="0" applyNumberFormat="1" applyFont="1" applyFill="1" applyBorder="1"/>
    <x:xf numFmtId="0" fontId="7" fillId="9" borderId="1" xfId="0" applyNumberFormat="1" applyFont="1" applyFill="1" applyBorder="1"/>
    <x:xf numFmtId="0" fontId="7" fillId="9" borderId="1" xfId="0" applyNumberFormat="1" applyFont="1" applyFill="1" applyBorder="1" applyAlignment="1">
      <x:alignment wrapText="1"/>
    </x:xf>
    <x:xf numFmtId="0" fontId="7" fillId="9" borderId="1" xfId="0" applyNumberFormat="1" applyFont="1" applyFill="1" applyBorder="1" applyAlignment="1">
      <x:alignment vertical="top" wrapText="1"/>
    </x:xf>
    <x:xf numFmtId="203" fontId="1" fillId="6" borderId="1" xfId="0" applyNumberFormat="1" applyFont="1" applyFill="1" applyBorder="1" applyAlignment="1">
      <x:alignment vertical="center" wrapText="1"/>
    </x:xf>
    <x:xf numFmtId="0" fontId="1" fillId="9" borderId="1" xfId="0" applyNumberFormat="1" applyFont="1" applyFill="1" applyBorder="1" applyAlignment="1">
      <x:alignment vertical="center" wrapText="1"/>
    </x:xf>
    <x:xf numFmtId="203" fontId="1" fillId="9" borderId="1" xfId="0" applyNumberFormat="1" applyFont="1" applyFill="1" applyBorder="1" applyAlignment="1">
      <x:alignment vertical="center" wrapText="1"/>
    </x:xf>
    <x:xf numFmtId="0" fontId="1" fillId="5" borderId="1" xfId="0" applyNumberFormat="1" applyFont="1" applyFill="1" applyBorder="1"/>
    <x:xf numFmtId="0" fontId="1" fillId="5" borderId="1" xfId="0" applyNumberFormat="1" applyFont="1" applyFill="1" applyBorder="1" applyAlignment="1">
      <x:alignment wrapText="1"/>
    </x:xf>
    <x:xf numFmtId="0" fontId="1" fillId="5" borderId="1" xfId="0" applyNumberFormat="1" applyFont="1" applyFill="1" applyBorder="1" applyAlignment="1">
      <x:alignment vertical="top" wrapText="1"/>
    </x:xf>
    <x:xf numFmtId="0" fontId="1" fillId="10" borderId="0" xfId="0" applyNumberFormat="1" applyFont="1" applyFill="1" applyBorder="1"/>
    <x:xf numFmtId="0" fontId="9" fillId="10" borderId="0" xfId="0" applyNumberFormat="1" applyFont="1" applyFill="1" applyBorder="1"/>
    <x:xf numFmtId="0" fontId="9" fillId="10" borderId="1" xfId="0" applyNumberFormat="1" applyFont="1" applyFill="1" applyBorder="1"/>
    <x:xf numFmtId="0" fontId="9" fillId="1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a4ba6d583564ed8" /><Relationship Type="http://schemas.openxmlformats.org/officeDocument/2006/relationships/theme" Target="/xl/theme/theme1.xml" Id="Re8c58dde2058443e" /><Relationship Type="http://schemas.openxmlformats.org/officeDocument/2006/relationships/sharedStrings" Target="/xl/sharedStrings.xml" Id="R9b3c3649e8a24096" /><Relationship Type="http://schemas.openxmlformats.org/officeDocument/2006/relationships/worksheet" Target="/xl/worksheets/sheet1.xml" Id="R9ed8d745880a4b23" /><Relationship Type="http://schemas.openxmlformats.org/officeDocument/2006/relationships/worksheet" Target="/xl/worksheets/sheet2.xml" Id="R4ba5974955d245f9" /><Relationship Type="http://schemas.openxmlformats.org/officeDocument/2006/relationships/worksheet" Target="/xl/worksheets/sheet3.xml" Id="R78204bd157e14a03" /><Relationship Type="http://schemas.openxmlformats.org/officeDocument/2006/relationships/worksheet" Target="/xl/worksheets/sheet4.xml" Id="R56a113ee1b8645a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 hidden="0" customWidth="1"/>
    <x:col min="2" max="2" width="24" hidden="0" customWidth="1"/>
    <x:col min="3" max="3" width="12" hidden="0" customWidth="1"/>
    <x:col min="4" max="4" width="14" hidden="0" customWidth="1"/>
    <x:col min="5" max="5" width="14" hidden="0" customWidth="1"/>
    <x:col min="6" max="6" width="11" hidden="0" customWidth="1"/>
    <x:col min="7" max="7" width="14" hidden="0" customWidth="1"/>
    <x:col min="8" max="8" width="14" hidden="0" customWidth="1"/>
    <x:col min="9" max="9" width="13" hidden="0" customWidth="1"/>
    <x:col min="10" max="10" width="13" hidden="0" customWidth="1"/>
    <x:col min="11" max="11" width="13" hidden="0" customWidth="1"/>
  </x:cols>
  <x:sheetData>
    <x:row r="1">
      <x:c r="A1" s="11" t="str">
        <x:v>D6_6c-04 | Aged-train intervention: continue, clean, expand or replace</x:v>
      </x:c>
      <x:c r="B1" s="11"/>
      <x:c r="C1" s="11"/>
      <x:c r="D1" s="11"/>
      <x:c r="E1" s="11"/>
      <x:c r="F1" s="11"/>
      <x:c r="G1" s="11"/>
      <x:c r="H1" s="11"/>
      <x:c r="I1" s="11"/>
      <x:c r="J1" s="11"/>
      <x:c r="K1" s="11"/>
    </x:row>
    <x:row r="2">
      <x:c r="A2" s="11"/>
      <x:c r="B2" s="11"/>
      <x:c r="C2" s="11"/>
      <x:c r="D2" s="11"/>
      <x:c r="E2" s="11"/>
      <x:c r="F2" s="11"/>
      <x:c r="G2" s="11"/>
      <x:c r="H2" s="11"/>
      <x:c r="I2" s="11"/>
      <x:c r="J2" s="11"/>
      <x:c r="K2" s="11"/>
    </x:row>
    <x:row r="3">
      <x:c r="A3" s="12" t="str">
        <x:v>Parallel benchmark: simulate_ro ∥ simulate_swro_system → joint feasibility and ranking</x:v>
      </x:c>
      <x:c r="B3" s="12"/>
      <x:c r="C3" s="12"/>
      <x:c r="D3" s="12"/>
      <x:c r="E3" s="12"/>
      <x:c r="F3" s="12"/>
      <x:c r="G3" s="12"/>
      <x:c r="H3" s="12"/>
      <x:c r="I3" s="12"/>
      <x:c r="J3" s="12"/>
      <x:c r="K3" s="12"/>
    </x:row>
    <x:row r="4">
      <x:c r="A4" s="1"/>
      <x:c r="B4" s="1"/>
      <x:c r="C4" s="1"/>
      <x:c r="D4" s="1"/>
      <x:c r="E4" s="1"/>
      <x:c r="F4" s="1"/>
      <x:c r="G4" s="1"/>
      <x:c r="H4" s="1"/>
      <x:c r="I4" s="1"/>
      <x:c r="J4" s="1"/>
      <x:c r="K4" s="1"/>
    </x:row>
    <x:row r="5">
      <x:c r="A5" s="15" t="str">
        <x:v>Operating context</x:v>
      </x:c>
      <x:c r="B5" s="15" t="str">
        <x:v>Operating context</x:v>
      </x:c>
      <x:c r="C5" s="15" t="str">
        <x:v>Operating context</x:v>
      </x:c>
      <x:c r="D5" s="15" t="str">
        <x:v>Operating context</x:v>
      </x:c>
      <x:c r="E5" s="15" t="str">
        <x:v>Operating context</x:v>
      </x:c>
      <x:c r="F5" s="15" t="str">
        <x:v>Operating context</x:v>
      </x:c>
      <x:c r="G5" s="15" t="str">
        <x:v>Operating context</x:v>
      </x:c>
      <x:c r="H5" s="15" t="str">
        <x:v>Operating context</x:v>
      </x:c>
      <x:c r="I5" s="15" t="str">
        <x:v>Operating context</x:v>
      </x:c>
      <x:c r="J5" s="15" t="str">
        <x:v>Operating context</x:v>
      </x:c>
      <x:c r="K5" s="15" t="str">
        <x:v>Operating context</x:v>
      </x:c>
    </x:row>
    <x:row r="6">
      <x:c r="A6" s="20" t="str">
        <x:v>An SWRO train shows reduced water permeability and increased salt passage. Compare continued operation, chemical cleaning that partly restores A, added membrane area, and replacement with balanced membranes. Verify each package independently in both simulators.</x:v>
      </x:c>
      <x:c r="B6" s="20"/>
      <x:c r="C6" s="20"/>
      <x:c r="D6" s="20"/>
      <x:c r="E6" s="20"/>
      <x:c r="F6" s="20"/>
      <x:c r="G6" s="20"/>
      <x:c r="H6" s="20"/>
      <x:c r="I6" s="20"/>
      <x:c r="J6" s="20"/>
      <x:c r="K6" s="20"/>
    </x:row>
    <x:row r="7">
      <x:c r="A7" s="20"/>
      <x:c r="B7" s="20"/>
      <x:c r="C7" s="20"/>
      <x:c r="D7" s="20"/>
      <x:c r="E7" s="20"/>
      <x:c r="F7" s="20"/>
      <x:c r="G7" s="20"/>
      <x:c r="H7" s="20"/>
      <x:c r="I7" s="20"/>
      <x:c r="J7" s="20"/>
      <x:c r="K7" s="20"/>
    </x:row>
    <x:row r="8">
      <x:c r="A8" s="20"/>
      <x:c r="B8" s="20"/>
      <x:c r="C8" s="20"/>
      <x:c r="D8" s="20"/>
      <x:c r="E8" s="20"/>
      <x:c r="F8" s="20"/>
      <x:c r="G8" s="20"/>
      <x:c r="H8" s="20"/>
      <x:c r="I8" s="20"/>
      <x:c r="J8" s="20"/>
      <x:c r="K8" s="20"/>
    </x:row>
    <x:row r="9">
      <x:c r="A9" s="1"/>
      <x:c r="B9" s="1"/>
      <x:c r="C9" s="1"/>
      <x:c r="D9" s="1"/>
      <x:c r="E9" s="1"/>
      <x:c r="F9" s="1"/>
      <x:c r="G9" s="1"/>
      <x:c r="H9" s="1"/>
      <x:c r="I9" s="1"/>
      <x:c r="J9" s="1"/>
      <x:c r="K9" s="1"/>
    </x:row>
    <x:row r="10">
      <x:c r="A10" s="15" t="str">
        <x:v>Candidate design packages (same row sent independently to both simulators)</x:v>
      </x:c>
      <x:c r="B10" s="15" t="str">
        <x:v>Candidate design packages (same row sent independently to both simulators)</x:v>
      </x:c>
      <x:c r="C10" s="15" t="str">
        <x:v>Candidate design packages (same row sent independently to both simulators)</x:v>
      </x:c>
      <x:c r="D10" s="15" t="str">
        <x:v>Candidate design packages (same row sent independently to both simulators)</x:v>
      </x:c>
      <x:c r="E10" s="15" t="str">
        <x:v>Candidate design packages (same row sent independently to both simulators)</x:v>
      </x:c>
      <x:c r="F10" s="15" t="str">
        <x:v>Candidate design packages (same row sent independently to both simulators)</x:v>
      </x:c>
      <x:c r="G10" s="15" t="str">
        <x:v>Candidate design packages (same row sent independently to both simulators)</x:v>
      </x:c>
      <x:c r="H10" s="15" t="str">
        <x:v>Candidate design packages (same row sent independently to both simulators)</x:v>
      </x:c>
      <x:c r="I10" s="15" t="str">
        <x:v>Candidate design packages (same row sent independently to both simulators)</x:v>
      </x:c>
      <x:c r="J10" s="15" t="str">
        <x:v>Candidate design packages (same row sent independently to both simulators)</x:v>
      </x:c>
      <x:c r="K10" s="15" t="str">
        <x:v>Candidate design packages (same row sent independently to both simulators)</x:v>
      </x:c>
    </x:row>
    <x:row r="11">
      <x:c r="A11" s="25" t="str">
        <x:v>ID</x:v>
      </x:c>
      <x:c r="B11" s="25" t="str">
        <x:v>Package / season</x:v>
      </x:c>
      <x:c r="C11" s="25" t="str">
        <x:v>Pressure (bar)</x:v>
      </x:c>
      <x:c r="D11" s="25" t="str">
        <x:v>RO module area (m²)</x:v>
      </x:c>
      <x:c r="E11" s="25" t="str">
        <x:v>Plant RO area (m²)</x:v>
      </x:c>
      <x:c r="F11" s="25" t="str">
        <x:v>Temp. (°C)</x:v>
      </x:c>
      <x:c r="G11" s="25" t="str">
        <x:v>A (m/s/Pa)</x:v>
      </x:c>
      <x:c r="H11" s="25" t="str">
        <x:v>B (m/s)</x:v>
      </x:c>
      <x:c r="I11" s="25" t="str">
        <x:v>ERD</x:v>
      </x:c>
      <x:c r="J11" s="25" t="str">
        <x:v>Efficiency</x:v>
      </x:c>
      <x:c r="K11" s="25" t="str">
        <x:v>Annual weight</x:v>
      </x:c>
    </x:row>
    <x:row r="12">
      <x:c r="A12" s="29" t="str">
        <x:v>A</x:v>
      </x:c>
      <x:c r="B12" s="29" t="str">
        <x:v>Continue operation</x:v>
      </x:c>
      <x:c r="C12" s="30" t="n">
        <x:v>62</x:v>
      </x:c>
      <x:c r="D12" s="30" t="n">
        <x:v>60</x:v>
      </x:c>
      <x:c r="E12" s="30" t="n">
        <x:v>6000</x:v>
      </x:c>
      <x:c r="F12" s="30" t="n">
        <x:v>25</x:v>
      </x:c>
      <x:c r="G12" s="31" t="n">
        <x:v>3e-12</x:v>
      </x:c>
      <x:c r="H12" s="31" t="n">
        <x:v>5e-8</x:v>
      </x:c>
      <x:c r="I12" s="29" t="str">
        <x:v>PX</x:v>
      </x:c>
      <x:c r="J12" s="32" t="n">
        <x:v>0.95</x:v>
      </x:c>
      <x:c r="K12" s="32" t="str"/>
    </x:row>
    <x:row r="13">
      <x:c r="A13" s="29" t="str">
        <x:v>B</x:v>
      </x:c>
      <x:c r="B13" s="29" t="str">
        <x:v>Chemical cleaning</x:v>
      </x:c>
      <x:c r="C13" s="30" t="n">
        <x:v>62</x:v>
      </x:c>
      <x:c r="D13" s="30" t="n">
        <x:v>60</x:v>
      </x:c>
      <x:c r="E13" s="30" t="n">
        <x:v>6000</x:v>
      </x:c>
      <x:c r="F13" s="30" t="n">
        <x:v>25</x:v>
      </x:c>
      <x:c r="G13" s="31" t="n">
        <x:v>3.6e-12</x:v>
      </x:c>
      <x:c r="H13" s="31" t="n">
        <x:v>5e-8</x:v>
      </x:c>
      <x:c r="I13" s="29" t="str">
        <x:v>PX</x:v>
      </x:c>
      <x:c r="J13" s="32" t="n">
        <x:v>0.95</x:v>
      </x:c>
      <x:c r="K13" s="32" t="str"/>
    </x:row>
    <x:row r="14">
      <x:c r="A14" s="29" t="str">
        <x:v>C</x:v>
      </x:c>
      <x:c r="B14" s="29" t="str">
        <x:v>Add membrane area</x:v>
      </x:c>
      <x:c r="C14" s="30" t="n">
        <x:v>62</x:v>
      </x:c>
      <x:c r="D14" s="30" t="n">
        <x:v>70</x:v>
      </x:c>
      <x:c r="E14" s="30" t="n">
        <x:v>7000</x:v>
      </x:c>
      <x:c r="F14" s="30" t="n">
        <x:v>25</x:v>
      </x:c>
      <x:c r="G14" s="31" t="n">
        <x:v>3e-12</x:v>
      </x:c>
      <x:c r="H14" s="31" t="n">
        <x:v>5e-8</x:v>
      </x:c>
      <x:c r="I14" s="29" t="str">
        <x:v>PX</x:v>
      </x:c>
      <x:c r="J14" s="32" t="n">
        <x:v>0.95</x:v>
      </x:c>
      <x:c r="K14" s="32" t="str"/>
    </x:row>
    <x:row r="15">
      <x:c r="A15" s="29" t="str">
        <x:v>D</x:v>
      </x:c>
      <x:c r="B15" s="29" t="str">
        <x:v>Replace with balanced membrane</x:v>
      </x:c>
      <x:c r="C15" s="30" t="n">
        <x:v>62</x:v>
      </x:c>
      <x:c r="D15" s="30" t="n">
        <x:v>60</x:v>
      </x:c>
      <x:c r="E15" s="30" t="n">
        <x:v>6000</x:v>
      </x:c>
      <x:c r="F15" s="30" t="n">
        <x:v>25</x:v>
      </x:c>
      <x:c r="G15" s="31" t="n">
        <x:v>4.2e-12</x:v>
      </x:c>
      <x:c r="H15" s="31" t="n">
        <x:v>3.5e-8</x:v>
      </x:c>
      <x:c r="I15" s="29" t="str">
        <x:v>PX</x:v>
      </x:c>
      <x:c r="J15" s="32" t="n">
        <x:v>0.95</x:v>
      </x:c>
      <x:c r="K15" s="32" t="str"/>
    </x:row>
    <x:row r="16">
      <x:c r="A16" s="1"/>
      <x:c r="B16" s="1"/>
      <x:c r="C16" s="1"/>
      <x:c r="D16" s="1"/>
      <x:c r="E16" s="1"/>
      <x:c r="F16" s="1"/>
      <x:c r="G16" s="1"/>
      <x:c r="H16" s="1"/>
      <x:c r="I16" s="1"/>
      <x:c r="J16" s="1"/>
      <x:c r="K16" s="1"/>
    </x:row>
    <x:row r="17">
      <x:c r="A17" s="15" t="str">
        <x:v>Task and decision rule</x:v>
      </x:c>
      <x:c r="B17" s="15" t="str">
        <x:v>Task and decision rule</x:v>
      </x:c>
      <x:c r="C17" s="15" t="str">
        <x:v>Task and decision rule</x:v>
      </x:c>
      <x:c r="D17" s="15" t="str">
        <x:v>Task and decision rule</x:v>
      </x:c>
      <x:c r="E17" s="15" t="str">
        <x:v>Task and decision rule</x:v>
      </x:c>
      <x:c r="F17" s="15" t="str">
        <x:v>Task and decision rule</x:v>
      </x:c>
      <x:c r="G17" s="15" t="str">
        <x:v>Task and decision rule</x:v>
      </x:c>
      <x:c r="H17" s="15" t="str">
        <x:v>Task and decision rule</x:v>
      </x:c>
      <x:c r="I17" s="15" t="str">
        <x:v>Task and decision rule</x:v>
      </x:c>
      <x:c r="J17" s="15" t="str">
        <x:v>Task and decision rule</x:v>
      </x:c>
      <x:c r="K17" s="15" t="str">
        <x:v>Task and decision rule</x:v>
      </x:c>
    </x:row>
    <x:row r="18">
      <x:c r="A18" s="37" t="str">
        <x:v>Meet membrane water ≥0.390 kg/s, NaCl ≤350 mg/L and inlet CP ≤1.34, plus plant product flow ≥0.042 m³/s and SEC ≤2.70 kWh/m³; determine the intervention.</x:v>
      </x:c>
      <x:c r="B18" s="37"/>
      <x:c r="C18" s="37"/>
      <x:c r="D18" s="37"/>
      <x:c r="E18" s="37"/>
      <x:c r="F18" s="37"/>
      <x:c r="G18" s="37"/>
      <x:c r="H18" s="37"/>
      <x:c r="I18" s="37"/>
      <x:c r="J18" s="37"/>
      <x:c r="K18" s="37"/>
    </x:row>
    <x:row r="19">
      <x:c r="A19" s="37"/>
      <x:c r="B19" s="37"/>
      <x:c r="C19" s="37"/>
      <x:c r="D19" s="37"/>
      <x:c r="E19" s="37"/>
      <x:c r="F19" s="37"/>
      <x:c r="G19" s="37"/>
      <x:c r="H19" s="37"/>
      <x:c r="I19" s="37"/>
      <x:c r="J19" s="37"/>
      <x:c r="K19" s="37"/>
    </x:row>
    <x:row r="20">
      <x:c r="A20" s="37"/>
      <x:c r="B20" s="37"/>
      <x:c r="C20" s="37"/>
      <x:c r="D20" s="37"/>
      <x:c r="E20" s="37"/>
      <x:c r="F20" s="37"/>
      <x:c r="G20" s="37"/>
      <x:c r="H20" s="37"/>
      <x:c r="I20" s="37"/>
      <x:c r="J20" s="37"/>
      <x:c r="K20" s="37"/>
    </x:row>
    <x:row r="21">
      <x:c r="A21" s="37"/>
      <x:c r="B21" s="37"/>
      <x:c r="C21" s="37"/>
      <x:c r="D21" s="37"/>
      <x:c r="E21" s="37"/>
      <x:c r="F21" s="37"/>
      <x:c r="G21" s="37"/>
      <x:c r="H21" s="37"/>
      <x:c r="I21" s="37"/>
      <x:c r="J21" s="37"/>
      <x:c r="K21" s="37"/>
    </x:row>
    <x:row r="22">
      <x:c r="A22" s="1"/>
      <x:c r="B22" s="1"/>
      <x:c r="C22" s="1"/>
      <x:c r="D22" s="1"/>
      <x:c r="E22" s="1"/>
      <x:c r="F22" s="1"/>
      <x:c r="G22" s="1"/>
      <x:c r="H22" s="1"/>
      <x:c r="I22" s="1"/>
      <x:c r="J22" s="1"/>
      <x:c r="K22" s="1"/>
    </x:row>
    <x:row r="23">
      <x:c r="A23" s="15" t="str">
        <x:v>Required deliverables</x:v>
      </x:c>
      <x:c r="B23" s="15" t="str">
        <x:v>Required deliverables</x:v>
      </x:c>
      <x:c r="C23" s="15" t="str">
        <x:v>Required deliverables</x:v>
      </x:c>
      <x:c r="D23" s="15" t="str">
        <x:v>Required deliverables</x:v>
      </x:c>
      <x:c r="E23" s="15" t="str">
        <x:v>Required deliverables</x:v>
      </x:c>
      <x:c r="F23" s="15" t="str">
        <x:v>Required deliverables</x:v>
      </x:c>
      <x:c r="G23" s="15" t="str">
        <x:v>Required deliverables</x:v>
      </x:c>
      <x:c r="H23" s="15" t="str">
        <x:v>Required deliverables</x:v>
      </x:c>
      <x:c r="I23" s="15" t="str">
        <x:v>Required deliverables</x:v>
      </x:c>
      <x:c r="J23" s="15" t="str">
        <x:v>Required deliverables</x:v>
      </x:c>
      <x:c r="K23" s="15" t="str">
        <x:v>Required deliverables</x:v>
      </x:c>
    </x:row>
    <x:row r="24">
      <x:c r="A24" s="40" t="str">
        <x:v>1</x:v>
      </x:c>
      <x:c r="B24" s="29" t="str">
        <x:v>Run simulate_ro once for every candidate/season row and report water flux, membrane water flow, permeate NaCl, recovery and inlet CP.</x:v>
      </x:c>
      <x:c r="C24" s="29" t="str"/>
      <x:c r="D24" s="29" t="str"/>
      <x:c r="E24" s="29" t="str"/>
      <x:c r="F24" s="29" t="str"/>
      <x:c r="G24" s="29" t="str"/>
      <x:c r="H24" s="29" t="str"/>
      <x:c r="I24" s="29" t="str"/>
      <x:c r="J24" s="29" t="str"/>
      <x:c r="K24" s="29" t="str"/>
    </x:row>
    <x:row r="25">
      <x:c r="A25" s="40" t="str">
        <x:v>2</x:v>
      </x:c>
      <x:c r="B25" s="29" t="str">
        <x:v>Independently run simulate_swro_system once for every candidate/season row and report plant product flow, SEC, LCOW and CAPEX.</x:v>
      </x:c>
      <x:c r="C25" s="29" t="str"/>
      <x:c r="D25" s="29" t="str"/>
      <x:c r="E25" s="29" t="str"/>
      <x:c r="F25" s="29" t="str"/>
      <x:c r="G25" s="29" t="str"/>
      <x:c r="H25" s="29" t="str"/>
      <x:c r="I25" s="29" t="str"/>
      <x:c r="J25" s="29" t="str"/>
      <x:c r="K25" s="29" t="str"/>
    </x:row>
    <x:row r="26">
      <x:c r="A26" s="40" t="str">
        <x:v>3</x:v>
      </x:c>
      <x:c r="B26" s="29" t="str">
        <x:v>Join the two result branches by candidate ID, apply all constraints, and recommend one package.</x:v>
      </x:c>
      <x:c r="C26" s="29" t="str"/>
      <x:c r="D26" s="29" t="str"/>
      <x:c r="E26" s="29" t="str"/>
      <x:c r="F26" s="29" t="str"/>
      <x:c r="G26" s="29" t="str"/>
      <x:c r="H26" s="29" t="str"/>
      <x:c r="I26" s="29" t="str"/>
      <x:c r="J26" s="29" t="str"/>
      <x:c r="K26" s="29" t="str"/>
    </x:row>
    <x:row r="27">
      <x:c r="A27" s="40" t="str">
        <x:v>4</x:v>
      </x:c>
      <x:c r="B27" s="29" t="str">
        <x:v>Explain why at least two non-selected alternatives fail or rank lower. Do not infer plant energy from membrane flux.</x:v>
      </x:c>
      <x:c r="C27" s="29" t="str"/>
      <x:c r="D27" s="29" t="str"/>
      <x:c r="E27" s="29" t="str"/>
      <x:c r="F27" s="29" t="str"/>
      <x:c r="G27" s="29" t="str"/>
      <x:c r="H27" s="29" t="str"/>
      <x:c r="I27" s="29" t="str"/>
      <x:c r="J27" s="29" t="str"/>
      <x:c r="K27" s="29" t="str"/>
    </x:row>
    <x:row r="28">
      <x:c r="A28" s="1"/>
      <x:c r="B28" s="1"/>
      <x:c r="C28" s="1"/>
      <x:c r="D28" s="1"/>
      <x:c r="E28" s="1"/>
      <x:c r="F28" s="1"/>
      <x:c r="G28" s="1"/>
      <x:c r="H28" s="1"/>
      <x:c r="I28" s="1"/>
      <x:c r="J28" s="1"/>
      <x:c r="K28" s="1"/>
    </x:row>
    <x:row r="29">
      <x:c r="A29" s="1"/>
      <x:c r="B29" s="1"/>
      <x:c r="C29" s="1"/>
      <x:c r="D29" s="1"/>
      <x:c r="E29" s="1"/>
      <x:c r="F29" s="1"/>
      <x:c r="G29" s="1"/>
      <x:c r="H29" s="1"/>
      <x:c r="I29" s="1"/>
      <x:c r="J29" s="1"/>
      <x:c r="K29" s="1"/>
    </x:row>
    <x:row r="30">
      <x:c r="A30" s="1"/>
      <x:c r="B30" s="1"/>
      <x:c r="C30" s="1"/>
      <x:c r="D30" s="1"/>
      <x:c r="E30" s="1"/>
      <x:c r="F30" s="1"/>
      <x:c r="G30" s="1"/>
      <x:c r="H30" s="1"/>
      <x:c r="I30" s="1"/>
      <x:c r="J30" s="1"/>
      <x:c r="K30" s="1"/>
    </x:row>
    <x:row r="31">
      <x:c r="A31" s="1"/>
      <x:c r="B31" s="1"/>
      <x:c r="C31" s="1"/>
      <x:c r="D31" s="1"/>
      <x:c r="E31" s="1"/>
      <x:c r="F31" s="1"/>
      <x:c r="G31" s="1"/>
      <x:c r="H31" s="1"/>
      <x:c r="I31" s="1"/>
      <x:c r="J31" s="1"/>
      <x:c r="K31" s="1"/>
    </x:row>
    <x:row r="32">
      <x:c r="A32" s="1"/>
      <x:c r="B32" s="1"/>
      <x:c r="C32" s="1"/>
      <x:c r="D32" s="1"/>
      <x:c r="E32" s="1"/>
      <x:c r="F32" s="1"/>
      <x:c r="G32" s="1"/>
      <x:c r="H32" s="1"/>
      <x:c r="I32" s="1"/>
      <x:c r="J32" s="1"/>
      <x:c r="K32" s="1"/>
    </x:row>
    <x:row r="33">
      <x:c r="A33" s="1"/>
      <x:c r="B33" s="1"/>
      <x:c r="C33" s="1"/>
      <x:c r="D33" s="1"/>
      <x:c r="E33" s="1"/>
      <x:c r="F33" s="1"/>
      <x:c r="G33" s="1"/>
      <x:c r="H33" s="1"/>
      <x:c r="I33" s="1"/>
      <x:c r="J33" s="1"/>
      <x:c r="K33" s="1"/>
    </x:row>
    <x:row r="34">
      <x:c r="A34" s="1"/>
      <x:c r="B34" s="1"/>
      <x:c r="C34" s="1"/>
      <x:c r="D34" s="1"/>
      <x:c r="E34" s="1"/>
      <x:c r="F34" s="1"/>
      <x:c r="G34" s="1"/>
      <x:c r="H34" s="1"/>
      <x:c r="I34" s="1"/>
      <x:c r="J34" s="1"/>
      <x:c r="K34" s="1"/>
    </x:row>
    <x:row r="35">
      <x:c r="A35" s="1"/>
      <x:c r="B35" s="1"/>
      <x:c r="C35" s="1"/>
      <x:c r="D35" s="1"/>
      <x:c r="E35" s="1"/>
      <x:c r="F35" s="1"/>
      <x:c r="G35" s="1"/>
      <x:c r="H35" s="1"/>
      <x:c r="I35" s="1"/>
      <x:c r="J35" s="1"/>
      <x:c r="K35" s="1"/>
    </x:row>
    <x:row r="36">
      <x:c r="A36" s="1"/>
      <x:c r="B36" s="1"/>
      <x:c r="C36" s="1"/>
      <x:c r="D36" s="1"/>
      <x:c r="E36" s="1"/>
      <x:c r="F36" s="1"/>
      <x:c r="G36" s="1"/>
      <x:c r="H36" s="1"/>
      <x:c r="I36" s="1"/>
      <x:c r="J36" s="1"/>
      <x:c r="K36" s="1"/>
    </x:row>
    <x:row r="37">
      <x:c r="A37" s="1"/>
      <x:c r="B37" s="1"/>
      <x:c r="C37" s="1"/>
      <x:c r="D37" s="1"/>
      <x:c r="E37" s="1"/>
      <x:c r="F37" s="1"/>
      <x:c r="G37" s="1"/>
      <x:c r="H37" s="1"/>
      <x:c r="I37" s="1"/>
      <x:c r="J37" s="1"/>
      <x:c r="K37" s="1"/>
    </x:row>
    <x:row r="38">
      <x:c r="A38" s="1"/>
      <x:c r="B38" s="1"/>
      <x:c r="C38" s="1"/>
      <x:c r="D38" s="1"/>
      <x:c r="E38" s="1"/>
      <x:c r="F38" s="1"/>
      <x:c r="G38" s="1"/>
      <x:c r="H38" s="1"/>
      <x:c r="I38" s="1"/>
      <x:c r="J38" s="1"/>
      <x:c r="K38" s="1"/>
    </x:row>
    <x:row r="39">
      <x:c r="A39" s="1"/>
      <x:c r="B39" s="1"/>
      <x:c r="C39" s="1"/>
      <x:c r="D39" s="1"/>
      <x:c r="E39" s="1"/>
      <x:c r="F39" s="1"/>
      <x:c r="G39" s="1"/>
      <x:c r="H39" s="1"/>
      <x:c r="I39" s="1"/>
      <x:c r="J39" s="1"/>
      <x:c r="K39" s="1"/>
    </x:row>
    <x:row r="40">
      <x:c r="A40" s="1"/>
      <x:c r="B40" s="1"/>
      <x:c r="C40" s="1"/>
      <x:c r="D40" s="1"/>
      <x:c r="E40" s="1"/>
      <x:c r="F40" s="1"/>
      <x:c r="G40" s="1"/>
      <x:c r="H40" s="1"/>
      <x:c r="I40" s="1"/>
      <x:c r="J40" s="1"/>
      <x:c r="K40" s="1"/>
    </x:row>
    <x:row r="41">
      <x:c r="A41" s="1"/>
      <x:c r="B41" s="1"/>
      <x:c r="C41" s="1"/>
      <x:c r="D41" s="1"/>
      <x:c r="E41" s="1"/>
      <x:c r="F41" s="1"/>
      <x:c r="G41" s="1"/>
      <x:c r="H41" s="1"/>
      <x:c r="I41" s="1"/>
      <x:c r="J41" s="1"/>
      <x:c r="K41" s="1"/>
    </x:row>
    <x:row r="42">
      <x:c r="A42" s="1"/>
      <x:c r="B42" s="1"/>
      <x:c r="C42" s="1"/>
      <x:c r="D42" s="1"/>
      <x:c r="E42" s="1"/>
      <x:c r="F42" s="1"/>
      <x:c r="G42" s="1"/>
      <x:c r="H42" s="1"/>
      <x:c r="I42" s="1"/>
      <x:c r="J42" s="1"/>
      <x:c r="K42" s="1"/>
    </x:row>
    <x:row r="43">
      <x:c r="A43" s="1"/>
      <x:c r="B43" s="1"/>
      <x:c r="C43" s="1"/>
      <x:c r="D43" s="1"/>
      <x:c r="E43" s="1"/>
      <x:c r="F43" s="1"/>
      <x:c r="G43" s="1"/>
      <x:c r="H43" s="1"/>
      <x:c r="I43" s="1"/>
      <x:c r="J43" s="1"/>
      <x:c r="K43" s="1"/>
    </x:row>
    <x:row r="44">
      <x:c r="A44" s="1"/>
      <x:c r="B44" s="1"/>
      <x:c r="C44" s="1"/>
      <x:c r="D44" s="1"/>
      <x:c r="E44" s="1"/>
      <x:c r="F44" s="1"/>
      <x:c r="G44" s="1"/>
      <x:c r="H44" s="1"/>
      <x:c r="I44" s="1"/>
      <x:c r="J44" s="1"/>
      <x:c r="K44" s="1"/>
    </x:row>
    <x:row r="45">
      <x:c r="A45" s="1"/>
      <x:c r="B45" s="1"/>
      <x:c r="C45" s="1"/>
      <x:c r="D45" s="1"/>
      <x:c r="E45" s="1"/>
      <x:c r="F45" s="1"/>
      <x:c r="G45" s="1"/>
      <x:c r="H45" s="1"/>
      <x:c r="I45" s="1"/>
      <x:c r="J45" s="1"/>
      <x:c r="K45" s="1"/>
    </x:row>
    <x:row r="46">
      <x:c r="A46" s="1"/>
      <x:c r="B46" s="1"/>
      <x:c r="C46" s="1"/>
      <x:c r="D46" s="1"/>
      <x:c r="E46" s="1"/>
      <x:c r="F46" s="1"/>
      <x:c r="G46" s="1"/>
      <x:c r="H46" s="1"/>
      <x:c r="I46" s="1"/>
      <x:c r="J46" s="1"/>
      <x:c r="K46" s="1"/>
    </x:row>
    <x:row r="47">
      <x:c r="A47" s="1"/>
      <x:c r="B47" s="1"/>
      <x:c r="C47" s="1"/>
      <x:c r="D47" s="1"/>
      <x:c r="E47" s="1"/>
      <x:c r="F47" s="1"/>
      <x:c r="G47" s="1"/>
      <x:c r="H47" s="1"/>
      <x:c r="I47" s="1"/>
      <x:c r="J47" s="1"/>
      <x:c r="K47" s="1"/>
    </x:row>
    <x:row r="48">
      <x:c r="A48" s="1"/>
      <x:c r="B48" s="1"/>
      <x:c r="C48" s="1"/>
      <x:c r="D48" s="1"/>
      <x:c r="E48" s="1"/>
      <x:c r="F48" s="1"/>
      <x:c r="G48" s="1"/>
      <x:c r="H48" s="1"/>
      <x:c r="I48" s="1"/>
      <x:c r="J48" s="1"/>
      <x:c r="K48" s="1"/>
    </x:row>
    <x:row r="49">
      <x:c r="A49" s="1"/>
      <x:c r="B49" s="1"/>
      <x:c r="C49" s="1"/>
      <x:c r="D49" s="1"/>
      <x:c r="E49" s="1"/>
      <x:c r="F49" s="1"/>
      <x:c r="G49" s="1"/>
      <x:c r="H49" s="1"/>
      <x:c r="I49" s="1"/>
      <x:c r="J49" s="1"/>
      <x:c r="K49" s="1"/>
    </x:row>
    <x:row r="50">
      <x:c r="A50" s="1"/>
      <x:c r="B50" s="1"/>
      <x:c r="C50" s="1"/>
      <x:c r="D50" s="1"/>
      <x:c r="E50" s="1"/>
      <x:c r="F50" s="1"/>
      <x:c r="G50" s="1"/>
      <x:c r="H50" s="1"/>
      <x:c r="I50" s="1"/>
      <x:c r="J50" s="1"/>
      <x:c r="K50" s="1"/>
    </x:row>
    <x:row r="51">
      <x:c r="A51" s="1"/>
      <x:c r="B51" s="1"/>
      <x:c r="C51" s="1"/>
      <x:c r="D51" s="1"/>
      <x:c r="E51" s="1"/>
      <x:c r="F51" s="1"/>
      <x:c r="G51" s="1"/>
      <x:c r="H51" s="1"/>
      <x:c r="I51" s="1"/>
      <x:c r="J51" s="1"/>
      <x:c r="K51" s="1"/>
    </x:row>
    <x:row r="52">
      <x:c r="A52" s="1"/>
      <x:c r="B52" s="1"/>
      <x:c r="C52" s="1"/>
      <x:c r="D52" s="1"/>
      <x:c r="E52" s="1"/>
      <x:c r="F52" s="1"/>
      <x:c r="G52" s="1"/>
      <x:c r="H52" s="1"/>
      <x:c r="I52" s="1"/>
      <x:c r="J52" s="1"/>
      <x:c r="K52" s="1"/>
    </x:row>
    <x:row r="53">
      <x:c r="A53" s="1"/>
      <x:c r="B53" s="1"/>
      <x:c r="C53" s="1"/>
      <x:c r="D53" s="1"/>
      <x:c r="E53" s="1"/>
      <x:c r="F53" s="1"/>
      <x:c r="G53" s="1"/>
      <x:c r="H53" s="1"/>
      <x:c r="I53" s="1"/>
      <x:c r="J53" s="1"/>
      <x:c r="K53" s="1"/>
    </x:row>
    <x:row r="54">
      <x:c r="A54" s="1"/>
      <x:c r="B54" s="1"/>
      <x:c r="C54" s="1"/>
      <x:c r="D54" s="1"/>
      <x:c r="E54" s="1"/>
      <x:c r="F54" s="1"/>
      <x:c r="G54" s="1"/>
      <x:c r="H54" s="1"/>
      <x:c r="I54" s="1"/>
      <x:c r="J54" s="1"/>
      <x:c r="K54" s="1"/>
    </x:row>
    <x:row r="55">
      <x:c r="A55" s="1"/>
      <x:c r="B55" s="1"/>
      <x:c r="C55" s="1"/>
      <x:c r="D55" s="1"/>
      <x:c r="E55" s="1"/>
      <x:c r="F55" s="1"/>
      <x:c r="G55" s="1"/>
      <x:c r="H55" s="1"/>
      <x:c r="I55" s="1"/>
      <x:c r="J55" s="1"/>
      <x:c r="K55" s="1"/>
    </x:row>
    <x:row r="56">
      <x:c r="A56" s="1"/>
      <x:c r="B56" s="1"/>
      <x:c r="C56" s="1"/>
      <x:c r="D56" s="1"/>
      <x:c r="E56" s="1"/>
      <x:c r="F56" s="1"/>
      <x:c r="G56" s="1"/>
      <x:c r="H56" s="1"/>
      <x:c r="I56" s="1"/>
      <x:c r="J56" s="1"/>
      <x:c r="K56" s="1"/>
    </x:row>
    <x:row r="57">
      <x:c r="A57" s="1"/>
      <x:c r="B57" s="1"/>
      <x:c r="C57" s="1"/>
      <x:c r="D57" s="1"/>
      <x:c r="E57" s="1"/>
      <x:c r="F57" s="1"/>
      <x:c r="G57" s="1"/>
      <x:c r="H57" s="1"/>
      <x:c r="I57" s="1"/>
      <x:c r="J57" s="1"/>
      <x:c r="K57" s="1"/>
    </x:row>
    <x:row r="58">
      <x:c r="A58" s="1"/>
      <x:c r="B58" s="1"/>
      <x:c r="C58" s="1"/>
      <x:c r="D58" s="1"/>
      <x:c r="E58" s="1"/>
      <x:c r="F58" s="1"/>
      <x:c r="G58" s="1"/>
      <x:c r="H58" s="1"/>
      <x:c r="I58" s="1"/>
      <x:c r="J58" s="1"/>
      <x:c r="K58" s="1"/>
    </x:row>
    <x:row r="59">
      <x:c r="A59" s="1"/>
      <x:c r="B59" s="1"/>
      <x:c r="C59" s="1"/>
      <x:c r="D59" s="1"/>
      <x:c r="E59" s="1"/>
      <x:c r="F59" s="1"/>
      <x:c r="G59" s="1"/>
      <x:c r="H59" s="1"/>
      <x:c r="I59" s="1"/>
      <x:c r="J59" s="1"/>
      <x:c r="K59" s="1"/>
    </x:row>
    <x:row r="60">
      <x:c r="A60" s="1"/>
      <x:c r="B60" s="1"/>
      <x:c r="C60" s="1"/>
      <x:c r="D60" s="1"/>
      <x:c r="E60" s="1"/>
      <x:c r="F60" s="1"/>
      <x:c r="G60" s="1"/>
      <x:c r="H60" s="1"/>
      <x:c r="I60" s="1"/>
      <x:c r="J60" s="1"/>
      <x:c r="K60" s="1"/>
    </x:row>
  </x:sheetData>
  <x:mergeCells>
    <x:mergeCell ref="A1:K2"/>
    <x:mergeCell ref="A3:K3"/>
    <x:mergeCell ref="A5:K5"/>
    <x:mergeCell ref="A6:K8"/>
    <x:mergeCell ref="A10:K10"/>
    <x:mergeCell ref="A17:K17"/>
    <x:mergeCell ref="A18:K21"/>
    <x:mergeCell ref="A23:K23"/>
    <x:mergeCell ref="B24:K24"/>
    <x:mergeCell ref="B25:K25"/>
    <x:mergeCell ref="B26:K26"/>
    <x:mergeCell ref="B27:K27"/>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24" hidden="0" customWidth="1"/>
    <x:col min="3" max="3" width="12" hidden="0" customWidth="1"/>
    <x:col min="4" max="4" width="14" hidden="0" customWidth="1"/>
    <x:col min="5" max="5" width="14" hidden="0" customWidth="1"/>
    <x:col min="6" max="6" width="11" hidden="0" customWidth="1"/>
    <x:col min="7" max="7" width="14" hidden="0" customWidth="1"/>
    <x:col min="8" max="8" width="14" hidden="0" customWidth="1"/>
    <x:col min="9" max="9" width="13" hidden="0" customWidth="1"/>
    <x:col min="10" max="10" width="13" hidden="0" customWidth="1"/>
    <x:col min="11" max="11" width="13" hidden="0" customWidth="1"/>
  </x:cols>
  <x:sheetData>
    <x:row r="1">
      <x:c r="A1" s="11" t="str">
        <x:v>Gold answer | D6_6c-04</x:v>
      </x:c>
      <x:c r="B1" s="11"/>
      <x:c r="C1" s="11"/>
      <x:c r="D1" s="11"/>
      <x:c r="E1" s="11"/>
      <x:c r="F1" s="11"/>
      <x:c r="G1" s="11"/>
      <x:c r="H1" s="11"/>
      <x:c r="I1" s="11"/>
      <x:c r="J1" s="11"/>
      <x:c r="K1" s="11"/>
    </x:row>
    <x:row r="2">
      <x:c r="A2" s="11"/>
      <x:c r="B2" s="11"/>
      <x:c r="C2" s="11"/>
      <x:c r="D2" s="11"/>
      <x:c r="E2" s="11"/>
      <x:c r="F2" s="11"/>
      <x:c r="G2" s="11"/>
      <x:c r="H2" s="11"/>
      <x:c r="I2" s="11"/>
      <x:c r="J2" s="11"/>
      <x:c r="K2" s="11"/>
    </x:row>
    <x:row r="3">
      <x:c r="A3" s="12" t="str">
        <x:v>Validated simulator outputs and joint decision</x:v>
      </x:c>
      <x:c r="B3" s="12"/>
      <x:c r="C3" s="12"/>
      <x:c r="D3" s="12"/>
      <x:c r="E3" s="12"/>
      <x:c r="F3" s="12"/>
      <x:c r="G3" s="12"/>
      <x:c r="H3" s="12"/>
      <x:c r="I3" s="12"/>
      <x:c r="J3" s="12"/>
      <x:c r="K3" s="12"/>
    </x:row>
    <x:row r="4">
      <x:c r="A4" s="1"/>
      <x:c r="B4" s="1"/>
      <x:c r="C4" s="1"/>
      <x:c r="D4" s="1"/>
      <x:c r="E4" s="1"/>
      <x:c r="F4" s="1"/>
      <x:c r="G4" s="1"/>
      <x:c r="H4" s="1"/>
      <x:c r="I4" s="1"/>
      <x:c r="J4" s="1"/>
      <x:c r="K4" s="1"/>
    </x:row>
    <x:row r="5">
      <x:c r="A5" s="15" t="str">
        <x:v>Final engineering conclusion</x:v>
      </x:c>
      <x:c r="B5" s="15" t="str">
        <x:v>Final engineering conclusion</x:v>
      </x:c>
      <x:c r="C5" s="15" t="str">
        <x:v>Final engineering conclusion</x:v>
      </x:c>
      <x:c r="D5" s="15" t="str">
        <x:v>Final engineering conclusion</x:v>
      </x:c>
      <x:c r="E5" s="15" t="str">
        <x:v>Final engineering conclusion</x:v>
      </x:c>
      <x:c r="F5" s="15" t="str">
        <x:v>Final engineering conclusion</x:v>
      </x:c>
      <x:c r="G5" s="15" t="str">
        <x:v>Final engineering conclusion</x:v>
      </x:c>
      <x:c r="H5" s="15" t="str">
        <x:v>Final engineering conclusion</x:v>
      </x:c>
      <x:c r="I5" s="15" t="str">
        <x:v>Final engineering conclusion</x:v>
      </x:c>
      <x:c r="J5" s="15" t="str">
        <x:v>Final engineering conclusion</x:v>
      </x:c>
      <x:c r="K5" s="15" t="str">
        <x:v>Final engineering conclusion</x:v>
      </x:c>
    </x:row>
    <x:row r="6">
      <x:c r="A6" s="45" t="str">
        <x:v>Recommend D, replacement with balanced membranes. Membrane water is 0.4206 kg/s, NaCl 263.3 mg/L and CP 1.334; plant product flow is 0.044740 m³/s, SEC 2.670 kWh/m³ and LCOW $1.084/m³. Cleaning and expansion restore output but cannot reduce salt passage below 350 mg/L.</x:v>
      </x:c>
      <x:c r="B6" s="45"/>
      <x:c r="C6" s="45"/>
      <x:c r="D6" s="45"/>
      <x:c r="E6" s="45"/>
      <x:c r="F6" s="45"/>
      <x:c r="G6" s="45"/>
      <x:c r="H6" s="45"/>
      <x:c r="I6" s="45"/>
      <x:c r="J6" s="45"/>
      <x:c r="K6" s="45"/>
    </x:row>
    <x:row r="7">
      <x:c r="A7" s="45"/>
      <x:c r="B7" s="45"/>
      <x:c r="C7" s="45"/>
      <x:c r="D7" s="45"/>
      <x:c r="E7" s="45"/>
      <x:c r="F7" s="45"/>
      <x:c r="G7" s="45"/>
      <x:c r="H7" s="45"/>
      <x:c r="I7" s="45"/>
      <x:c r="J7" s="45"/>
      <x:c r="K7" s="45"/>
    </x:row>
    <x:row r="8">
      <x:c r="A8" s="45"/>
      <x:c r="B8" s="45"/>
      <x:c r="C8" s="45"/>
      <x:c r="D8" s="45"/>
      <x:c r="E8" s="45"/>
      <x:c r="F8" s="45"/>
      <x:c r="G8" s="45"/>
      <x:c r="H8" s="45"/>
      <x:c r="I8" s="45"/>
      <x:c r="J8" s="45"/>
      <x:c r="K8" s="45"/>
    </x:row>
    <x:row r="9">
      <x:c r="A9" s="1"/>
      <x:c r="B9" s="1"/>
      <x:c r="C9" s="1"/>
      <x:c r="D9" s="1"/>
      <x:c r="E9" s="1"/>
      <x:c r="F9" s="1"/>
      <x:c r="G9" s="1"/>
      <x:c r="H9" s="1"/>
      <x:c r="I9" s="1"/>
      <x:c r="J9" s="1"/>
      <x:c r="K9" s="1"/>
    </x:row>
    <x:row r="10">
      <x:c r="A10" s="15" t="str">
        <x:v>Branch A — simulate_ro (independent membrane-unit calls)</x:v>
      </x:c>
      <x:c r="B10" s="15" t="str">
        <x:v>Branch A — simulate_ro (independent membrane-unit calls)</x:v>
      </x:c>
      <x:c r="C10" s="15" t="str">
        <x:v>Branch A — simulate_ro (independent membrane-unit calls)</x:v>
      </x:c>
      <x:c r="D10" s="15" t="str">
        <x:v>Branch A — simulate_ro (independent membrane-unit calls)</x:v>
      </x:c>
      <x:c r="E10" s="15" t="str">
        <x:v>Branch A — simulate_ro (independent membrane-unit calls)</x:v>
      </x:c>
      <x:c r="F10" s="15" t="str">
        <x:v>Branch A — simulate_ro (independent membrane-unit calls)</x:v>
      </x:c>
      <x:c r="G10" s="15" t="str">
        <x:v>Branch A — simulate_ro (independent membrane-unit calls)</x:v>
      </x:c>
      <x:c r="H10" s="1"/>
      <x:c r="I10" s="1"/>
      <x:c r="J10" s="1"/>
      <x:c r="K10" s="1"/>
    </x:row>
    <x:row r="11">
      <x:c r="A11" s="25" t="str">
        <x:v>ID</x:v>
      </x:c>
      <x:c r="B11" s="25" t="str">
        <x:v>Water flux (LMH)</x:v>
      </x:c>
      <x:c r="C11" s="25" t="str">
        <x:v>Water (kg/s)</x:v>
      </x:c>
      <x:c r="D11" s="25" t="str">
        <x:v>NaCl (mg/L)</x:v>
      </x:c>
      <x:c r="E11" s="25" t="str">
        <x:v>Recovery (%)</x:v>
      </x:c>
      <x:c r="F11" s="25" t="str">
        <x:v>Inlet CP</x:v>
      </x:c>
      <x:c r="G11" s="25" t="str">
        <x:v>Membrane result</x:v>
      </x:c>
      <x:c r="H11" s="1"/>
      <x:c r="I11" s="1"/>
      <x:c r="J11" s="1"/>
      <x:c r="K11" s="1"/>
    </x:row>
    <x:row r="12">
      <x:c r="A12" s="29" t="str">
        <x:v>A</x:v>
      </x:c>
      <x:c r="B12" s="46" t="n">
        <x:v>21.771653</x:v>
      </x:c>
      <x:c r="C12" s="46" t="n">
        <x:v>0.36286089</x:v>
      </x:c>
      <x:c r="D12" s="46" t="n">
        <x:v>402.2185</x:v>
      </x:c>
      <x:c r="E12" s="46" t="n">
        <x:v>37.1719</x:v>
      </x:c>
      <x:c r="F12" s="46" t="n">
        <x:v>1.250623</x:v>
      </x:c>
      <x:c r="G12" s="29" t="str">
        <x:f>IF(AND(C12&gt;=0.39,D12&lt;=350,F12&lt;=1.34),"PASS","FAIL")</x:f>
        <x:v>FAIL</x:v>
      </x:c>
      <x:c r="H12" s="1"/>
      <x:c r="I12" s="1"/>
      <x:c r="J12" s="1"/>
      <x:c r="K12" s="1"/>
    </x:row>
    <x:row r="13">
      <x:c r="A13" s="29" t="str">
        <x:v>B</x:v>
      </x:c>
      <x:c r="B13" s="46" t="n">
        <x:v>23.739556</x:v>
      </x:c>
      <x:c r="C13" s="46" t="n">
        <x:v>0.39565926</x:v>
      </x:c>
      <x:c r="D13" s="46" t="n">
        <x:v>385.2995</x:v>
      </x:c>
      <x:c r="E13" s="46" t="n">
        <x:v>40.5317</x:v>
      </x:c>
      <x:c r="F13" s="46" t="n">
        <x:v>1.293637</x:v>
      </x:c>
      <x:c r="G13" s="29" t="str">
        <x:f>IF(AND(C13&gt;=0.39,D13&lt;=350,F13&lt;=1.34),"PASS","FAIL")</x:f>
        <x:v>FAIL</x:v>
      </x:c>
      <x:c r="H13" s="1"/>
      <x:c r="I13" s="1"/>
      <x:c r="J13" s="1"/>
      <x:c r="K13" s="1"/>
    </x:row>
    <x:row r="14">
      <x:c r="A14" s="29" t="str">
        <x:v>C</x:v>
      </x:c>
      <x:c r="B14" s="46" t="n">
        <x:v>20.454794</x:v>
      </x:c>
      <x:c r="C14" s="46" t="n">
        <x:v>0.3977321</x:v>
      </x:c>
      <x:c r="D14" s="46" t="n">
        <x:v>440.5656</x:v>
      </x:c>
      <x:c r="E14" s="46" t="n">
        <x:v>40.7446</x:v>
      </x:c>
      <x:c r="F14" s="46" t="n">
        <x:v>1.263151</x:v>
      </x:c>
      <x:c r="G14" s="29" t="str">
        <x:f>IF(AND(C14&gt;=0.39,D14&lt;=350,F14&lt;=1.34),"PASS","FAIL")</x:f>
        <x:v>FAIL</x:v>
      </x:c>
      <x:c r="H14" s="1"/>
      <x:c r="I14" s="1"/>
      <x:c r="J14" s="1"/>
      <x:c r="K14" s="1"/>
    </x:row>
    <x:row r="15">
      <x:c r="A15" s="29" t="str">
        <x:v>D</x:v>
      </x:c>
      <x:c r="B15" s="46" t="n">
        <x:v>25.236254</x:v>
      </x:c>
      <x:c r="C15" s="46" t="n">
        <x:v>0.42060423</x:v>
      </x:c>
      <x:c r="D15" s="46" t="n">
        <x:v>263.3281</x:v>
      </x:c>
      <x:c r="E15" s="46" t="n">
        <x:v>43.0858</x:v>
      </x:c>
      <x:c r="F15" s="46" t="n">
        <x:v>1.334131</x:v>
      </x:c>
      <x:c r="G15" s="29" t="str">
        <x:f>IF(AND(C15&gt;=0.39,D15&lt;=350,F15&lt;=1.34),"PASS","FAIL")</x:f>
        <x:v>PASS</x:v>
      </x:c>
      <x:c r="H15" s="1"/>
      <x:c r="I15" s="1"/>
      <x:c r="J15" s="1"/>
      <x:c r="K15" s="1"/>
    </x:row>
    <x:row r="16">
      <x:c r="A16" s="1"/>
      <x:c r="B16" s="1"/>
      <x:c r="C16" s="1"/>
      <x:c r="D16" s="1"/>
      <x:c r="E16" s="1"/>
      <x:c r="F16" s="1"/>
      <x:c r="G16" s="1"/>
      <x:c r="H16" s="1"/>
      <x:c r="I16" s="1"/>
      <x:c r="J16" s="1"/>
      <x:c r="K16" s="1"/>
    </x:row>
    <x:row r="17">
      <x:c r="A17" s="15" t="str">
        <x:v>Branch B — simulate_swro_system (independent plant calls)</x:v>
      </x:c>
      <x:c r="B17" s="15" t="str">
        <x:v>Branch B — simulate_swro_system (independent plant calls)</x:v>
      </x:c>
      <x:c r="C17" s="15" t="str">
        <x:v>Branch B — simulate_swro_system (independent plant calls)</x:v>
      </x:c>
      <x:c r="D17" s="15" t="str">
        <x:v>Branch B — simulate_swro_system (independent plant calls)</x:v>
      </x:c>
      <x:c r="E17" s="15" t="str">
        <x:v>Branch B — simulate_swro_system (independent plant calls)</x:v>
      </x:c>
      <x:c r="F17" s="15" t="str">
        <x:v>Branch B — simulate_swro_system (independent plant calls)</x:v>
      </x:c>
      <x:c r="G17" s="15" t="str">
        <x:v>Branch B — simulate_swro_system (independent plant calls)</x:v>
      </x:c>
      <x:c r="H17" s="15" t="str">
        <x:v>Branch B — simulate_swro_system (independent plant calls)</x:v>
      </x:c>
      <x:c r="I17" s="1"/>
      <x:c r="J17" s="1"/>
      <x:c r="K17" s="1"/>
    </x:row>
    <x:row r="18">
      <x:c r="A18" s="25" t="str">
        <x:v>ID</x:v>
      </x:c>
      <x:c r="B18" s="25" t="str">
        <x:v>Product (m³/s)</x:v>
      </x:c>
      <x:c r="C18" s="25" t="str">
        <x:v>Product (m³/d)</x:v>
      </x:c>
      <x:c r="D18" s="25" t="str">
        <x:v>SEC (kWh/m³)</x:v>
      </x:c>
      <x:c r="E18" s="25" t="str">
        <x:v>LCOW ($/m³)</x:v>
      </x:c>
      <x:c r="F18" s="25" t="str">
        <x:v>CAPEX ($M)</x:v>
      </x:c>
      <x:c r="G18" s="25" t="str">
        <x:v>Plant result</x:v>
      </x:c>
      <x:c r="H18" s="25" t="str">
        <x:v>Call</x:v>
      </x:c>
      <x:c r="I18" s="1"/>
      <x:c r="J18" s="1"/>
      <x:c r="K18" s="1"/>
    </x:row>
    <x:row r="19">
      <x:c r="A19" s="29" t="str">
        <x:v>A</x:v>
      </x:c>
      <x:c r="B19" s="46" t="n">
        <x:v>0.03908827</x:v>
      </x:c>
      <x:c r="C19" s="46" t="n">
        <x:f>B19*86400</x:f>
        <x:v>3377.226528</x:v>
      </x:c>
      <x:c r="D19" s="46" t="n">
        <x:v>2.70649</x:v>
      </x:c>
      <x:c r="E19" s="46" t="n">
        <x:v>1.196305</x:v>
      </x:c>
      <x:c r="F19" s="46" t="n">
        <x:v>12.7165822</x:v>
      </x:c>
      <x:c r="G19" s="29" t="str">
        <x:f>IF(AND(B19&gt;=0.042,D19&lt;=2.7),"PASS","FAIL")</x:f>
        <x:v>FAIL</x:v>
      </x:c>
      <x:c r="H19" s="29" t="str">
        <x:v>simulate_swro_system</x:v>
      </x:c>
      <x:c r="I19" s="1"/>
      <x:c r="J19" s="1"/>
      <x:c r="K19" s="1"/>
    </x:row>
    <x:row r="20">
      <x:c r="A20" s="29" t="str">
        <x:v>B</x:v>
      </x:c>
      <x:c r="B20" s="46" t="n">
        <x:v>0.04231764</x:v>
      </x:c>
      <x:c r="C20" s="46" t="n">
        <x:f>B20*86400</x:f>
        <x:v>3656.244096</x:v>
      </x:c>
      <x:c r="D20" s="46" t="n">
        <x:v>2.684083</x:v>
      </x:c>
      <x:c r="E20" s="46" t="n">
        <x:v>1.128668</x:v>
      </x:c>
      <x:c r="F20" s="46" t="n">
        <x:v>12.90648536</x:v>
      </x:c>
      <x:c r="G20" s="29" t="str">
        <x:f>IF(AND(B20&gt;=0.042,D20&lt;=2.7),"PASS","FAIL")</x:f>
        <x:v>PASS</x:v>
      </x:c>
      <x:c r="H20" s="29" t="str">
        <x:v>simulate_swro_system</x:v>
      </x:c>
      <x:c r="I20" s="1"/>
      <x:c r="J20" s="1"/>
      <x:c r="K20" s="1"/>
    </x:row>
    <x:row r="21">
      <x:c r="A21" s="29" t="str">
        <x:v>C</x:v>
      </x:c>
      <x:c r="B21" s="46" t="n">
        <x:v>0.04328402</x:v>
      </x:c>
      <x:c r="C21" s="46" t="n">
        <x:f>B21*86400</x:f>
        <x:v>3739.739328</x:v>
      </x:c>
      <x:c r="D21" s="46" t="n">
        <x:v>2.679413</x:v>
      </x:c>
      <x:c r="E21" s="46" t="n">
        <x:v>1.119047</x:v>
      </x:c>
      <x:c r="F21" s="46" t="n">
        <x:v>13.02327866</x:v>
      </x:c>
      <x:c r="G21" s="29" t="str">
        <x:f>IF(AND(B21&gt;=0.042,D21&lt;=2.7),"PASS","FAIL")</x:f>
        <x:v>PASS</x:v>
      </x:c>
      <x:c r="H21" s="29" t="str">
        <x:v>simulate_swro_system</x:v>
      </x:c>
      <x:c r="I21" s="1"/>
      <x:c r="J21" s="1"/>
      <x:c r="K21" s="1"/>
    </x:row>
    <x:row r="22">
      <x:c r="A22" s="29" t="str">
        <x:v>D</x:v>
      </x:c>
      <x:c r="B22" s="46" t="n">
        <x:v>0.04474039</x:v>
      </x:c>
      <x:c r="C22" s="46" t="n">
        <x:f>B22*86400</x:f>
        <x:v>3865.569696</x:v>
      </x:c>
      <x:c r="D22" s="46" t="n">
        <x:v>2.66956</x:v>
      </x:c>
      <x:c r="E22" s="46" t="n">
        <x:v>1.08419</x:v>
      </x:c>
      <x:c r="F22" s="46" t="n">
        <x:v>13.046176460000002</x:v>
      </x:c>
      <x:c r="G22" s="29" t="str">
        <x:f>IF(AND(B22&gt;=0.042,D22&lt;=2.7),"PASS","FAIL")</x:f>
        <x:v>PASS</x:v>
      </x:c>
      <x:c r="H22" s="29" t="str">
        <x:v>simulate_swro_system</x:v>
      </x:c>
      <x:c r="I22" s="1"/>
      <x:c r="J22" s="1"/>
      <x:c r="K22" s="1"/>
    </x:row>
    <x:row r="23">
      <x:c r="A23" s="1"/>
      <x:c r="B23" s="1"/>
      <x:c r="C23" s="1"/>
      <x:c r="D23" s="1"/>
      <x:c r="E23" s="1"/>
      <x:c r="F23" s="1"/>
      <x:c r="G23" s="1"/>
      <x:c r="H23" s="1"/>
      <x:c r="I23" s="1"/>
      <x:c r="J23" s="1"/>
      <x:c r="K23" s="1"/>
    </x:row>
    <x:row r="24">
      <x:c r="A24" s="15" t="str">
        <x:v>Joint constraints and ranking (join key: candidate/policy ID)</x:v>
      </x:c>
      <x:c r="B24" s="15" t="str">
        <x:v>Joint constraints and ranking (join key: candidate/policy ID)</x:v>
      </x:c>
      <x:c r="C24" s="15" t="str">
        <x:v>Joint constraints and ranking (join key: candidate/policy ID)</x:v>
      </x:c>
      <x:c r="D24" s="15" t="str">
        <x:v>Joint constraints and ranking (join key: candidate/policy ID)</x:v>
      </x:c>
      <x:c r="E24" s="15" t="str">
        <x:v>Joint constraints and ranking (join key: candidate/policy ID)</x:v>
      </x:c>
      <x:c r="F24" s="15" t="str">
        <x:v>Joint constraints and ranking (join key: candidate/policy ID)</x:v>
      </x:c>
      <x:c r="G24" s="15" t="str">
        <x:v>Joint constraints and ranking (join key: candidate/policy ID)</x:v>
      </x:c>
      <x:c r="H24" s="15" t="str">
        <x:v>Joint constraints and ranking (join key: candidate/policy ID)</x:v>
      </x:c>
      <x:c r="I24" s="15" t="str">
        <x:v>Joint constraints and ranking (join key: candidate/policy ID)</x:v>
      </x:c>
      <x:c r="J24" s="15" t="str">
        <x:v>Joint constraints and ranking (join key: candidate/policy ID)</x:v>
      </x:c>
      <x:c r="K24" s="15" t="str">
        <x:v>Joint constraints and ranking (join key: candidate/policy ID)</x:v>
      </x:c>
    </x:row>
    <x:row r="25">
      <x:c r="A25" s="25" t="str">
        <x:v>ID</x:v>
      </x:c>
      <x:c r="B25" s="25" t="str">
        <x:v>Water kg/s</x:v>
      </x:c>
      <x:c r="C25" s="25" t="str">
        <x:v>NaCl mg/L</x:v>
      </x:c>
      <x:c r="D25" s="25" t="str">
        <x:v>CP</x:v>
      </x:c>
      <x:c r="E25" s="25" t="str">
        <x:v>Plant m³/s</x:v>
      </x:c>
      <x:c r="F25" s="25" t="str">
        <x:v>Plant m³/d</x:v>
      </x:c>
      <x:c r="G25" s="25" t="str">
        <x:v>SEC</x:v>
      </x:c>
      <x:c r="H25" s="25" t="str">
        <x:v>LCOW</x:v>
      </x:c>
      <x:c r="I25" s="25" t="str">
        <x:v>Membrane</x:v>
      </x:c>
      <x:c r="J25" s="25" t="str">
        <x:v>Plant</x:v>
      </x:c>
      <x:c r="K25" s="25" t="str">
        <x:v>Joint</x:v>
      </x:c>
    </x:row>
    <x:row r="26">
      <x:c r="A26" s="29" t="str">
        <x:f>A12</x:f>
        <x:v>A</x:v>
      </x:c>
      <x:c r="B26" s="46" t="n">
        <x:f>C12</x:f>
        <x:v>0.36286089</x:v>
      </x:c>
      <x:c r="C26" s="46" t="n">
        <x:f>D12</x:f>
        <x:v>402.2185</x:v>
      </x:c>
      <x:c r="D26" s="46" t="n">
        <x:f>F12</x:f>
        <x:v>1.250623</x:v>
      </x:c>
      <x:c r="E26" s="46" t="n">
        <x:f>B19</x:f>
        <x:v>0.03908827</x:v>
      </x:c>
      <x:c r="F26" s="46" t="n">
        <x:f>E26*86400</x:f>
        <x:v>3377.226528</x:v>
      </x:c>
      <x:c r="G26" s="46" t="n">
        <x:f>D19</x:f>
        <x:v>2.70649</x:v>
      </x:c>
      <x:c r="H26" s="46" t="n">
        <x:f>E19</x:f>
        <x:v>1.196305</x:v>
      </x:c>
      <x:c r="I26" s="29" t="str">
        <x:f>G12</x:f>
        <x:v>FAIL</x:v>
      </x:c>
      <x:c r="J26" s="29" t="str">
        <x:f>G19</x:f>
        <x:v>FAIL</x:v>
      </x:c>
      <x:c r="K26" s="29" t="str">
        <x:f>IF(AND(I26="PASS",J26="PASS"),"PASS","FAIL")</x:f>
        <x:v>FAIL</x:v>
      </x:c>
    </x:row>
    <x:row r="27">
      <x:c r="A27" s="29" t="str">
        <x:f>A13</x:f>
        <x:v>B</x:v>
      </x:c>
      <x:c r="B27" s="46" t="n">
        <x:f>C13</x:f>
        <x:v>0.39565926</x:v>
      </x:c>
      <x:c r="C27" s="46" t="n">
        <x:f>D13</x:f>
        <x:v>385.2995</x:v>
      </x:c>
      <x:c r="D27" s="46" t="n">
        <x:f>F13</x:f>
        <x:v>1.293637</x:v>
      </x:c>
      <x:c r="E27" s="46" t="n">
        <x:f>B20</x:f>
        <x:v>0.04231764</x:v>
      </x:c>
      <x:c r="F27" s="46" t="n">
        <x:f>E27*86400</x:f>
        <x:v>3656.244096</x:v>
      </x:c>
      <x:c r="G27" s="46" t="n">
        <x:f>D20</x:f>
        <x:v>2.684083</x:v>
      </x:c>
      <x:c r="H27" s="46" t="n">
        <x:f>E20</x:f>
        <x:v>1.128668</x:v>
      </x:c>
      <x:c r="I27" s="29" t="str">
        <x:f>G13</x:f>
        <x:v>FAIL</x:v>
      </x:c>
      <x:c r="J27" s="29" t="str">
        <x:f>G20</x:f>
        <x:v>PASS</x:v>
      </x:c>
      <x:c r="K27" s="29" t="str">
        <x:f>IF(AND(I27="PASS",J27="PASS"),"PASS","FAIL")</x:f>
        <x:v>FAIL</x:v>
      </x:c>
    </x:row>
    <x:row r="28">
      <x:c r="A28" s="29" t="str">
        <x:f>A14</x:f>
        <x:v>C</x:v>
      </x:c>
      <x:c r="B28" s="46" t="n">
        <x:f>C14</x:f>
        <x:v>0.3977321</x:v>
      </x:c>
      <x:c r="C28" s="46" t="n">
        <x:f>D14</x:f>
        <x:v>440.5656</x:v>
      </x:c>
      <x:c r="D28" s="46" t="n">
        <x:f>F14</x:f>
        <x:v>1.263151</x:v>
      </x:c>
      <x:c r="E28" s="46" t="n">
        <x:f>B21</x:f>
        <x:v>0.04328402</x:v>
      </x:c>
      <x:c r="F28" s="46" t="n">
        <x:f>E28*86400</x:f>
        <x:v>3739.739328</x:v>
      </x:c>
      <x:c r="G28" s="46" t="n">
        <x:f>D21</x:f>
        <x:v>2.679413</x:v>
      </x:c>
      <x:c r="H28" s="46" t="n">
        <x:f>E21</x:f>
        <x:v>1.119047</x:v>
      </x:c>
      <x:c r="I28" s="29" t="str">
        <x:f>G14</x:f>
        <x:v>FAIL</x:v>
      </x:c>
      <x:c r="J28" s="29" t="str">
        <x:f>G21</x:f>
        <x:v>PASS</x:v>
      </x:c>
      <x:c r="K28" s="29" t="str">
        <x:f>IF(AND(I28="PASS",J28="PASS"),"PASS","FAIL")</x:f>
        <x:v>FAIL</x:v>
      </x:c>
    </x:row>
    <x:row r="29">
      <x:c r="A29" s="47" t="str">
        <x:f>A15</x:f>
        <x:v>D</x:v>
      </x:c>
      <x:c r="B29" s="48" t="n">
        <x:f>C15</x:f>
        <x:v>0.42060423</x:v>
      </x:c>
      <x:c r="C29" s="48" t="n">
        <x:f>D15</x:f>
        <x:v>263.3281</x:v>
      </x:c>
      <x:c r="D29" s="48" t="n">
        <x:f>F15</x:f>
        <x:v>1.334131</x:v>
      </x:c>
      <x:c r="E29" s="48" t="n">
        <x:f>B22</x:f>
        <x:v>0.04474039</x:v>
      </x:c>
      <x:c r="F29" s="48" t="n">
        <x:f>E29*86400</x:f>
        <x:v>3865.569696</x:v>
      </x:c>
      <x:c r="G29" s="48" t="n">
        <x:f>D22</x:f>
        <x:v>2.66956</x:v>
      </x:c>
      <x:c r="H29" s="48" t="n">
        <x:f>E22</x:f>
        <x:v>1.08419</x:v>
      </x:c>
      <x:c r="I29" s="47" t="str">
        <x:f>G15</x:f>
        <x:v>PASS</x:v>
      </x:c>
      <x:c r="J29" s="47" t="str">
        <x:f>G22</x:f>
        <x:v>PASS</x:v>
      </x:c>
      <x:c r="K29" s="47" t="str">
        <x:f>IF(AND(I29="PASS",J29="PASS"),"PASS","FAIL")</x:f>
        <x:v>PASS</x:v>
      </x:c>
    </x:row>
    <x:row r="30">
      <x:c r="A30" s="1"/>
      <x:c r="B30" s="1"/>
      <x:c r="C30" s="1"/>
      <x:c r="D30" s="1"/>
      <x:c r="E30" s="1"/>
      <x:c r="F30" s="1"/>
      <x:c r="G30" s="1"/>
      <x:c r="H30" s="1"/>
      <x:c r="I30" s="1"/>
      <x:c r="J30" s="1"/>
      <x:c r="K30" s="1"/>
    </x:row>
    <x:row r="31">
      <x:c r="A31" s="1"/>
      <x:c r="B31" s="1"/>
      <x:c r="C31" s="1"/>
      <x:c r="D31" s="1"/>
      <x:c r="E31" s="1"/>
      <x:c r="F31" s="1"/>
      <x:c r="G31" s="1"/>
      <x:c r="H31" s="1"/>
      <x:c r="I31" s="1"/>
      <x:c r="J31" s="1"/>
      <x:c r="K31" s="1"/>
    </x:row>
    <x:row r="32">
      <x:c r="A32" s="15" t="str">
        <x:v>Audit notes</x:v>
      </x:c>
      <x:c r="B32" s="15" t="str">
        <x:v>Audit notes</x:v>
      </x:c>
      <x:c r="C32" s="15" t="str">
        <x:v>Audit notes</x:v>
      </x:c>
      <x:c r="D32" s="15" t="str">
        <x:v>Audit notes</x:v>
      </x:c>
      <x:c r="E32" s="15" t="str">
        <x:v>Audit notes</x:v>
      </x:c>
      <x:c r="F32" s="15" t="str">
        <x:v>Audit notes</x:v>
      </x:c>
      <x:c r="G32" s="15" t="str">
        <x:v>Audit notes</x:v>
      </x:c>
      <x:c r="H32" s="15" t="str">
        <x:v>Audit notes</x:v>
      </x:c>
      <x:c r="I32" s="15" t="str">
        <x:v>Audit notes</x:v>
      </x:c>
      <x:c r="J32" s="15" t="str">
        <x:v>Audit notes</x:v>
      </x:c>
      <x:c r="K32" s="15" t="str">
        <x:v>Audit notes</x:v>
      </x:c>
    </x:row>
    <x:row r="33">
      <x:c r="A33" s="51" t="str">
        <x:v>All numeric rows above are direct outputs from the connected ROprocess simulators. Daily product and joint status are spreadsheet formulas. Branches are parallel: the same candidate inputs are used independently, and results are joined only after both calls finish.</x:v>
      </x:c>
      <x:c r="B33" s="51"/>
      <x:c r="C33" s="51"/>
      <x:c r="D33" s="51"/>
      <x:c r="E33" s="51"/>
      <x:c r="F33" s="51"/>
      <x:c r="G33" s="51"/>
      <x:c r="H33" s="51"/>
      <x:c r="I33" s="51"/>
      <x:c r="J33" s="51"/>
      <x:c r="K33" s="51"/>
    </x:row>
    <x:row r="34">
      <x:c r="A34" s="51"/>
      <x:c r="B34" s="51"/>
      <x:c r="C34" s="51"/>
      <x:c r="D34" s="51"/>
      <x:c r="E34" s="51"/>
      <x:c r="F34" s="51"/>
      <x:c r="G34" s="51"/>
      <x:c r="H34" s="51"/>
      <x:c r="I34" s="51"/>
      <x:c r="J34" s="51"/>
      <x:c r="K34" s="51"/>
    </x:row>
    <x:row r="35">
      <x:c r="A35" s="51"/>
      <x:c r="B35" s="51"/>
      <x:c r="C35" s="51"/>
      <x:c r="D35" s="51"/>
      <x:c r="E35" s="51"/>
      <x:c r="F35" s="51"/>
      <x:c r="G35" s="51"/>
      <x:c r="H35" s="51"/>
      <x:c r="I35" s="51"/>
      <x:c r="J35" s="51"/>
      <x:c r="K35" s="51"/>
    </x:row>
    <x:row r="36">
      <x:c r="A36" s="1"/>
      <x:c r="B36" s="1"/>
      <x:c r="C36" s="1"/>
      <x:c r="D36" s="1"/>
      <x:c r="E36" s="1"/>
      <x:c r="F36" s="1"/>
      <x:c r="G36" s="1"/>
      <x:c r="H36" s="1"/>
      <x:c r="I36" s="1"/>
      <x:c r="J36" s="1"/>
      <x:c r="K36" s="1"/>
    </x:row>
    <x:row r="37">
      <x:c r="A37" s="1"/>
      <x:c r="B37" s="1"/>
      <x:c r="C37" s="1"/>
      <x:c r="D37" s="1"/>
      <x:c r="E37" s="1"/>
      <x:c r="F37" s="1"/>
      <x:c r="G37" s="1"/>
      <x:c r="H37" s="1"/>
      <x:c r="I37" s="1"/>
      <x:c r="J37" s="1"/>
      <x:c r="K37" s="1"/>
    </x:row>
    <x:row r="38">
      <x:c r="A38" s="1"/>
      <x:c r="B38" s="1"/>
      <x:c r="C38" s="1"/>
      <x:c r="D38" s="1"/>
      <x:c r="E38" s="1"/>
      <x:c r="F38" s="1"/>
      <x:c r="G38" s="1"/>
      <x:c r="H38" s="1"/>
      <x:c r="I38" s="1"/>
      <x:c r="J38" s="1"/>
      <x:c r="K38" s="1"/>
    </x:row>
    <x:row r="39">
      <x:c r="A39" s="1"/>
      <x:c r="B39" s="1"/>
      <x:c r="C39" s="1"/>
      <x:c r="D39" s="1"/>
      <x:c r="E39" s="1"/>
      <x:c r="F39" s="1"/>
      <x:c r="G39" s="1"/>
      <x:c r="H39" s="1"/>
      <x:c r="I39" s="1"/>
      <x:c r="J39" s="1"/>
      <x:c r="K39" s="1"/>
    </x:row>
    <x:row r="40">
      <x:c r="A40" s="1"/>
      <x:c r="B40" s="1"/>
      <x:c r="C40" s="1"/>
      <x:c r="D40" s="1"/>
      <x:c r="E40" s="1"/>
      <x:c r="F40" s="1"/>
      <x:c r="G40" s="1"/>
      <x:c r="H40" s="1"/>
      <x:c r="I40" s="1"/>
      <x:c r="J40" s="1"/>
      <x:c r="K40" s="1"/>
    </x:row>
    <x:row r="41">
      <x:c r="A41" s="1"/>
      <x:c r="B41" s="1"/>
      <x:c r="C41" s="1"/>
      <x:c r="D41" s="1"/>
      <x:c r="E41" s="1"/>
      <x:c r="F41" s="1"/>
      <x:c r="G41" s="1"/>
      <x:c r="H41" s="1"/>
      <x:c r="I41" s="1"/>
      <x:c r="J41" s="1"/>
      <x:c r="K41" s="1"/>
    </x:row>
    <x:row r="42">
      <x:c r="A42" s="1"/>
      <x:c r="B42" s="1"/>
      <x:c r="C42" s="1"/>
      <x:c r="D42" s="1"/>
      <x:c r="E42" s="1"/>
      <x:c r="F42" s="1"/>
      <x:c r="G42" s="1"/>
      <x:c r="H42" s="1"/>
      <x:c r="I42" s="1"/>
      <x:c r="J42" s="1"/>
      <x:c r="K42" s="1"/>
    </x:row>
    <x:row r="43">
      <x:c r="A43" s="1"/>
      <x:c r="B43" s="1"/>
      <x:c r="C43" s="1"/>
      <x:c r="D43" s="1"/>
      <x:c r="E43" s="1"/>
      <x:c r="F43" s="1"/>
      <x:c r="G43" s="1"/>
      <x:c r="H43" s="1"/>
      <x:c r="I43" s="1"/>
      <x:c r="J43" s="1"/>
      <x:c r="K43" s="1"/>
    </x:row>
    <x:row r="44">
      <x:c r="A44" s="1"/>
      <x:c r="B44" s="1"/>
      <x:c r="C44" s="1"/>
      <x:c r="D44" s="1"/>
      <x:c r="E44" s="1"/>
      <x:c r="F44" s="1"/>
      <x:c r="G44" s="1"/>
      <x:c r="H44" s="1"/>
      <x:c r="I44" s="1"/>
      <x:c r="J44" s="1"/>
      <x:c r="K44" s="1"/>
    </x:row>
    <x:row r="45">
      <x:c r="A45" s="1"/>
      <x:c r="B45" s="1"/>
      <x:c r="C45" s="1"/>
      <x:c r="D45" s="1"/>
      <x:c r="E45" s="1"/>
      <x:c r="F45" s="1"/>
      <x:c r="G45" s="1"/>
      <x:c r="H45" s="1"/>
      <x:c r="I45" s="1"/>
      <x:c r="J45" s="1"/>
      <x:c r="K45" s="1"/>
    </x:row>
    <x:row r="46">
      <x:c r="A46" s="1"/>
      <x:c r="B46" s="1"/>
      <x:c r="C46" s="1"/>
      <x:c r="D46" s="1"/>
      <x:c r="E46" s="1"/>
      <x:c r="F46" s="1"/>
      <x:c r="G46" s="1"/>
      <x:c r="H46" s="1"/>
      <x:c r="I46" s="1"/>
      <x:c r="J46" s="1"/>
      <x:c r="K46" s="1"/>
    </x:row>
    <x:row r="47">
      <x:c r="A47" s="1"/>
      <x:c r="B47" s="1"/>
      <x:c r="C47" s="1"/>
      <x:c r="D47" s="1"/>
      <x:c r="E47" s="1"/>
      <x:c r="F47" s="1"/>
      <x:c r="G47" s="1"/>
      <x:c r="H47" s="1"/>
      <x:c r="I47" s="1"/>
      <x:c r="J47" s="1"/>
      <x:c r="K47" s="1"/>
    </x:row>
    <x:row r="48">
      <x:c r="A48" s="1"/>
      <x:c r="B48" s="1"/>
      <x:c r="C48" s="1"/>
      <x:c r="D48" s="1"/>
      <x:c r="E48" s="1"/>
      <x:c r="F48" s="1"/>
      <x:c r="G48" s="1"/>
      <x:c r="H48" s="1"/>
      <x:c r="I48" s="1"/>
      <x:c r="J48" s="1"/>
      <x:c r="K48" s="1"/>
    </x:row>
    <x:row r="49">
      <x:c r="A49" s="1"/>
      <x:c r="B49" s="1"/>
      <x:c r="C49" s="1"/>
      <x:c r="D49" s="1"/>
      <x:c r="E49" s="1"/>
      <x:c r="F49" s="1"/>
      <x:c r="G49" s="1"/>
      <x:c r="H49" s="1"/>
      <x:c r="I49" s="1"/>
      <x:c r="J49" s="1"/>
      <x:c r="K49" s="1"/>
    </x:row>
    <x:row r="50">
      <x:c r="A50" s="1"/>
      <x:c r="B50" s="1"/>
      <x:c r="C50" s="1"/>
      <x:c r="D50" s="1"/>
      <x:c r="E50" s="1"/>
      <x:c r="F50" s="1"/>
      <x:c r="G50" s="1"/>
      <x:c r="H50" s="1"/>
      <x:c r="I50" s="1"/>
      <x:c r="J50" s="1"/>
      <x:c r="K50" s="1"/>
    </x:row>
    <x:row r="51">
      <x:c r="A51" s="1"/>
      <x:c r="B51" s="1"/>
      <x:c r="C51" s="1"/>
      <x:c r="D51" s="1"/>
      <x:c r="E51" s="1"/>
      <x:c r="F51" s="1"/>
      <x:c r="G51" s="1"/>
      <x:c r="H51" s="1"/>
      <x:c r="I51" s="1"/>
      <x:c r="J51" s="1"/>
      <x:c r="K51" s="1"/>
    </x:row>
    <x:row r="52">
      <x:c r="A52" s="1"/>
      <x:c r="B52" s="1"/>
      <x:c r="C52" s="1"/>
      <x:c r="D52" s="1"/>
      <x:c r="E52" s="1"/>
      <x:c r="F52" s="1"/>
      <x:c r="G52" s="1"/>
      <x:c r="H52" s="1"/>
      <x:c r="I52" s="1"/>
      <x:c r="J52" s="1"/>
      <x:c r="K52" s="1"/>
    </x:row>
    <x:row r="53">
      <x:c r="A53" s="1"/>
      <x:c r="B53" s="1"/>
      <x:c r="C53" s="1"/>
      <x:c r="D53" s="1"/>
      <x:c r="E53" s="1"/>
      <x:c r="F53" s="1"/>
      <x:c r="G53" s="1"/>
      <x:c r="H53" s="1"/>
      <x:c r="I53" s="1"/>
      <x:c r="J53" s="1"/>
      <x:c r="K53" s="1"/>
    </x:row>
    <x:row r="54">
      <x:c r="A54" s="1"/>
      <x:c r="B54" s="1"/>
      <x:c r="C54" s="1"/>
      <x:c r="D54" s="1"/>
      <x:c r="E54" s="1"/>
      <x:c r="F54" s="1"/>
      <x:c r="G54" s="1"/>
      <x:c r="H54" s="1"/>
      <x:c r="I54" s="1"/>
      <x:c r="J54" s="1"/>
      <x:c r="K54" s="1"/>
    </x:row>
    <x:row r="55">
      <x:c r="A55" s="1"/>
      <x:c r="B55" s="1"/>
      <x:c r="C55" s="1"/>
      <x:c r="D55" s="1"/>
      <x:c r="E55" s="1"/>
      <x:c r="F55" s="1"/>
      <x:c r="G55" s="1"/>
      <x:c r="H55" s="1"/>
      <x:c r="I55" s="1"/>
      <x:c r="J55" s="1"/>
      <x:c r="K55" s="1"/>
    </x:row>
    <x:row r="56">
      <x:c r="A56" s="1"/>
      <x:c r="B56" s="1"/>
      <x:c r="C56" s="1"/>
      <x:c r="D56" s="1"/>
      <x:c r="E56" s="1"/>
      <x:c r="F56" s="1"/>
      <x:c r="G56" s="1"/>
      <x:c r="H56" s="1"/>
      <x:c r="I56" s="1"/>
      <x:c r="J56" s="1"/>
      <x:c r="K56" s="1"/>
    </x:row>
    <x:row r="57">
      <x:c r="A57" s="1"/>
      <x:c r="B57" s="1"/>
      <x:c r="C57" s="1"/>
      <x:c r="D57" s="1"/>
      <x:c r="E57" s="1"/>
      <x:c r="F57" s="1"/>
      <x:c r="G57" s="1"/>
      <x:c r="H57" s="1"/>
      <x:c r="I57" s="1"/>
      <x:c r="J57" s="1"/>
      <x:c r="K57" s="1"/>
    </x:row>
    <x:row r="58">
      <x:c r="A58" s="1"/>
      <x:c r="B58" s="1"/>
      <x:c r="C58" s="1"/>
      <x:c r="D58" s="1"/>
      <x:c r="E58" s="1"/>
      <x:c r="F58" s="1"/>
      <x:c r="G58" s="1"/>
      <x:c r="H58" s="1"/>
      <x:c r="I58" s="1"/>
      <x:c r="J58" s="1"/>
      <x:c r="K58" s="1"/>
    </x:row>
    <x:row r="59">
      <x:c r="A59" s="1"/>
      <x:c r="B59" s="1"/>
      <x:c r="C59" s="1"/>
      <x:c r="D59" s="1"/>
      <x:c r="E59" s="1"/>
      <x:c r="F59" s="1"/>
      <x:c r="G59" s="1"/>
      <x:c r="H59" s="1"/>
      <x:c r="I59" s="1"/>
      <x:c r="J59" s="1"/>
      <x:c r="K59" s="1"/>
    </x:row>
    <x:row r="60">
      <x:c r="A60" s="1"/>
      <x:c r="B60" s="1"/>
      <x:c r="C60" s="1"/>
      <x:c r="D60" s="1"/>
      <x:c r="E60" s="1"/>
      <x:c r="F60" s="1"/>
      <x:c r="G60" s="1"/>
      <x:c r="H60" s="1"/>
      <x:c r="I60" s="1"/>
      <x:c r="J60" s="1"/>
      <x:c r="K60" s="1"/>
    </x:row>
  </x:sheetData>
  <x:mergeCells>
    <x:mergeCell ref="A1:K2"/>
    <x:mergeCell ref="A3:K3"/>
    <x:mergeCell ref="A5:K5"/>
    <x:mergeCell ref="A6:K8"/>
    <x:mergeCell ref="A10:G10"/>
    <x:mergeCell ref="A17:H17"/>
    <x:mergeCell ref="A24:K24"/>
    <x:mergeCell ref="A32:K32"/>
    <x:mergeCell ref="A33:K35"/>
  </x:mergeCells>
  <x:pageMargins left="0.7" right="0.7" top="0.75" bottom="0.75" header="0.3" footer="0.3"/>
</x:worksheet>
</file>

<file path=xl/worksheets/sheet3.xml><?xml version="1.0" encoding="utf-8"?>
<x:worksheet xmlns:x="http://schemas.openxmlformats.org/spreadsheetml/2006/main">
  <x:sheetFormatPr defaultRowHeight="15"/>
  <x:cols>
    <x:col min="1" max="1" width="11" hidden="0" customWidth="1"/>
    <x:col min="2" max="2" width="24" hidden="0" customWidth="1"/>
    <x:col min="3" max="3" width="12" hidden="0" customWidth="1"/>
    <x:col min="4" max="4" width="14" hidden="0" customWidth="1"/>
    <x:col min="5" max="5" width="14" hidden="0" customWidth="1"/>
    <x:col min="6" max="6" width="11" hidden="0" customWidth="1"/>
    <x:col min="7" max="7" width="14" hidden="0" customWidth="1"/>
    <x:col min="8" max="8" width="14" hidden="0" customWidth="1"/>
    <x:col min="9" max="9" width="13" hidden="0" customWidth="1"/>
    <x:col min="10" max="10" width="13" hidden="0" customWidth="1"/>
    <x:col min="11" max="11" width="13" hidden="0" customWidth="1"/>
  </x:cols>
  <x:sheetData>
    <x:row r="1">
      <x:c r="A1" s="11" t="str">
        <x:v>Trajectory rubric | D6_6c-04</x:v>
      </x:c>
      <x:c r="B1" s="11"/>
      <x:c r="C1" s="11"/>
      <x:c r="D1" s="11"/>
      <x:c r="E1" s="11"/>
      <x:c r="F1" s="11"/>
      <x:c r="G1" s="11"/>
      <x:c r="H1" s="11"/>
      <x:c r="I1" s="11"/>
      <x:c r="J1" s="11"/>
      <x:c r="K1" s="11"/>
    </x:row>
    <x:row r="2">
      <x:c r="A2" s="11"/>
      <x:c r="B2" s="11"/>
      <x:c r="C2" s="11"/>
      <x:c r="D2" s="11"/>
      <x:c r="E2" s="11"/>
      <x:c r="F2" s="11"/>
      <x:c r="G2" s="11"/>
      <x:c r="H2" s="11"/>
      <x:c r="I2" s="11"/>
      <x:c r="J2" s="11"/>
      <x:c r="K2" s="11"/>
    </x:row>
    <x:row r="3">
      <x:c r="A3" s="12" t="str">
        <x:v>Score the reasoning path, simulator fidelity and engineering decision</x:v>
      </x:c>
      <x:c r="B3" s="12"/>
      <x:c r="C3" s="12"/>
      <x:c r="D3" s="12"/>
      <x:c r="E3" s="12"/>
      <x:c r="F3" s="12"/>
      <x:c r="G3" s="12"/>
      <x:c r="H3" s="12"/>
      <x:c r="I3" s="12"/>
      <x:c r="J3" s="12"/>
      <x:c r="K3" s="12"/>
    </x:row>
    <x:row r="4">
      <x:c r="A4" s="1"/>
      <x:c r="B4" s="1"/>
      <x:c r="C4" s="1"/>
      <x:c r="D4" s="1"/>
      <x:c r="E4" s="1"/>
      <x:c r="F4" s="1"/>
      <x:c r="G4" s="1"/>
      <x:c r="H4" s="1"/>
      <x:c r="I4" s="1"/>
      <x:c r="J4" s="1"/>
      <x:c r="K4" s="1"/>
    </x:row>
    <x:row r="5">
      <x:c r="A5" s="15" t="str">
        <x:v>Scoring rubric (100 points)</x:v>
      </x:c>
      <x:c r="B5" s="15" t="str">
        <x:v>Scoring rubric (100 points)</x:v>
      </x:c>
      <x:c r="C5" s="15" t="str">
        <x:v>Scoring rubric (100 points)</x:v>
      </x:c>
      <x:c r="D5" s="15" t="str">
        <x:v>Scoring rubric (100 points)</x:v>
      </x:c>
      <x:c r="E5" s="15" t="str">
        <x:v>Scoring rubric (100 points)</x:v>
      </x:c>
      <x:c r="F5" s="15" t="str">
        <x:v>Scoring rubric (100 points)</x:v>
      </x:c>
      <x:c r="G5" s="15" t="str">
        <x:v>Scoring rubric (100 points)</x:v>
      </x:c>
      <x:c r="H5" s="15" t="str">
        <x:v>Scoring rubric (100 points)</x:v>
      </x:c>
      <x:c r="I5" s="15" t="str">
        <x:v>Scoring rubric (100 points)</x:v>
      </x:c>
      <x:c r="J5" s="15" t="str">
        <x:v>Scoring rubric (100 points)</x:v>
      </x:c>
      <x:c r="K5" s="15" t="str">
        <x:v>Scoring rubric (100 points)</x:v>
      </x:c>
    </x:row>
    <x:row r="6">
      <x:c r="A6" s="25" t="str">
        <x:v>Dimension</x:v>
      </x:c>
      <x:c r="B6" s="25" t="str">
        <x:v>Points</x:v>
      </x:c>
      <x:c r="C6" s="25" t="str">
        <x:v>Full-credit evidence</x:v>
      </x:c>
      <x:c r="D6" s="25" t="str">
        <x:v>Partial credit</x:v>
      </x:c>
      <x:c r="E6" s="25" t="str">
        <x:v>Zero / critical error</x:v>
      </x:c>
      <x:c r="F6" s="25" t="str">
        <x:v>Notes</x:v>
      </x:c>
      <x:c r="G6" s="25" t="str"/>
      <x:c r="H6" s="25" t="str"/>
      <x:c r="I6" s="25" t="str"/>
      <x:c r="J6" s="25" t="str"/>
      <x:c r="K6" s="25" t="str"/>
    </x:row>
    <x:row r="7">
      <x:c r="A7" s="29" t="str">
        <x:v>Parallel setup</x:v>
      </x:c>
      <x:c r="B7" s="29" t="n">
        <x:v>15</x:v>
      </x:c>
      <x:c r="C7" s="29" t="str">
        <x:v>Defines 4 candidate/season rows, preserves identical shared inputs, and states that the branches are independent.</x:v>
      </x:c>
      <x:c r="D7" s="29" t="str">
        <x:v>Minor unit or mapping omission.</x:v>
      </x:c>
      <x:c r="E7" s="29" t="str">
        <x:v>Chains one simulator into the other or changes package identity.</x:v>
      </x:c>
      <x:c r="F7" s="29" t="str"/>
      <x:c r="G7" s="29" t="str"/>
      <x:c r="H7" s="29" t="str"/>
      <x:c r="I7" s="29" t="str"/>
      <x:c r="J7" s="29" t="str"/>
      <x:c r="K7" s="29" t="str"/>
    </x:row>
    <x:row r="8">
      <x:c r="A8" s="29" t="str">
        <x:v>simulate_ro branch</x:v>
      </x:c>
      <x:c r="B8" s="29" t="n">
        <x:v>20</x:v>
      </x:c>
      <x:c r="C8" s="29" t="str">
        <x:v>Runs 4 membrane calls and correctly reports flux, water, NaCl, recovery and CP.</x:v>
      </x:c>
      <x:c r="D8" s="29" t="str">
        <x:v>Most calls/results correct with one small transcription error.</x:v>
      </x:c>
      <x:c r="E8" s="29" t="str">
        <x:v>No membrane calls or energy is inferred from this branch.</x:v>
      </x:c>
      <x:c r="F8" s="29" t="str"/>
      <x:c r="G8" s="29" t="str"/>
      <x:c r="H8" s="29" t="str"/>
      <x:c r="I8" s="29" t="str"/>
      <x:c r="J8" s="29" t="str"/>
      <x:c r="K8" s="29" t="str"/>
    </x:row>
    <x:row r="9">
      <x:c r="A9" s="29" t="str">
        <x:v>simulate_swro_system branch</x:v>
      </x:c>
      <x:c r="B9" s="29" t="n">
        <x:v>20</x:v>
      </x:c>
      <x:c r="C9" s="29" t="str">
        <x:v>Runs 4 plant calls and correctly reports product flow, SEC, LCOW and CAPEX.</x:v>
      </x:c>
      <x:c r="D9" s="29" t="str">
        <x:v>Most calls/results correct with one small transcription error.</x:v>
      </x:c>
      <x:c r="E9" s="29" t="str">
        <x:v>No plant calls, or SEC/LCOW is invented from membrane results.</x:v>
      </x:c>
      <x:c r="F9" s="29" t="str"/>
      <x:c r="G9" s="29" t="str"/>
      <x:c r="H9" s="29" t="str"/>
      <x:c r="I9" s="29" t="str"/>
      <x:c r="J9" s="29" t="str"/>
      <x:c r="K9" s="29" t="str"/>
    </x:row>
    <x:row r="10">
      <x:c r="A10" s="29" t="str">
        <x:v>Join and constraints</x:v>
      </x:c>
      <x:c r="B10" s="29" t="n">
        <x:v>25</x:v>
      </x:c>
      <x:c r="C10" s="29" t="str">
        <x:v>Joins by candidate ID and applies every membrane and plant constraint before ranking.</x:v>
      </x:c>
      <x:c r="D10" s="29" t="str">
        <x:v>One non-decisive criterion omitted.</x:v>
      </x:c>
      <x:c r="E10" s="29" t="str">
        <x:v>Ranks before feasibility filtering or mixes outputs between packages.</x:v>
      </x:c>
      <x:c r="F10" s="29" t="str"/>
      <x:c r="G10" s="29" t="str"/>
      <x:c r="H10" s="29" t="str"/>
      <x:c r="I10" s="29" t="str"/>
      <x:c r="J10" s="29" t="str"/>
      <x:c r="K10" s="29" t="str"/>
    </x:row>
    <x:row r="11">
      <x:c r="A11" s="29" t="str">
        <x:v>Engineering conclusion</x:v>
      </x:c>
      <x:c r="B11" s="29" t="n">
        <x:v>20</x:v>
      </x:c>
      <x:c r="C11" s="29" t="str">
        <x:v>Selects D, cites decisive values, and explains at least two rejected alternatives.</x:v>
      </x:c>
      <x:c r="D11" s="29" t="str">
        <x:v>Correct winner with limited explanation.</x:v>
      </x:c>
      <x:c r="E11" s="29" t="str">
        <x:v>Wrong winner or recommendation contradicts reported outputs.</x:v>
      </x:c>
      <x:c r="F11" s="29" t="str"/>
      <x:c r="G11" s="29" t="str"/>
      <x:c r="H11" s="29" t="str"/>
      <x:c r="I11" s="29" t="str"/>
      <x:c r="J11" s="29" t="str"/>
      <x:c r="K11" s="29" t="str"/>
    </x:row>
    <x:row r="12">
      <x:c r="A12" s="1"/>
      <x:c r="B12" s="1"/>
      <x:c r="C12" s="1"/>
      <x:c r="D12" s="1"/>
      <x:c r="E12" s="1"/>
      <x:c r="F12" s="1"/>
      <x:c r="G12" s="1"/>
      <x:c r="H12" s="1"/>
      <x:c r="I12" s="1"/>
      <x:c r="J12" s="1"/>
      <x:c r="K12" s="1"/>
    </x:row>
    <x:row r="13">
      <x:c r="A13" s="55" t="str">
        <x:v>Critical rule: a numerically correct winner without evidence from both simulator families cannot receive more than 50 points.</x:v>
      </x:c>
      <x:c r="B13" s="55"/>
      <x:c r="C13" s="55"/>
      <x:c r="D13" s="55"/>
      <x:c r="E13" s="55"/>
      <x:c r="F13" s="55"/>
      <x:c r="G13" s="55"/>
      <x:c r="H13" s="55"/>
      <x:c r="I13" s="55"/>
      <x:c r="J13" s="55"/>
      <x:c r="K13" s="55"/>
    </x:row>
    <x:row r="14">
      <x:c r="A14" s="1"/>
      <x:c r="B14" s="1"/>
      <x:c r="C14" s="1"/>
      <x:c r="D14" s="1"/>
      <x:c r="E14" s="1"/>
      <x:c r="F14" s="1"/>
      <x:c r="G14" s="1"/>
      <x:c r="H14" s="1"/>
      <x:c r="I14" s="1"/>
      <x:c r="J14" s="1"/>
      <x:c r="K14" s="1"/>
    </x:row>
    <x:row r="15">
      <x:c r="A15" s="1"/>
      <x:c r="B15" s="1"/>
      <x:c r="C15" s="1"/>
      <x:c r="D15" s="1"/>
      <x:c r="E15" s="1"/>
      <x:c r="F15" s="1"/>
      <x:c r="G15" s="1"/>
      <x:c r="H15" s="1"/>
      <x:c r="I15" s="1"/>
      <x:c r="J15" s="1"/>
      <x:c r="K15" s="1"/>
    </x:row>
    <x:row r="16">
      <x:c r="A16" s="1"/>
      <x:c r="B16" s="1"/>
      <x:c r="C16" s="1"/>
      <x:c r="D16" s="1"/>
      <x:c r="E16" s="1"/>
      <x:c r="F16" s="1"/>
      <x:c r="G16" s="1"/>
      <x:c r="H16" s="1"/>
      <x:c r="I16" s="1"/>
      <x:c r="J16" s="1"/>
      <x:c r="K16" s="1"/>
    </x:row>
    <x:row r="17">
      <x:c r="A17" s="1"/>
      <x:c r="B17" s="1"/>
      <x:c r="C17" s="1"/>
      <x:c r="D17" s="1"/>
      <x:c r="E17" s="1"/>
      <x:c r="F17" s="1"/>
      <x:c r="G17" s="1"/>
      <x:c r="H17" s="1"/>
      <x:c r="I17" s="1"/>
      <x:c r="J17" s="1"/>
      <x:c r="K17" s="1"/>
    </x:row>
    <x:row r="18">
      <x:c r="A18" s="1"/>
      <x:c r="B18" s="1"/>
      <x:c r="C18" s="1"/>
      <x:c r="D18" s="1"/>
      <x:c r="E18" s="1"/>
      <x:c r="F18" s="1"/>
      <x:c r="G18" s="1"/>
      <x:c r="H18" s="1"/>
      <x:c r="I18" s="1"/>
      <x:c r="J18" s="1"/>
      <x:c r="K18" s="1"/>
    </x:row>
    <x:row r="19">
      <x:c r="A19" s="1"/>
      <x:c r="B19" s="1"/>
      <x:c r="C19" s="1"/>
      <x:c r="D19" s="1"/>
      <x:c r="E19" s="1"/>
      <x:c r="F19" s="1"/>
      <x:c r="G19" s="1"/>
      <x:c r="H19" s="1"/>
      <x:c r="I19" s="1"/>
      <x:c r="J19" s="1"/>
      <x:c r="K19" s="1"/>
    </x:row>
    <x:row r="20">
      <x:c r="A20" s="1"/>
      <x:c r="B20" s="1"/>
      <x:c r="C20" s="1"/>
      <x:c r="D20" s="1"/>
      <x:c r="E20" s="1"/>
      <x:c r="F20" s="1"/>
      <x:c r="G20" s="1"/>
      <x:c r="H20" s="1"/>
      <x:c r="I20" s="1"/>
      <x:c r="J20" s="1"/>
      <x:c r="K20" s="1"/>
    </x:row>
    <x:row r="21">
      <x:c r="A21" s="1"/>
      <x:c r="B21" s="1"/>
      <x:c r="C21" s="1"/>
      <x:c r="D21" s="1"/>
      <x:c r="E21" s="1"/>
      <x:c r="F21" s="1"/>
      <x:c r="G21" s="1"/>
      <x:c r="H21" s="1"/>
      <x:c r="I21" s="1"/>
      <x:c r="J21" s="1"/>
      <x:c r="K21" s="1"/>
    </x:row>
    <x:row r="22">
      <x:c r="A22" s="1"/>
      <x:c r="B22" s="1"/>
      <x:c r="C22" s="1"/>
      <x:c r="D22" s="1"/>
      <x:c r="E22" s="1"/>
      <x:c r="F22" s="1"/>
      <x:c r="G22" s="1"/>
      <x:c r="H22" s="1"/>
      <x:c r="I22" s="1"/>
      <x:c r="J22" s="1"/>
      <x:c r="K22" s="1"/>
    </x:row>
    <x:row r="23">
      <x:c r="A23" s="1"/>
      <x:c r="B23" s="1"/>
      <x:c r="C23" s="1"/>
      <x:c r="D23" s="1"/>
      <x:c r="E23" s="1"/>
      <x:c r="F23" s="1"/>
      <x:c r="G23" s="1"/>
      <x:c r="H23" s="1"/>
      <x:c r="I23" s="1"/>
      <x:c r="J23" s="1"/>
      <x:c r="K23" s="1"/>
    </x:row>
    <x:row r="24">
      <x:c r="A24" s="1"/>
      <x:c r="B24" s="1"/>
      <x:c r="C24" s="1"/>
      <x:c r="D24" s="1"/>
      <x:c r="E24" s="1"/>
      <x:c r="F24" s="1"/>
      <x:c r="G24" s="1"/>
      <x:c r="H24" s="1"/>
      <x:c r="I24" s="1"/>
      <x:c r="J24" s="1"/>
      <x:c r="K24" s="1"/>
    </x:row>
    <x:row r="25">
      <x:c r="A25" s="1"/>
      <x:c r="B25" s="1"/>
      <x:c r="C25" s="1"/>
      <x:c r="D25" s="1"/>
      <x:c r="E25" s="1"/>
      <x:c r="F25" s="1"/>
      <x:c r="G25" s="1"/>
      <x:c r="H25" s="1"/>
      <x:c r="I25" s="1"/>
      <x:c r="J25" s="1"/>
      <x:c r="K25" s="1"/>
    </x:row>
    <x:row r="26">
      <x:c r="A26" s="1"/>
      <x:c r="B26" s="1"/>
      <x:c r="C26" s="1"/>
      <x:c r="D26" s="1"/>
      <x:c r="E26" s="1"/>
      <x:c r="F26" s="1"/>
      <x:c r="G26" s="1"/>
      <x:c r="H26" s="1"/>
      <x:c r="I26" s="1"/>
      <x:c r="J26" s="1"/>
      <x:c r="K26" s="1"/>
    </x:row>
    <x:row r="27">
      <x:c r="A27" s="1"/>
      <x:c r="B27" s="1"/>
      <x:c r="C27" s="1"/>
      <x:c r="D27" s="1"/>
      <x:c r="E27" s="1"/>
      <x:c r="F27" s="1"/>
      <x:c r="G27" s="1"/>
      <x:c r="H27" s="1"/>
      <x:c r="I27" s="1"/>
      <x:c r="J27" s="1"/>
      <x:c r="K27" s="1"/>
    </x:row>
    <x:row r="28">
      <x:c r="A28" s="1"/>
      <x:c r="B28" s="1"/>
      <x:c r="C28" s="1"/>
      <x:c r="D28" s="1"/>
      <x:c r="E28" s="1"/>
      <x:c r="F28" s="1"/>
      <x:c r="G28" s="1"/>
      <x:c r="H28" s="1"/>
      <x:c r="I28" s="1"/>
      <x:c r="J28" s="1"/>
      <x:c r="K28" s="1"/>
    </x:row>
    <x:row r="29">
      <x:c r="A29" s="1"/>
      <x:c r="B29" s="1"/>
      <x:c r="C29" s="1"/>
      <x:c r="D29" s="1"/>
      <x:c r="E29" s="1"/>
      <x:c r="F29" s="1"/>
      <x:c r="G29" s="1"/>
      <x:c r="H29" s="1"/>
      <x:c r="I29" s="1"/>
      <x:c r="J29" s="1"/>
      <x:c r="K29" s="1"/>
    </x:row>
    <x:row r="30">
      <x:c r="A30" s="1"/>
      <x:c r="B30" s="1"/>
      <x:c r="C30" s="1"/>
      <x:c r="D30" s="1"/>
      <x:c r="E30" s="1"/>
      <x:c r="F30" s="1"/>
      <x:c r="G30" s="1"/>
      <x:c r="H30" s="1"/>
      <x:c r="I30" s="1"/>
      <x:c r="J30" s="1"/>
      <x:c r="K30" s="1"/>
    </x:row>
    <x:row r="31">
      <x:c r="A31" s="1"/>
      <x:c r="B31" s="1"/>
      <x:c r="C31" s="1"/>
      <x:c r="D31" s="1"/>
      <x:c r="E31" s="1"/>
      <x:c r="F31" s="1"/>
      <x:c r="G31" s="1"/>
      <x:c r="H31" s="1"/>
      <x:c r="I31" s="1"/>
      <x:c r="J31" s="1"/>
      <x:c r="K31" s="1"/>
    </x:row>
    <x:row r="32">
      <x:c r="A32" s="1"/>
      <x:c r="B32" s="1"/>
      <x:c r="C32" s="1"/>
      <x:c r="D32" s="1"/>
      <x:c r="E32" s="1"/>
      <x:c r="F32" s="1"/>
      <x:c r="G32" s="1"/>
      <x:c r="H32" s="1"/>
      <x:c r="I32" s="1"/>
      <x:c r="J32" s="1"/>
      <x:c r="K32" s="1"/>
    </x:row>
    <x:row r="33">
      <x:c r="A33" s="1"/>
      <x:c r="B33" s="1"/>
      <x:c r="C33" s="1"/>
      <x:c r="D33" s="1"/>
      <x:c r="E33" s="1"/>
      <x:c r="F33" s="1"/>
      <x:c r="G33" s="1"/>
      <x:c r="H33" s="1"/>
      <x:c r="I33" s="1"/>
      <x:c r="J33" s="1"/>
      <x:c r="K33" s="1"/>
    </x:row>
    <x:row r="34">
      <x:c r="A34" s="1"/>
      <x:c r="B34" s="1"/>
      <x:c r="C34" s="1"/>
      <x:c r="D34" s="1"/>
      <x:c r="E34" s="1"/>
      <x:c r="F34" s="1"/>
      <x:c r="G34" s="1"/>
      <x:c r="H34" s="1"/>
      <x:c r="I34" s="1"/>
      <x:c r="J34" s="1"/>
      <x:c r="K34" s="1"/>
    </x:row>
    <x:row r="35">
      <x:c r="A35" s="1"/>
      <x:c r="B35" s="1"/>
      <x:c r="C35" s="1"/>
      <x:c r="D35" s="1"/>
      <x:c r="E35" s="1"/>
      <x:c r="F35" s="1"/>
      <x:c r="G35" s="1"/>
      <x:c r="H35" s="1"/>
      <x:c r="I35" s="1"/>
      <x:c r="J35" s="1"/>
      <x:c r="K35" s="1"/>
    </x:row>
    <x:row r="36">
      <x:c r="A36" s="1"/>
      <x:c r="B36" s="1"/>
      <x:c r="C36" s="1"/>
      <x:c r="D36" s="1"/>
      <x:c r="E36" s="1"/>
      <x:c r="F36" s="1"/>
      <x:c r="G36" s="1"/>
      <x:c r="H36" s="1"/>
      <x:c r="I36" s="1"/>
      <x:c r="J36" s="1"/>
      <x:c r="K36" s="1"/>
    </x:row>
    <x:row r="37">
      <x:c r="A37" s="1"/>
      <x:c r="B37" s="1"/>
      <x:c r="C37" s="1"/>
      <x:c r="D37" s="1"/>
      <x:c r="E37" s="1"/>
      <x:c r="F37" s="1"/>
      <x:c r="G37" s="1"/>
      <x:c r="H37" s="1"/>
      <x:c r="I37" s="1"/>
      <x:c r="J37" s="1"/>
      <x:c r="K37" s="1"/>
    </x:row>
    <x:row r="38">
      <x:c r="A38" s="1"/>
      <x:c r="B38" s="1"/>
      <x:c r="C38" s="1"/>
      <x:c r="D38" s="1"/>
      <x:c r="E38" s="1"/>
      <x:c r="F38" s="1"/>
      <x:c r="G38" s="1"/>
      <x:c r="H38" s="1"/>
      <x:c r="I38" s="1"/>
      <x:c r="J38" s="1"/>
      <x:c r="K38" s="1"/>
    </x:row>
    <x:row r="39">
      <x:c r="A39" s="1"/>
      <x:c r="B39" s="1"/>
      <x:c r="C39" s="1"/>
      <x:c r="D39" s="1"/>
      <x:c r="E39" s="1"/>
      <x:c r="F39" s="1"/>
      <x:c r="G39" s="1"/>
      <x:c r="H39" s="1"/>
      <x:c r="I39" s="1"/>
      <x:c r="J39" s="1"/>
      <x:c r="K39" s="1"/>
    </x:row>
    <x:row r="40">
      <x:c r="A40" s="1"/>
      <x:c r="B40" s="1"/>
      <x:c r="C40" s="1"/>
      <x:c r="D40" s="1"/>
      <x:c r="E40" s="1"/>
      <x:c r="F40" s="1"/>
      <x:c r="G40" s="1"/>
      <x:c r="H40" s="1"/>
      <x:c r="I40" s="1"/>
      <x:c r="J40" s="1"/>
      <x:c r="K40" s="1"/>
    </x:row>
    <x:row r="41">
      <x:c r="A41" s="1"/>
      <x:c r="B41" s="1"/>
      <x:c r="C41" s="1"/>
      <x:c r="D41" s="1"/>
      <x:c r="E41" s="1"/>
      <x:c r="F41" s="1"/>
      <x:c r="G41" s="1"/>
      <x:c r="H41" s="1"/>
      <x:c r="I41" s="1"/>
      <x:c r="J41" s="1"/>
      <x:c r="K41" s="1"/>
    </x:row>
    <x:row r="42">
      <x:c r="A42" s="1"/>
      <x:c r="B42" s="1"/>
      <x:c r="C42" s="1"/>
      <x:c r="D42" s="1"/>
      <x:c r="E42" s="1"/>
      <x:c r="F42" s="1"/>
      <x:c r="G42" s="1"/>
      <x:c r="H42" s="1"/>
      <x:c r="I42" s="1"/>
      <x:c r="J42" s="1"/>
      <x:c r="K42" s="1"/>
    </x:row>
    <x:row r="43">
      <x:c r="A43" s="1"/>
      <x:c r="B43" s="1"/>
      <x:c r="C43" s="1"/>
      <x:c r="D43" s="1"/>
      <x:c r="E43" s="1"/>
      <x:c r="F43" s="1"/>
      <x:c r="G43" s="1"/>
      <x:c r="H43" s="1"/>
      <x:c r="I43" s="1"/>
      <x:c r="J43" s="1"/>
      <x:c r="K43" s="1"/>
    </x:row>
    <x:row r="44">
      <x:c r="A44" s="1"/>
      <x:c r="B44" s="1"/>
      <x:c r="C44" s="1"/>
      <x:c r="D44" s="1"/>
      <x:c r="E44" s="1"/>
      <x:c r="F44" s="1"/>
      <x:c r="G44" s="1"/>
      <x:c r="H44" s="1"/>
      <x:c r="I44" s="1"/>
      <x:c r="J44" s="1"/>
      <x:c r="K44" s="1"/>
    </x:row>
    <x:row r="45">
      <x:c r="A45" s="1"/>
      <x:c r="B45" s="1"/>
      <x:c r="C45" s="1"/>
      <x:c r="D45" s="1"/>
      <x:c r="E45" s="1"/>
      <x:c r="F45" s="1"/>
      <x:c r="G45" s="1"/>
      <x:c r="H45" s="1"/>
      <x:c r="I45" s="1"/>
      <x:c r="J45" s="1"/>
      <x:c r="K45" s="1"/>
    </x:row>
    <x:row r="46">
      <x:c r="A46" s="1"/>
      <x:c r="B46" s="1"/>
      <x:c r="C46" s="1"/>
      <x:c r="D46" s="1"/>
      <x:c r="E46" s="1"/>
      <x:c r="F46" s="1"/>
      <x:c r="G46" s="1"/>
      <x:c r="H46" s="1"/>
      <x:c r="I46" s="1"/>
      <x:c r="J46" s="1"/>
      <x:c r="K46" s="1"/>
    </x:row>
    <x:row r="47">
      <x:c r="A47" s="1"/>
      <x:c r="B47" s="1"/>
      <x:c r="C47" s="1"/>
      <x:c r="D47" s="1"/>
      <x:c r="E47" s="1"/>
      <x:c r="F47" s="1"/>
      <x:c r="G47" s="1"/>
      <x:c r="H47" s="1"/>
      <x:c r="I47" s="1"/>
      <x:c r="J47" s="1"/>
      <x:c r="K47" s="1"/>
    </x:row>
    <x:row r="48">
      <x:c r="A48" s="1"/>
      <x:c r="B48" s="1"/>
      <x:c r="C48" s="1"/>
      <x:c r="D48" s="1"/>
      <x:c r="E48" s="1"/>
      <x:c r="F48" s="1"/>
      <x:c r="G48" s="1"/>
      <x:c r="H48" s="1"/>
      <x:c r="I48" s="1"/>
      <x:c r="J48" s="1"/>
      <x:c r="K48" s="1"/>
    </x:row>
    <x:row r="49">
      <x:c r="A49" s="1"/>
      <x:c r="B49" s="1"/>
      <x:c r="C49" s="1"/>
      <x:c r="D49" s="1"/>
      <x:c r="E49" s="1"/>
      <x:c r="F49" s="1"/>
      <x:c r="G49" s="1"/>
      <x:c r="H49" s="1"/>
      <x:c r="I49" s="1"/>
      <x:c r="J49" s="1"/>
      <x:c r="K49" s="1"/>
    </x:row>
    <x:row r="50">
      <x:c r="A50" s="1"/>
      <x:c r="B50" s="1"/>
      <x:c r="C50" s="1"/>
      <x:c r="D50" s="1"/>
      <x:c r="E50" s="1"/>
      <x:c r="F50" s="1"/>
      <x:c r="G50" s="1"/>
      <x:c r="H50" s="1"/>
      <x:c r="I50" s="1"/>
      <x:c r="J50" s="1"/>
      <x:c r="K50" s="1"/>
    </x:row>
    <x:row r="51">
      <x:c r="A51" s="1"/>
      <x:c r="B51" s="1"/>
      <x:c r="C51" s="1"/>
      <x:c r="D51" s="1"/>
      <x:c r="E51" s="1"/>
      <x:c r="F51" s="1"/>
      <x:c r="G51" s="1"/>
      <x:c r="H51" s="1"/>
      <x:c r="I51" s="1"/>
      <x:c r="J51" s="1"/>
      <x:c r="K51" s="1"/>
    </x:row>
    <x:row r="52">
      <x:c r="A52" s="1"/>
      <x:c r="B52" s="1"/>
      <x:c r="C52" s="1"/>
      <x:c r="D52" s="1"/>
      <x:c r="E52" s="1"/>
      <x:c r="F52" s="1"/>
      <x:c r="G52" s="1"/>
      <x:c r="H52" s="1"/>
      <x:c r="I52" s="1"/>
      <x:c r="J52" s="1"/>
      <x:c r="K52" s="1"/>
    </x:row>
    <x:row r="53">
      <x:c r="A53" s="1"/>
      <x:c r="B53" s="1"/>
      <x:c r="C53" s="1"/>
      <x:c r="D53" s="1"/>
      <x:c r="E53" s="1"/>
      <x:c r="F53" s="1"/>
      <x:c r="G53" s="1"/>
      <x:c r="H53" s="1"/>
      <x:c r="I53" s="1"/>
      <x:c r="J53" s="1"/>
      <x:c r="K53" s="1"/>
    </x:row>
    <x:row r="54">
      <x:c r="A54" s="1"/>
      <x:c r="B54" s="1"/>
      <x:c r="C54" s="1"/>
      <x:c r="D54" s="1"/>
      <x:c r="E54" s="1"/>
      <x:c r="F54" s="1"/>
      <x:c r="G54" s="1"/>
      <x:c r="H54" s="1"/>
      <x:c r="I54" s="1"/>
      <x:c r="J54" s="1"/>
      <x:c r="K54" s="1"/>
    </x:row>
    <x:row r="55">
      <x:c r="A55" s="1"/>
      <x:c r="B55" s="1"/>
      <x:c r="C55" s="1"/>
      <x:c r="D55" s="1"/>
      <x:c r="E55" s="1"/>
      <x:c r="F55" s="1"/>
      <x:c r="G55" s="1"/>
      <x:c r="H55" s="1"/>
      <x:c r="I55" s="1"/>
      <x:c r="J55" s="1"/>
      <x:c r="K55" s="1"/>
    </x:row>
    <x:row r="56">
      <x:c r="A56" s="1"/>
      <x:c r="B56" s="1"/>
      <x:c r="C56" s="1"/>
      <x:c r="D56" s="1"/>
      <x:c r="E56" s="1"/>
      <x:c r="F56" s="1"/>
      <x:c r="G56" s="1"/>
      <x:c r="H56" s="1"/>
      <x:c r="I56" s="1"/>
      <x:c r="J56" s="1"/>
      <x:c r="K56" s="1"/>
    </x:row>
    <x:row r="57">
      <x:c r="A57" s="1"/>
      <x:c r="B57" s="1"/>
      <x:c r="C57" s="1"/>
      <x:c r="D57" s="1"/>
      <x:c r="E57" s="1"/>
      <x:c r="F57" s="1"/>
      <x:c r="G57" s="1"/>
      <x:c r="H57" s="1"/>
      <x:c r="I57" s="1"/>
      <x:c r="J57" s="1"/>
      <x:c r="K57" s="1"/>
    </x:row>
    <x:row r="58">
      <x:c r="A58" s="1"/>
      <x:c r="B58" s="1"/>
      <x:c r="C58" s="1"/>
      <x:c r="D58" s="1"/>
      <x:c r="E58" s="1"/>
      <x:c r="F58" s="1"/>
      <x:c r="G58" s="1"/>
      <x:c r="H58" s="1"/>
      <x:c r="I58" s="1"/>
      <x:c r="J58" s="1"/>
      <x:c r="K58" s="1"/>
    </x:row>
    <x:row r="59">
      <x:c r="A59" s="1"/>
      <x:c r="B59" s="1"/>
      <x:c r="C59" s="1"/>
      <x:c r="D59" s="1"/>
      <x:c r="E59" s="1"/>
      <x:c r="F59" s="1"/>
      <x:c r="G59" s="1"/>
      <x:c r="H59" s="1"/>
      <x:c r="I59" s="1"/>
      <x:c r="J59" s="1"/>
      <x:c r="K59" s="1"/>
    </x:row>
    <x:row r="60">
      <x:c r="A60" s="1"/>
      <x:c r="B60" s="1"/>
      <x:c r="C60" s="1"/>
      <x:c r="D60" s="1"/>
      <x:c r="E60" s="1"/>
      <x:c r="F60" s="1"/>
      <x:c r="G60" s="1"/>
      <x:c r="H60" s="1"/>
      <x:c r="I60" s="1"/>
      <x:c r="J60" s="1"/>
      <x:c r="K60" s="1"/>
    </x:row>
  </x:sheetData>
  <x:mergeCells>
    <x:mergeCell ref="A1:K2"/>
    <x:mergeCell ref="A3:K3"/>
    <x:mergeCell ref="A5:K5"/>
    <x:mergeCell ref="F6:K6"/>
    <x:mergeCell ref="F7:K7"/>
    <x:mergeCell ref="F8:K8"/>
    <x:mergeCell ref="F9:K9"/>
    <x:mergeCell ref="F10:K10"/>
    <x:mergeCell ref="F11:K11"/>
    <x:mergeCell ref="A13:K13"/>
  </x:mergeCells>
  <x:pageMargins left="0.7" right="0.7" top="0.75" bottom="0.75" header="0.3" footer="0.3"/>
</x:worksheet>
</file>

<file path=xl/worksheets/sheet4.xml><?xml version="1.0" encoding="utf-8"?>
<x:worksheet xmlns:x="http://schemas.openxmlformats.org/spreadsheetml/2006/main">
  <x:sheetFormatPr defaultRowHeight="15"/>
  <x:cols>
    <x:col min="1" max="1" width="11" hidden="0" customWidth="1"/>
    <x:col min="2" max="2" width="24" hidden="0" customWidth="1"/>
    <x:col min="3" max="3" width="12" hidden="0" customWidth="1"/>
    <x:col min="4" max="4" width="14" hidden="0" customWidth="1"/>
    <x:col min="5" max="5" width="14" hidden="0" customWidth="1"/>
    <x:col min="6" max="6" width="11" hidden="0" customWidth="1"/>
    <x:col min="7" max="7" width="14" hidden="0" customWidth="1"/>
    <x:col min="8" max="8" width="14" hidden="0" customWidth="1"/>
    <x:col min="9" max="9" width="13" hidden="0" customWidth="1"/>
    <x:col min="10" max="10" width="13" hidden="0" customWidth="1"/>
    <x:col min="11" max="11" width="13" hidden="0" customWidth="1"/>
  </x:cols>
  <x:sheetData>
    <x:row r="1">
      <x:c r="A1" s="11" t="str">
        <x:v>Tool efficiency | D6_6c-04</x:v>
      </x:c>
      <x:c r="B1" s="11"/>
      <x:c r="C1" s="11"/>
      <x:c r="D1" s="11"/>
      <x:c r="E1" s="11"/>
      <x:c r="F1" s="11"/>
      <x:c r="G1" s="11"/>
      <x:c r="H1" s="11"/>
      <x:c r="I1" s="11"/>
      <x:c r="J1" s="11"/>
      <x:c r="K1" s="11"/>
    </x:row>
    <x:row r="2">
      <x:c r="A2" s="11"/>
      <x:c r="B2" s="11"/>
      <x:c r="C2" s="11"/>
      <x:c r="D2" s="11"/>
      <x:c r="E2" s="11"/>
      <x:c r="F2" s="11"/>
      <x:c r="G2" s="11"/>
      <x:c r="H2" s="11"/>
      <x:c r="I2" s="11"/>
      <x:c r="J2" s="11"/>
      <x:c r="K2" s="11"/>
    </x:row>
    <x:row r="3">
      <x:c r="A3" s="12" t="str">
        <x:v>Reference trajectory for parallel multi-simulator work</x:v>
      </x:c>
      <x:c r="B3" s="12"/>
      <x:c r="C3" s="12"/>
      <x:c r="D3" s="12"/>
      <x:c r="E3" s="12"/>
      <x:c r="F3" s="12"/>
      <x:c r="G3" s="12"/>
      <x:c r="H3" s="12"/>
      <x:c r="I3" s="12"/>
      <x:c r="J3" s="12"/>
      <x:c r="K3" s="12"/>
    </x:row>
    <x:row r="4">
      <x:c r="A4" s="1"/>
      <x:c r="B4" s="1"/>
      <x:c r="C4" s="1"/>
      <x:c r="D4" s="1"/>
      <x:c r="E4" s="1"/>
      <x:c r="F4" s="1"/>
      <x:c r="G4" s="1"/>
      <x:c r="H4" s="1"/>
      <x:c r="I4" s="1"/>
      <x:c r="J4" s="1"/>
      <x:c r="K4" s="1"/>
    </x:row>
    <x:row r="5">
      <x:c r="A5" s="15" t="str">
        <x:v>Preferred tool trajectory</x:v>
      </x:c>
      <x:c r="B5" s="15" t="str">
        <x:v>Preferred tool trajectory</x:v>
      </x:c>
      <x:c r="C5" s="15" t="str">
        <x:v>Preferred tool trajectory</x:v>
      </x:c>
      <x:c r="D5" s="15" t="str">
        <x:v>Preferred tool trajectory</x:v>
      </x:c>
      <x:c r="E5" s="15" t="str">
        <x:v>Preferred tool trajectory</x:v>
      </x:c>
      <x:c r="F5" s="15" t="str">
        <x:v>Preferred tool trajectory</x:v>
      </x:c>
      <x:c r="G5" s="15" t="str">
        <x:v>Preferred tool trajectory</x:v>
      </x:c>
      <x:c r="H5" s="15" t="str">
        <x:v>Preferred tool trajectory</x:v>
      </x:c>
      <x:c r="I5" s="15" t="str">
        <x:v>Preferred tool trajectory</x:v>
      </x:c>
      <x:c r="J5" s="15" t="str">
        <x:v>Preferred tool trajectory</x:v>
      </x:c>
      <x:c r="K5" s="15" t="str">
        <x:v>Preferred tool trajectory</x:v>
      </x:c>
    </x:row>
    <x:row r="6">
      <x:c r="A6" s="25" t="str">
        <x:v>Step</x:v>
      </x:c>
      <x:c r="B6" s="25" t="str">
        <x:v>Branch</x:v>
      </x:c>
      <x:c r="C6" s="25" t="str">
        <x:v>Action</x:v>
      </x:c>
      <x:c r="D6" s="25" t="str">
        <x:v>Calls</x:v>
      </x:c>
      <x:c r="E6" s="25" t="str">
        <x:v>Why it is efficient</x:v>
      </x:c>
      <x:c r="F6" s="25" t="str">
        <x:v>Common failure</x:v>
      </x:c>
      <x:c r="G6" s="25" t="str"/>
      <x:c r="H6" s="25" t="str"/>
      <x:c r="I6" s="25" t="str"/>
      <x:c r="J6" s="25" t="str"/>
      <x:c r="K6" s="25" t="str"/>
    </x:row>
    <x:row r="7">
      <x:c r="A7" s="29" t="n">
        <x:v>1</x:v>
      </x:c>
      <x:c r="B7" s="29" t="str">
        <x:v>Shared</x:v>
      </x:c>
      <x:c r="C7" s="29" t="str">
        <x:v>Create candidate packages and lock the module-to-plant scale mapping.</x:v>
      </x:c>
      <x:c r="D7" s="29" t="n">
        <x:v>0</x:v>
      </x:c>
      <x:c r="E7" s="29" t="str">
        <x:v>Prevents package drift between branches.</x:v>
      </x:c>
      <x:c r="F7" s="29" t="str">
        <x:v>Changing pressure, area or membrane between calls.</x:v>
      </x:c>
      <x:c r="G7" s="29" t="str"/>
      <x:c r="H7" s="29" t="str"/>
      <x:c r="I7" s="29" t="str"/>
      <x:c r="J7" s="29" t="str"/>
      <x:c r="K7" s="29" t="str"/>
    </x:row>
    <x:row r="8">
      <x:c r="A8" s="29" t="n">
        <x:v>2</x:v>
      </x:c>
      <x:c r="B8" s="29" t="str">
        <x:v>A</x:v>
      </x:c>
      <x:c r="C8" s="29" t="str">
        <x:v>Dispatch all simulate_ro calls independently; retain package IDs.</x:v>
      </x:c>
      <x:c r="D8" s="29" t="n">
        <x:v>4</x:v>
      </x:c>
      <x:c r="E8" s="29" t="str">
        <x:v>One call per row; no unnecessary serial dependency.</x:v>
      </x:c>
      <x:c r="F8" s="29" t="str">
        <x:v>Using simulate_ro for SEC or LCOW.</x:v>
      </x:c>
      <x:c r="G8" s="29" t="str"/>
      <x:c r="H8" s="29" t="str"/>
      <x:c r="I8" s="29" t="str"/>
      <x:c r="J8" s="29" t="str"/>
      <x:c r="K8" s="29" t="str"/>
    </x:row>
    <x:row r="9">
      <x:c r="A9" s="29" t="n">
        <x:v>3</x:v>
      </x:c>
      <x:c r="B9" s="29" t="str">
        <x:v>B</x:v>
      </x:c>
      <x:c r="C9" s="29" t="str">
        <x:v>Dispatch all simulate_swro_system calls independently; retain the same IDs.</x:v>
      </x:c>
      <x:c r="D9" s="29" t="n">
        <x:v>4</x:v>
      </x:c>
      <x:c r="E9" s="29" t="str">
        <x:v>Plant energy and cost come from the proper whole-system model.</x:v>
      </x:c>
      <x:c r="F9" s="29" t="str">
        <x:v>Estimating plant energy from flux.</x:v>
      </x:c>
      <x:c r="G9" s="29" t="str"/>
      <x:c r="H9" s="29" t="str"/>
      <x:c r="I9" s="29" t="str"/>
      <x:c r="J9" s="29" t="str"/>
      <x:c r="K9" s="29" t="str"/>
    </x:row>
    <x:row r="10">
      <x:c r="A10" s="29" t="n">
        <x:v>4</x:v>
      </x:c>
      <x:c r="B10" s="29" t="str">
        <x:v>Join</x:v>
      </x:c>
      <x:c r="C10" s="29" t="str">
        <x:v>Join by candidate ID and evaluate all hard constraints.</x:v>
      </x:c>
      <x:c r="D10" s="29" t="n">
        <x:v>0</x:v>
      </x:c>
      <x:c r="E10" s="29" t="str">
        <x:v>Only combines results after both branches finish.</x:v>
      </x:c>
      <x:c r="F10" s="29" t="str">
        <x:v>Mixing results from different candidates.</x:v>
      </x:c>
      <x:c r="G10" s="29" t="str"/>
      <x:c r="H10" s="29" t="str"/>
      <x:c r="I10" s="29" t="str"/>
      <x:c r="J10" s="29" t="str"/>
      <x:c r="K10" s="29" t="str"/>
    </x:row>
    <x:row r="11">
      <x:c r="A11" s="29" t="n">
        <x:v>5</x:v>
      </x:c>
      <x:c r="B11" s="29" t="str">
        <x:v>Decision</x:v>
      </x:c>
      <x:c r="C11" s="29" t="str">
        <x:v>Filter infeasible options, rank the survivors, and explain rejections.</x:v>
      </x:c>
      <x:c r="D11" s="29" t="n">
        <x:v>0</x:v>
      </x:c>
      <x:c r="E11" s="29" t="str">
        <x:v>Produces an auditable engineering recommendation.</x:v>
      </x:c>
      <x:c r="F11" s="29" t="str">
        <x:v>Ranking by SEC/LCOW before quality filtering.</x:v>
      </x:c>
      <x:c r="G11" s="29" t="str"/>
      <x:c r="H11" s="29" t="str"/>
      <x:c r="I11" s="29" t="str"/>
      <x:c r="J11" s="29" t="str"/>
      <x:c r="K11" s="29" t="str"/>
    </x:row>
    <x:row r="12">
      <x:c r="A12" s="1"/>
      <x:c r="B12" s="1"/>
      <x:c r="C12" s="1"/>
      <x:c r="D12" s="1"/>
      <x:c r="E12" s="1"/>
      <x:c r="F12" s="1"/>
      <x:c r="G12" s="1"/>
      <x:c r="H12" s="1"/>
      <x:c r="I12" s="1"/>
      <x:c r="J12" s="1"/>
      <x:c r="K12" s="1"/>
    </x:row>
    <x:row r="13">
      <x:c r="A13" s="15" t="str">
        <x:v>Efficiency verdict</x:v>
      </x:c>
      <x:c r="B13" s="15" t="str">
        <x:v>Efficiency verdict</x:v>
      </x:c>
      <x:c r="C13" s="15" t="str">
        <x:v>Efficiency verdict</x:v>
      </x:c>
      <x:c r="D13" s="15" t="str">
        <x:v>Efficiency verdict</x:v>
      </x:c>
      <x:c r="E13" s="15" t="str">
        <x:v>Efficiency verdict</x:v>
      </x:c>
      <x:c r="F13" s="15" t="str">
        <x:v>Efficiency verdict</x:v>
      </x:c>
      <x:c r="G13" s="15" t="str">
        <x:v>Efficiency verdict</x:v>
      </x:c>
      <x:c r="H13" s="15" t="str">
        <x:v>Efficiency verdict</x:v>
      </x:c>
      <x:c r="I13" s="15" t="str">
        <x:v>Efficiency verdict</x:v>
      </x:c>
      <x:c r="J13" s="15" t="str">
        <x:v>Efficiency verdict</x:v>
      </x:c>
      <x:c r="K13" s="15" t="str">
        <x:v>Efficiency verdict</x:v>
      </x:c>
    </x:row>
    <x:row r="14">
      <x:c r="A14" s="51" t="str">
        <x:v>Reference budget: 4 simulate_ro calls + 4 simulate_swro_system calls. Extra calls are justified only for correcting an error or testing a clearly stated sensitivity. equilibrate_feed is not needed because no mineral-speciation or scaling constraint is present.</x:v>
      </x:c>
      <x:c r="B14" s="51"/>
      <x:c r="C14" s="51"/>
      <x:c r="D14" s="51"/>
      <x:c r="E14" s="51"/>
      <x:c r="F14" s="51"/>
      <x:c r="G14" s="51"/>
      <x:c r="H14" s="51"/>
      <x:c r="I14" s="51"/>
      <x:c r="J14" s="51"/>
      <x:c r="K14" s="51"/>
    </x:row>
    <x:row r="15">
      <x:c r="A15" s="51"/>
      <x:c r="B15" s="51"/>
      <x:c r="C15" s="51"/>
      <x:c r="D15" s="51"/>
      <x:c r="E15" s="51"/>
      <x:c r="F15" s="51"/>
      <x:c r="G15" s="51"/>
      <x:c r="H15" s="51"/>
      <x:c r="I15" s="51"/>
      <x:c r="J15" s="51"/>
      <x:c r="K15" s="51"/>
    </x:row>
    <x:row r="16">
      <x:c r="A16" s="51"/>
      <x:c r="B16" s="51"/>
      <x:c r="C16" s="51"/>
      <x:c r="D16" s="51"/>
      <x:c r="E16" s="51"/>
      <x:c r="F16" s="51"/>
      <x:c r="G16" s="51"/>
      <x:c r="H16" s="51"/>
      <x:c r="I16" s="51"/>
      <x:c r="J16" s="51"/>
      <x:c r="K16" s="51"/>
    </x:row>
    <x:row r="17">
      <x:c r="A17" s="51"/>
      <x:c r="B17" s="51"/>
      <x:c r="C17" s="51"/>
      <x:c r="D17" s="51"/>
      <x:c r="E17" s="51"/>
      <x:c r="F17" s="51"/>
      <x:c r="G17" s="51"/>
      <x:c r="H17" s="51"/>
      <x:c r="I17" s="51"/>
      <x:c r="J17" s="51"/>
      <x:c r="K17" s="51"/>
    </x:row>
    <x:row r="18">
      <x:c r="A18" s="1"/>
      <x:c r="B18" s="1"/>
      <x:c r="C18" s="1"/>
      <x:c r="D18" s="1"/>
      <x:c r="E18" s="1"/>
      <x:c r="F18" s="1"/>
      <x:c r="G18" s="1"/>
      <x:c r="H18" s="1"/>
      <x:c r="I18" s="1"/>
      <x:c r="J18" s="1"/>
      <x:c r="K18" s="1"/>
    </x:row>
    <x:row r="19">
      <x:c r="A19" s="1"/>
      <x:c r="B19" s="1"/>
      <x:c r="C19" s="1"/>
      <x:c r="D19" s="1"/>
      <x:c r="E19" s="1"/>
      <x:c r="F19" s="1"/>
      <x:c r="G19" s="1"/>
      <x:c r="H19" s="1"/>
      <x:c r="I19" s="1"/>
      <x:c r="J19" s="1"/>
      <x:c r="K19" s="1"/>
    </x:row>
    <x:row r="20">
      <x:c r="A20" s="1"/>
      <x:c r="B20" s="1"/>
      <x:c r="C20" s="1"/>
      <x:c r="D20" s="1"/>
      <x:c r="E20" s="1"/>
      <x:c r="F20" s="1"/>
      <x:c r="G20" s="1"/>
      <x:c r="H20" s="1"/>
      <x:c r="I20" s="1"/>
      <x:c r="J20" s="1"/>
      <x:c r="K20" s="1"/>
    </x:row>
    <x:row r="21">
      <x:c r="A21" s="1"/>
      <x:c r="B21" s="1"/>
      <x:c r="C21" s="1"/>
      <x:c r="D21" s="1"/>
      <x:c r="E21" s="1"/>
      <x:c r="F21" s="1"/>
      <x:c r="G21" s="1"/>
      <x:c r="H21" s="1"/>
      <x:c r="I21" s="1"/>
      <x:c r="J21" s="1"/>
      <x:c r="K21" s="1"/>
    </x:row>
    <x:row r="22">
      <x:c r="A22" s="1"/>
      <x:c r="B22" s="1"/>
      <x:c r="C22" s="1"/>
      <x:c r="D22" s="1"/>
      <x:c r="E22" s="1"/>
      <x:c r="F22" s="1"/>
      <x:c r="G22" s="1"/>
      <x:c r="H22" s="1"/>
      <x:c r="I22" s="1"/>
      <x:c r="J22" s="1"/>
      <x:c r="K22" s="1"/>
    </x:row>
    <x:row r="23">
      <x:c r="A23" s="1"/>
      <x:c r="B23" s="1"/>
      <x:c r="C23" s="1"/>
      <x:c r="D23" s="1"/>
      <x:c r="E23" s="1"/>
      <x:c r="F23" s="1"/>
      <x:c r="G23" s="1"/>
      <x:c r="H23" s="1"/>
      <x:c r="I23" s="1"/>
      <x:c r="J23" s="1"/>
      <x:c r="K23" s="1"/>
    </x:row>
    <x:row r="24">
      <x:c r="A24" s="1"/>
      <x:c r="B24" s="1"/>
      <x:c r="C24" s="1"/>
      <x:c r="D24" s="1"/>
      <x:c r="E24" s="1"/>
      <x:c r="F24" s="1"/>
      <x:c r="G24" s="1"/>
      <x:c r="H24" s="1"/>
      <x:c r="I24" s="1"/>
      <x:c r="J24" s="1"/>
      <x:c r="K24" s="1"/>
    </x:row>
    <x:row r="25">
      <x:c r="A25" s="1"/>
      <x:c r="B25" s="1"/>
      <x:c r="C25" s="1"/>
      <x:c r="D25" s="1"/>
      <x:c r="E25" s="1"/>
      <x:c r="F25" s="1"/>
      <x:c r="G25" s="1"/>
      <x:c r="H25" s="1"/>
      <x:c r="I25" s="1"/>
      <x:c r="J25" s="1"/>
      <x:c r="K25" s="1"/>
    </x:row>
    <x:row r="26">
      <x:c r="A26" s="1"/>
      <x:c r="B26" s="1"/>
      <x:c r="C26" s="1"/>
      <x:c r="D26" s="1"/>
      <x:c r="E26" s="1"/>
      <x:c r="F26" s="1"/>
      <x:c r="G26" s="1"/>
      <x:c r="H26" s="1"/>
      <x:c r="I26" s="1"/>
      <x:c r="J26" s="1"/>
      <x:c r="K26" s="1"/>
    </x:row>
    <x:row r="27">
      <x:c r="A27" s="1"/>
      <x:c r="B27" s="1"/>
      <x:c r="C27" s="1"/>
      <x:c r="D27" s="1"/>
      <x:c r="E27" s="1"/>
      <x:c r="F27" s="1"/>
      <x:c r="G27" s="1"/>
      <x:c r="H27" s="1"/>
      <x:c r="I27" s="1"/>
      <x:c r="J27" s="1"/>
      <x:c r="K27" s="1"/>
    </x:row>
    <x:row r="28">
      <x:c r="A28" s="1"/>
      <x:c r="B28" s="1"/>
      <x:c r="C28" s="1"/>
      <x:c r="D28" s="1"/>
      <x:c r="E28" s="1"/>
      <x:c r="F28" s="1"/>
      <x:c r="G28" s="1"/>
      <x:c r="H28" s="1"/>
      <x:c r="I28" s="1"/>
      <x:c r="J28" s="1"/>
      <x:c r="K28" s="1"/>
    </x:row>
    <x:row r="29">
      <x:c r="A29" s="1"/>
      <x:c r="B29" s="1"/>
      <x:c r="C29" s="1"/>
      <x:c r="D29" s="1"/>
      <x:c r="E29" s="1"/>
      <x:c r="F29" s="1"/>
      <x:c r="G29" s="1"/>
      <x:c r="H29" s="1"/>
      <x:c r="I29" s="1"/>
      <x:c r="J29" s="1"/>
      <x:c r="K29" s="1"/>
    </x:row>
    <x:row r="30">
      <x:c r="A30" s="1"/>
      <x:c r="B30" s="1"/>
      <x:c r="C30" s="1"/>
      <x:c r="D30" s="1"/>
      <x:c r="E30" s="1"/>
      <x:c r="F30" s="1"/>
      <x:c r="G30" s="1"/>
      <x:c r="H30" s="1"/>
      <x:c r="I30" s="1"/>
      <x:c r="J30" s="1"/>
      <x:c r="K30" s="1"/>
    </x:row>
    <x:row r="31">
      <x:c r="A31" s="1"/>
      <x:c r="B31" s="1"/>
      <x:c r="C31" s="1"/>
      <x:c r="D31" s="1"/>
      <x:c r="E31" s="1"/>
      <x:c r="F31" s="1"/>
      <x:c r="G31" s="1"/>
      <x:c r="H31" s="1"/>
      <x:c r="I31" s="1"/>
      <x:c r="J31" s="1"/>
      <x:c r="K31" s="1"/>
    </x:row>
    <x:row r="32">
      <x:c r="A32" s="1"/>
      <x:c r="B32" s="1"/>
      <x:c r="C32" s="1"/>
      <x:c r="D32" s="1"/>
      <x:c r="E32" s="1"/>
      <x:c r="F32" s="1"/>
      <x:c r="G32" s="1"/>
      <x:c r="H32" s="1"/>
      <x:c r="I32" s="1"/>
      <x:c r="J32" s="1"/>
      <x:c r="K32" s="1"/>
    </x:row>
    <x:row r="33">
      <x:c r="A33" s="1"/>
      <x:c r="B33" s="1"/>
      <x:c r="C33" s="1"/>
      <x:c r="D33" s="1"/>
      <x:c r="E33" s="1"/>
      <x:c r="F33" s="1"/>
      <x:c r="G33" s="1"/>
      <x:c r="H33" s="1"/>
      <x:c r="I33" s="1"/>
      <x:c r="J33" s="1"/>
      <x:c r="K33" s="1"/>
    </x:row>
    <x:row r="34">
      <x:c r="A34" s="1"/>
      <x:c r="B34" s="1"/>
      <x:c r="C34" s="1"/>
      <x:c r="D34" s="1"/>
      <x:c r="E34" s="1"/>
      <x:c r="F34" s="1"/>
      <x:c r="G34" s="1"/>
      <x:c r="H34" s="1"/>
      <x:c r="I34" s="1"/>
      <x:c r="J34" s="1"/>
      <x:c r="K34" s="1"/>
    </x:row>
    <x:row r="35">
      <x:c r="A35" s="1"/>
      <x:c r="B35" s="1"/>
      <x:c r="C35" s="1"/>
      <x:c r="D35" s="1"/>
      <x:c r="E35" s="1"/>
      <x:c r="F35" s="1"/>
      <x:c r="G35" s="1"/>
      <x:c r="H35" s="1"/>
      <x:c r="I35" s="1"/>
      <x:c r="J35" s="1"/>
      <x:c r="K35" s="1"/>
    </x:row>
    <x:row r="36">
      <x:c r="A36" s="1"/>
      <x:c r="B36" s="1"/>
      <x:c r="C36" s="1"/>
      <x:c r="D36" s="1"/>
      <x:c r="E36" s="1"/>
      <x:c r="F36" s="1"/>
      <x:c r="G36" s="1"/>
      <x:c r="H36" s="1"/>
      <x:c r="I36" s="1"/>
      <x:c r="J36" s="1"/>
      <x:c r="K36" s="1"/>
    </x:row>
    <x:row r="37">
      <x:c r="A37" s="1"/>
      <x:c r="B37" s="1"/>
      <x:c r="C37" s="1"/>
      <x:c r="D37" s="1"/>
      <x:c r="E37" s="1"/>
      <x:c r="F37" s="1"/>
      <x:c r="G37" s="1"/>
      <x:c r="H37" s="1"/>
      <x:c r="I37" s="1"/>
      <x:c r="J37" s="1"/>
      <x:c r="K37" s="1"/>
    </x:row>
    <x:row r="38">
      <x:c r="A38" s="1"/>
      <x:c r="B38" s="1"/>
      <x:c r="C38" s="1"/>
      <x:c r="D38" s="1"/>
      <x:c r="E38" s="1"/>
      <x:c r="F38" s="1"/>
      <x:c r="G38" s="1"/>
      <x:c r="H38" s="1"/>
      <x:c r="I38" s="1"/>
      <x:c r="J38" s="1"/>
      <x:c r="K38" s="1"/>
    </x:row>
    <x:row r="39">
      <x:c r="A39" s="1"/>
      <x:c r="B39" s="1"/>
      <x:c r="C39" s="1"/>
      <x:c r="D39" s="1"/>
      <x:c r="E39" s="1"/>
      <x:c r="F39" s="1"/>
      <x:c r="G39" s="1"/>
      <x:c r="H39" s="1"/>
      <x:c r="I39" s="1"/>
      <x:c r="J39" s="1"/>
      <x:c r="K39" s="1"/>
    </x:row>
    <x:row r="40">
      <x:c r="A40" s="1"/>
      <x:c r="B40" s="1"/>
      <x:c r="C40" s="1"/>
      <x:c r="D40" s="1"/>
      <x:c r="E40" s="1"/>
      <x:c r="F40" s="1"/>
      <x:c r="G40" s="1"/>
      <x:c r="H40" s="1"/>
      <x:c r="I40" s="1"/>
      <x:c r="J40" s="1"/>
      <x:c r="K40" s="1"/>
    </x:row>
    <x:row r="41">
      <x:c r="A41" s="1"/>
      <x:c r="B41" s="1"/>
      <x:c r="C41" s="1"/>
      <x:c r="D41" s="1"/>
      <x:c r="E41" s="1"/>
      <x:c r="F41" s="1"/>
      <x:c r="G41" s="1"/>
      <x:c r="H41" s="1"/>
      <x:c r="I41" s="1"/>
      <x:c r="J41" s="1"/>
      <x:c r="K41" s="1"/>
    </x:row>
    <x:row r="42">
      <x:c r="A42" s="1"/>
      <x:c r="B42" s="1"/>
      <x:c r="C42" s="1"/>
      <x:c r="D42" s="1"/>
      <x:c r="E42" s="1"/>
      <x:c r="F42" s="1"/>
      <x:c r="G42" s="1"/>
      <x:c r="H42" s="1"/>
      <x:c r="I42" s="1"/>
      <x:c r="J42" s="1"/>
      <x:c r="K42" s="1"/>
    </x:row>
    <x:row r="43">
      <x:c r="A43" s="1"/>
      <x:c r="B43" s="1"/>
      <x:c r="C43" s="1"/>
      <x:c r="D43" s="1"/>
      <x:c r="E43" s="1"/>
      <x:c r="F43" s="1"/>
      <x:c r="G43" s="1"/>
      <x:c r="H43" s="1"/>
      <x:c r="I43" s="1"/>
      <x:c r="J43" s="1"/>
      <x:c r="K43" s="1"/>
    </x:row>
    <x:row r="44">
      <x:c r="A44" s="1"/>
      <x:c r="B44" s="1"/>
      <x:c r="C44" s="1"/>
      <x:c r="D44" s="1"/>
      <x:c r="E44" s="1"/>
      <x:c r="F44" s="1"/>
      <x:c r="G44" s="1"/>
      <x:c r="H44" s="1"/>
      <x:c r="I44" s="1"/>
      <x:c r="J44" s="1"/>
      <x:c r="K44" s="1"/>
    </x:row>
    <x:row r="45">
      <x:c r="A45" s="1"/>
      <x:c r="B45" s="1"/>
      <x:c r="C45" s="1"/>
      <x:c r="D45" s="1"/>
      <x:c r="E45" s="1"/>
      <x:c r="F45" s="1"/>
      <x:c r="G45" s="1"/>
      <x:c r="H45" s="1"/>
      <x:c r="I45" s="1"/>
      <x:c r="J45" s="1"/>
      <x:c r="K45" s="1"/>
    </x:row>
    <x:row r="46">
      <x:c r="A46" s="1"/>
      <x:c r="B46" s="1"/>
      <x:c r="C46" s="1"/>
      <x:c r="D46" s="1"/>
      <x:c r="E46" s="1"/>
      <x:c r="F46" s="1"/>
      <x:c r="G46" s="1"/>
      <x:c r="H46" s="1"/>
      <x:c r="I46" s="1"/>
      <x:c r="J46" s="1"/>
      <x:c r="K46" s="1"/>
    </x:row>
    <x:row r="47">
      <x:c r="A47" s="1"/>
      <x:c r="B47" s="1"/>
      <x:c r="C47" s="1"/>
      <x:c r="D47" s="1"/>
      <x:c r="E47" s="1"/>
      <x:c r="F47" s="1"/>
      <x:c r="G47" s="1"/>
      <x:c r="H47" s="1"/>
      <x:c r="I47" s="1"/>
      <x:c r="J47" s="1"/>
      <x:c r="K47" s="1"/>
    </x:row>
    <x:row r="48">
      <x:c r="A48" s="1"/>
      <x:c r="B48" s="1"/>
      <x:c r="C48" s="1"/>
      <x:c r="D48" s="1"/>
      <x:c r="E48" s="1"/>
      <x:c r="F48" s="1"/>
      <x:c r="G48" s="1"/>
      <x:c r="H48" s="1"/>
      <x:c r="I48" s="1"/>
      <x:c r="J48" s="1"/>
      <x:c r="K48" s="1"/>
    </x:row>
    <x:row r="49">
      <x:c r="A49" s="1"/>
      <x:c r="B49" s="1"/>
      <x:c r="C49" s="1"/>
      <x:c r="D49" s="1"/>
      <x:c r="E49" s="1"/>
      <x:c r="F49" s="1"/>
      <x:c r="G49" s="1"/>
      <x:c r="H49" s="1"/>
      <x:c r="I49" s="1"/>
      <x:c r="J49" s="1"/>
      <x:c r="K49" s="1"/>
    </x:row>
    <x:row r="50">
      <x:c r="A50" s="1"/>
      <x:c r="B50" s="1"/>
      <x:c r="C50" s="1"/>
      <x:c r="D50" s="1"/>
      <x:c r="E50" s="1"/>
      <x:c r="F50" s="1"/>
      <x:c r="G50" s="1"/>
      <x:c r="H50" s="1"/>
      <x:c r="I50" s="1"/>
      <x:c r="J50" s="1"/>
      <x:c r="K50" s="1"/>
    </x:row>
    <x:row r="51">
      <x:c r="A51" s="1"/>
      <x:c r="B51" s="1"/>
      <x:c r="C51" s="1"/>
      <x:c r="D51" s="1"/>
      <x:c r="E51" s="1"/>
      <x:c r="F51" s="1"/>
      <x:c r="G51" s="1"/>
      <x:c r="H51" s="1"/>
      <x:c r="I51" s="1"/>
      <x:c r="J51" s="1"/>
      <x:c r="K51" s="1"/>
    </x:row>
    <x:row r="52">
      <x:c r="A52" s="1"/>
      <x:c r="B52" s="1"/>
      <x:c r="C52" s="1"/>
      <x:c r="D52" s="1"/>
      <x:c r="E52" s="1"/>
      <x:c r="F52" s="1"/>
      <x:c r="G52" s="1"/>
      <x:c r="H52" s="1"/>
      <x:c r="I52" s="1"/>
      <x:c r="J52" s="1"/>
      <x:c r="K52" s="1"/>
    </x:row>
    <x:row r="53">
      <x:c r="A53" s="1"/>
      <x:c r="B53" s="1"/>
      <x:c r="C53" s="1"/>
      <x:c r="D53" s="1"/>
      <x:c r="E53" s="1"/>
      <x:c r="F53" s="1"/>
      <x:c r="G53" s="1"/>
      <x:c r="H53" s="1"/>
      <x:c r="I53" s="1"/>
      <x:c r="J53" s="1"/>
      <x:c r="K53" s="1"/>
    </x:row>
    <x:row r="54">
      <x:c r="A54" s="1"/>
      <x:c r="B54" s="1"/>
      <x:c r="C54" s="1"/>
      <x:c r="D54" s="1"/>
      <x:c r="E54" s="1"/>
      <x:c r="F54" s="1"/>
      <x:c r="G54" s="1"/>
      <x:c r="H54" s="1"/>
      <x:c r="I54" s="1"/>
      <x:c r="J54" s="1"/>
      <x:c r="K54" s="1"/>
    </x:row>
    <x:row r="55">
      <x:c r="A55" s="1"/>
      <x:c r="B55" s="1"/>
      <x:c r="C55" s="1"/>
      <x:c r="D55" s="1"/>
      <x:c r="E55" s="1"/>
      <x:c r="F55" s="1"/>
      <x:c r="G55" s="1"/>
      <x:c r="H55" s="1"/>
      <x:c r="I55" s="1"/>
      <x:c r="J55" s="1"/>
      <x:c r="K55" s="1"/>
    </x:row>
    <x:row r="56">
      <x:c r="A56" s="1"/>
      <x:c r="B56" s="1"/>
      <x:c r="C56" s="1"/>
      <x:c r="D56" s="1"/>
      <x:c r="E56" s="1"/>
      <x:c r="F56" s="1"/>
      <x:c r="G56" s="1"/>
      <x:c r="H56" s="1"/>
      <x:c r="I56" s="1"/>
      <x:c r="J56" s="1"/>
      <x:c r="K56" s="1"/>
    </x:row>
    <x:row r="57">
      <x:c r="A57" s="1"/>
      <x:c r="B57" s="1"/>
      <x:c r="C57" s="1"/>
      <x:c r="D57" s="1"/>
      <x:c r="E57" s="1"/>
      <x:c r="F57" s="1"/>
      <x:c r="G57" s="1"/>
      <x:c r="H57" s="1"/>
      <x:c r="I57" s="1"/>
      <x:c r="J57" s="1"/>
      <x:c r="K57" s="1"/>
    </x:row>
    <x:row r="58">
      <x:c r="A58" s="1"/>
      <x:c r="B58" s="1"/>
      <x:c r="C58" s="1"/>
      <x:c r="D58" s="1"/>
      <x:c r="E58" s="1"/>
      <x:c r="F58" s="1"/>
      <x:c r="G58" s="1"/>
      <x:c r="H58" s="1"/>
      <x:c r="I58" s="1"/>
      <x:c r="J58" s="1"/>
      <x:c r="K58" s="1"/>
    </x:row>
    <x:row r="59">
      <x:c r="A59" s="1"/>
      <x:c r="B59" s="1"/>
      <x:c r="C59" s="1"/>
      <x:c r="D59" s="1"/>
      <x:c r="E59" s="1"/>
      <x:c r="F59" s="1"/>
      <x:c r="G59" s="1"/>
      <x:c r="H59" s="1"/>
      <x:c r="I59" s="1"/>
      <x:c r="J59" s="1"/>
      <x:c r="K59" s="1"/>
    </x:row>
    <x:row r="60">
      <x:c r="A60" s="1"/>
      <x:c r="B60" s="1"/>
      <x:c r="C60" s="1"/>
      <x:c r="D60" s="1"/>
      <x:c r="E60" s="1"/>
      <x:c r="F60" s="1"/>
      <x:c r="G60" s="1"/>
      <x:c r="H60" s="1"/>
      <x:c r="I60" s="1"/>
      <x:c r="J60" s="1"/>
      <x:c r="K60" s="1"/>
    </x:row>
  </x:sheetData>
  <x:mergeCells>
    <x:mergeCell ref="A1:K2"/>
    <x:mergeCell ref="A3:K3"/>
    <x:mergeCell ref="A5:K5"/>
    <x:mergeCell ref="F6:K6"/>
    <x:mergeCell ref="F7:K7"/>
    <x:mergeCell ref="F8:K8"/>
    <x:mergeCell ref="F9:K9"/>
    <x:mergeCell ref="F10:K10"/>
    <x:mergeCell ref="F11:K11"/>
    <x:mergeCell ref="A13:K13"/>
    <x:mergeCell ref="A14:K17"/>
  </x:mergeCells>
  <x:pageMargins left="0.7" right="0.7" top="0.75" bottom="0.75" header="0.3" footer="0.3"/>
</x:worksheet>
</file>