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aa3037e61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f6b183aee8124e26"/>
    <x:sheet xmlns:r="http://schemas.openxmlformats.org/officeDocument/2006/relationships" name="Gold_Answer_A" sheetId="2" r:id="R9ad6e78cf68e41fd"/>
    <x:sheet xmlns:r="http://schemas.openxmlformats.org/officeDocument/2006/relationships" name="Trajectory_Rubric" sheetId="3" r:id="R756422b27c6e4a42"/>
    <x:sheet xmlns:r="http://schemas.openxmlformats.org/officeDocument/2006/relationships" name="Tool_Efficiency" sheetId="4" r:id="Rebea859a41ad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000%"/>
    <x:numFmt numFmtId="202" formatCode="0.00E+00"/>
    <x:numFmt numFmtId="203" formatCode="0%"/>
    <x:numFmt numFmtId="204" formatCode="0.00000"/>
    <x:numFmt numFmtId="205" formatCode="0.0000"/>
    <x:numFmt numFmtId="206" formatCode="0.0000%"/>
  </x:numFmts>
  <x:fonts count="7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"/>
    </x:font>
    <x:font>
      <x:sz val="10"/>
      <x:color rgb="FF9C6500"/>
      <x:name val="Aptos"/>
    </x:font>
    <x:font>
      <x:b/>
      <x:sz val="11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1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204" fontId="1" fillId="0" borderId="5" xfId="0" applyNumberFormat="1" applyFont="1" applyFill="1" applyBorder="1" applyAlignment="1">
      <x:alignment vertical="center" wrapText="1"/>
    </x:xf>
    <x:xf numFmtId="205" fontId="1" fillId="0" borderId="5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0" borderId="10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204" fontId="1" fillId="6" borderId="0" xfId="0" applyNumberFormat="1" applyFont="1" applyFill="1" applyBorder="1" applyAlignment="1">
      <x:alignment vertical="center" wrapText="1"/>
    </x:xf>
    <x:xf numFmtId="205" fontId="1" fillId="6" borderId="0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204" fontId="1" fillId="0" borderId="4" xfId="0" applyNumberFormat="1" applyFont="1" applyFill="1" applyBorder="1" applyAlignment="1">
      <x:alignment vertical="center" wrapText="1"/>
    </x:xf>
    <x:xf numFmtId="204" fontId="1" fillId="0" borderId="7" xfId="0" applyNumberFormat="1" applyFont="1" applyFill="1" applyBorder="1" applyAlignment="1">
      <x:alignment vertical="center" wrapText="1"/>
    </x:xf>
    <x:xf numFmtId="204" fontId="1" fillId="0" borderId="9" xfId="0" applyNumberFormat="1" applyFont="1" applyFill="1" applyBorder="1" applyAlignment="1">
      <x:alignment vertical="center" wrapText="1"/>
    </x:xf>
    <x:xf numFmtId="204" fontId="1" fillId="6" borderId="7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2" fontId="1" fillId="0" borderId="6" xfId="0" applyNumberFormat="1" applyFont="1" applyFill="1" applyBorder="1" applyAlignment="1">
      <x:alignment vertical="center" wrapText="1"/>
    </x:xf>
    <x:xf numFmtId="206" fontId="1" fillId="0" borderId="8" xfId="0" applyNumberFormat="1" applyFont="1" applyFill="1" applyBorder="1" applyAlignment="1">
      <x:alignment vertical="center" wrapText="1"/>
    </x:xf>
    <x:xf numFmtId="205" fontId="1" fillId="0" borderId="8" xfId="0" applyNumberFormat="1" applyFont="1" applyFill="1" applyBorder="1" applyAlignment="1">
      <x:alignment vertical="center" wrapText="1"/>
    </x:xf>
    <x:xf numFmtId="205" fontId="1" fillId="0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c6d86099f41ab" /><Relationship Type="http://schemas.openxmlformats.org/officeDocument/2006/relationships/theme" Target="/xl/theme/theme1.xml" Id="R82f733ccb45b49b7" /><Relationship Type="http://schemas.openxmlformats.org/officeDocument/2006/relationships/sharedStrings" Target="/xl/sharedStrings.xml" Id="Re25afe8d9d3f4c55" /><Relationship Type="http://schemas.openxmlformats.org/officeDocument/2006/relationships/worksheet" Target="/xl/worksheets/sheet1.xml" Id="Rf6b183aee8124e26" /><Relationship Type="http://schemas.openxmlformats.org/officeDocument/2006/relationships/worksheet" Target="/xl/worksheets/sheet2.xml" Id="R9ad6e78cf68e41fd" /><Relationship Type="http://schemas.openxmlformats.org/officeDocument/2006/relationships/worksheet" Target="/xl/worksheets/sheet3.xml" Id="R756422b27c6e4a42" /><Relationship Type="http://schemas.openxmlformats.org/officeDocument/2006/relationships/worksheet" Target="/xl/worksheets/sheet4.xml" Id="Rebea859a41ad46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25250bb65947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Pressure–permeate screen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Permeate water</c:v>
          </c:tx>
          <c:marker>
            <c:symbol val="none"/>
          </c:marker>
          <c:cat>
            <c:strRef>
              <c:f>'Gold_Answer_A'!$J$10:$J$14</c:f>
              <c:strCache>
                <c:ptCount val="0"/>
              </c:strCache>
            </c:strRef>
          </c:cat>
          <c:val>
            <c:numRef>
              <c:f>'Gold_Answer_A'!$K$10:$K$14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'Gold_Answer_A'!$J$10:$J$14</c:f>
              <c:strCache>
                <c:ptCount val="0"/>
              </c:strCache>
            </c:strRef>
          </c:cat>
          <c:val>
            <c:numRef>
              <c:f>'Gold_Answer_A'!$L$10:$L$14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25250bb65947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cdd5559a8164a4d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3" hidden="0" customWidth="1"/>
    <x:col min="9" max="9" width="25" hidden="0" customWidth="1"/>
    <x:col min="10" max="10" width="23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Coupled SWRO Decision: Minimum Pressure and Acid-Dose Window</x:v>
      </x:c>
      <x:c r="B1" s="6" t="str">
        <x:v>Coupled SWRO Decision: Minimum Pressure and Acid-Dose Window</x:v>
      </x:c>
      <x:c r="C1" s="6" t="str">
        <x:v>Coupled SWRO Decision: Minimum Pressure and Acid-Dose Window</x:v>
      </x:c>
      <x:c r="D1" s="6" t="str">
        <x:v>Coupled SWRO Decision: Minimum Pressure and Acid-Dose Window</x:v>
      </x:c>
      <x:c r="E1" s="6" t="str">
        <x:v>Coupled SWRO Decision: Minimum Pressure and Acid-Dose Window</x:v>
      </x:c>
      <x:c r="F1" s="6" t="str">
        <x:v>Coupled SWRO Decision: Minimum Pressure and Acid-Dose Window</x:v>
      </x:c>
      <x:c r="G1" s="6" t="str">
        <x:v>Coupled SWRO Decision: Minimum Pressure and Acid-Dose Window</x:v>
      </x:c>
      <x:c r="H1" s="6" t="str">
        <x:v>Coupled SWRO Decision: Minimum Pressure and Acid-Dose Window</x:v>
      </x:c>
      <x:c r="I1" s="6" t="str">
        <x:v>Coupled SWRO Decision: Minimum Pressure and Acid-Dose Window</x:v>
      </x:c>
      <x:c r="J1" s="6" t="str">
        <x:v>Coupled SWRO Decision: Minimum Pressure and Acid-Dose Window</x:v>
      </x:c>
      <x:c r="K1" s="6" t="str">
        <x:v>Coupled SWRO Decision: Minimum Pressure and Acid-Dose Window</x:v>
      </x:c>
      <x:c r="L1" s="6" t="str">
        <x:v>Coupled SWRO Decision: Minimum Pressure and Acid-Dose Window</x:v>
      </x:c>
      <x:c r="M1" s="6" t="str">
        <x:v>Coupled SWRO Decision: Minimum Pressure and Acid-Dose Window</x:v>
      </x:c>
      <x:c r="N1" s="6" t="str">
        <x:v>Coupled SWRO Decision: Minimum Pressure and Acid-Dose Window</x:v>
      </x:c>
    </x:row>
    <x:row r="2" ht="30" customHeight="1">
      <x:c r="A2" s="6" t="str">
        <x:v>Coupled SWRO Decision: Minimum Pressure and Acid-Dose Window</x:v>
      </x:c>
      <x:c r="B2" s="6" t="str">
        <x:v>Coupled SWRO Decision: Minimum Pressure and Acid-Dose Window</x:v>
      </x:c>
      <x:c r="C2" s="6" t="str">
        <x:v>Coupled SWRO Decision: Minimum Pressure and Acid-Dose Window</x:v>
      </x:c>
      <x:c r="D2" s="6" t="str">
        <x:v>Coupled SWRO Decision: Minimum Pressure and Acid-Dose Window</x:v>
      </x:c>
      <x:c r="E2" s="6" t="str">
        <x:v>Coupled SWRO Decision: Minimum Pressure and Acid-Dose Window</x:v>
      </x:c>
      <x:c r="F2" s="6" t="str">
        <x:v>Coupled SWRO Decision: Minimum Pressure and Acid-Dose Window</x:v>
      </x:c>
      <x:c r="G2" s="6" t="str">
        <x:v>Coupled SWRO Decision: Minimum Pressure and Acid-Dose Window</x:v>
      </x:c>
      <x:c r="H2" s="6" t="str">
        <x:v>Coupled SWRO Decision: Minimum Pressure and Acid-Dose Window</x:v>
      </x:c>
      <x:c r="I2" s="6" t="str">
        <x:v>Coupled SWRO Decision: Minimum Pressure and Acid-Dose Window</x:v>
      </x:c>
      <x:c r="J2" s="6" t="str">
        <x:v>Coupled SWRO Decision: Minimum Pressure and Acid-Dose Window</x:v>
      </x:c>
      <x:c r="K2" s="6" t="str">
        <x:v>Coupled SWRO Decision: Minimum Pressure and Acid-Dose Window</x:v>
      </x:c>
      <x:c r="L2" s="6" t="str">
        <x:v>Coupled SWRO Decision: Minimum Pressure and Acid-Dose Window</x:v>
      </x:c>
      <x:c r="M2" s="6" t="str">
        <x:v>Coupled SWRO Decision: Minimum Pressure and Acid-Dose Window</x:v>
      </x:c>
      <x:c r="N2" s="6" t="str">
        <x:v>Coupled SWRO Decision: Minimum Pressure and Acid-Dose Window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B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C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D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E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F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G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H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I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J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K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L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M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N4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</x:row>
    <x:row r="5" ht="32" customHeight="1">
      <x:c r="A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B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C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D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E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F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G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H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I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J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K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L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M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N5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</x:row>
    <x:row r="6" ht="32" customHeight="1">
      <x:c r="A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B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C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D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E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F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G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H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I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J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K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L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M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  <x:c r="N6" s="9" t="str">
        <x:v>A coastal-well SWRO unit has operated for two years, and membrane water permeability is 20% below the new-membrane value. Operations require at least 0.380 kg/s permeate-water flow and no more than 350 ppm NaCl without adding membrane area, while preferring the lowest feasible feed pressure. After selecting pressure, pass the actual water recovery from simulate_ro into equilibrate_feed, check concentrate scaling, and identify the unique passing HCl dose from the discrete candidates. Recommend an executable pressure–acid setpoint.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2" t="str">
        <x:v>RO operating conditions and model inputs</x:v>
      </x:c>
      <x:c r="B8" s="12" t="str">
        <x:v>RO operating conditions and model inputs</x:v>
      </x:c>
      <x:c r="C8" s="12" t="str">
        <x:v>RO operating conditions and model inputs</x:v>
      </x:c>
      <x:c r="D8" s="12" t="str">
        <x:v>RO operating conditions and model inputs</x:v>
      </x:c>
      <x:c r="E8" s="12" t="str">
        <x:v>RO operating conditions and model inputs</x:v>
      </x:c>
      <x:c r="F8" s="12" t="str">
        <x:v>RO operating conditions and model inputs</x:v>
      </x:c>
      <x:c r="G8" s="2"/>
      <x:c r="H8" s="12" t="str">
        <x:v>Hard constraints and candidate points</x:v>
      </x:c>
      <x:c r="I8" s="12" t="str">
        <x:v>Hard constraints and candidate points</x:v>
      </x:c>
      <x:c r="J8" s="12" t="str">
        <x:v>Hard constraints and candidate points</x:v>
      </x:c>
      <x:c r="K8" s="12" t="str">
        <x:v>Hard constraints and candidate points</x:v>
      </x:c>
      <x:c r="L8" s="12" t="str">
        <x:v>Hard constraints and candidate points</x:v>
      </x:c>
      <x:c r="M8" s="12" t="str">
        <x:v>Hard constraints and candidate points</x:v>
      </x:c>
      <x:c r="N8" s="12" t="str">
        <x:v>Hard constraints and candidate points</x:v>
      </x:c>
    </x:row>
    <x:row r="9">
      <x:c r="A9" s="21" t="str">
        <x:v>Parameter</x:v>
      </x:c>
      <x:c r="B9" s="22" t="str">
        <x:v>Value</x:v>
      </x:c>
      <x:c r="C9" s="23" t="str">
        <x:v>Unit / note</x:v>
      </x:c>
      <x:c r="D9" s="2"/>
      <x:c r="E9" s="2"/>
      <x:c r="F9" s="2"/>
      <x:c r="G9" s="2"/>
      <x:c r="H9" s="21" t="str">
        <x:v>Decision item</x:v>
      </x:c>
      <x:c r="I9" s="22" t="str">
        <x:v>Candidate / threshold</x:v>
      </x:c>
      <x:c r="J9" s="23" t="str">
        <x:v>Rule</x:v>
      </x:c>
      <x:c r="K9" s="2"/>
      <x:c r="L9" s="2"/>
      <x:c r="M9" s="2"/>
      <x:c r="N9" s="2"/>
    </x:row>
    <x:row r="10" ht="30" customHeight="1">
      <x:c r="A10" s="32" t="str">
        <x:v>Total feed mass flow</x:v>
      </x:c>
      <x:c r="B10" s="41" t="n">
        <x:v>1</x:v>
      </x:c>
      <x:c r="C10" s="34" t="str">
        <x:v>kg/s</x:v>
      </x:c>
      <x:c r="D10" s="2"/>
      <x:c r="E10" s="2"/>
      <x:c r="F10" s="2"/>
      <x:c r="G10" s="2"/>
      <x:c r="H10" s="32" t="str">
        <x:v>Feed pressure</x:v>
      </x:c>
      <x:c r="I10" s="33" t="str">
        <x:v>55, 58, 60, 62, 65 bar</x:v>
      </x:c>
      <x:c r="J10" s="34" t="str">
        <x:v>Choose the lowest point meeting both RO criteria</x:v>
      </x:c>
      <x:c r="K10" s="2"/>
      <x:c r="L10" s="2"/>
      <x:c r="M10" s="2"/>
      <x:c r="N10" s="2"/>
    </x:row>
    <x:row r="11" ht="30" customHeight="1">
      <x:c r="A11" s="35" t="str">
        <x:v>Feed NaCl mass fraction</x:v>
      </x:c>
      <x:c r="B11" s="42" t="n">
        <x:v>0.032</x:v>
      </x:c>
      <x:c r="C11" s="37" t="str">
        <x:v>kg/kg</x:v>
      </x:c>
      <x:c r="D11" s="2"/>
      <x:c r="E11" s="2"/>
      <x:c r="F11" s="2"/>
      <x:c r="G11" s="2"/>
      <x:c r="H11" s="35" t="str">
        <x:v>Permeate-water flow</x:v>
      </x:c>
      <x:c r="I11" s="36" t="str">
        <x:v>≥0.380 kg/s</x:v>
      </x:c>
      <x:c r="J11" s="37" t="str">
        <x:v>Use permeate.water_kg_s</x:v>
      </x:c>
      <x:c r="K11" s="2"/>
      <x:c r="L11" s="2"/>
      <x:c r="M11" s="2"/>
      <x:c r="N11" s="2"/>
    </x:row>
    <x:row r="12" ht="30" customHeight="1">
      <x:c r="A12" s="35" t="str">
        <x:v>Feed temperature</x:v>
      </x:c>
      <x:c r="B12" s="43" t="n">
        <x:v>22</x:v>
      </x:c>
      <x:c r="C12" s="37" t="str">
        <x:v>°C</x:v>
      </x:c>
      <x:c r="D12" s="2"/>
      <x:c r="E12" s="2"/>
      <x:c r="F12" s="2"/>
      <x:c r="G12" s="2"/>
      <x:c r="H12" s="35" t="str">
        <x:v>Permeate NaCl</x:v>
      </x:c>
      <x:c r="I12" s="36" t="str">
        <x:v>≤350 ppm</x:v>
      </x:c>
      <x:c r="J12" s="37" t="str">
        <x:v>Both RO criteria must pass</x:v>
      </x:c>
      <x:c r="K12" s="2"/>
      <x:c r="L12" s="2"/>
      <x:c r="M12" s="2"/>
      <x:c r="N12" s="2"/>
    </x:row>
    <x:row r="13" ht="30" customHeight="1">
      <x:c r="A13" s="35" t="str">
        <x:v>Membrane area</x:v>
      </x:c>
      <x:c r="B13" s="43" t="n">
        <x:v>60</x:v>
      </x:c>
      <x:c r="C13" s="37" t="str">
        <x:v>m²</x:v>
      </x:c>
      <x:c r="D13" s="2"/>
      <x:c r="E13" s="2"/>
      <x:c r="F13" s="2"/>
      <x:c r="G13" s="2"/>
      <x:c r="H13" s="35" t="str">
        <x:v>HCl dose</x:v>
      </x:c>
      <x:c r="I13" s="36" t="str">
        <x:v>0, 0.0020, 0.0021, 0.0022, 0.0023 mol/s</x:v>
      </x:c>
      <x:c r="J13" s="37" t="str">
        <x:v>Compare only at selected recovery</x:v>
      </x:c>
      <x:c r="K13" s="2"/>
      <x:c r="L13" s="2"/>
      <x:c r="M13" s="2"/>
      <x:c r="N13" s="2"/>
    </x:row>
    <x:row r="14" ht="30" customHeight="1">
      <x:c r="A14" s="35" t="str">
        <x:v>New-membrane A</x:v>
      </x:c>
      <x:c r="B14" s="44" t="n">
        <x:v>4.2e-12</x:v>
      </x:c>
      <x:c r="C14" s="37" t="str">
        <x:v>m/(Pa·s)</x:v>
      </x:c>
      <x:c r="D14" s="2"/>
      <x:c r="E14" s="2"/>
      <x:c r="F14" s="2"/>
      <x:c r="G14" s="2"/>
      <x:c r="H14" s="35" t="str">
        <x:v>Mineral criteria</x:v>
      </x:c>
      <x:c r="I14" s="36" t="str">
        <x:v>Calcite, Dolomite, Gypsum, Anhydrite SI &lt; 0</x:v>
      </x:c>
      <x:c r="J14" s="37" t="str">
        <x:v>All four must pass</x:v>
      </x:c>
      <x:c r="K14" s="2"/>
      <x:c r="L14" s="2"/>
      <x:c r="M14" s="2"/>
      <x:c r="N14" s="2"/>
    </x:row>
    <x:row r="15" ht="30" customHeight="1">
      <x:c r="A15" s="35" t="str">
        <x:v>A decline</x:v>
      </x:c>
      <x:c r="B15" s="45" t="n">
        <x:v>0.2</x:v>
      </x:c>
      <x:c r="C15" s="37" t="str">
        <x:v>fraction</x:v>
      </x:c>
      <x:c r="D15" s="2"/>
      <x:c r="E15" s="2"/>
      <x:c r="F15" s="2"/>
      <x:c r="G15" s="2"/>
      <x:c r="H15" s="35" t="str">
        <x:v>pH floor</x:v>
      </x:c>
      <x:c r="I15" s="36" t="str">
        <x:v>Equilibrium pH ≥6.30</x:v>
      </x:c>
      <x:c r="J15" s="37" t="str">
        <x:v>Prevents acid overdosing</x:v>
      </x:c>
      <x:c r="K15" s="2"/>
      <x:c r="L15" s="2"/>
      <x:c r="M15" s="2"/>
      <x:c r="N15" s="2"/>
    </x:row>
    <x:row r="16" ht="30" customHeight="1">
      <x:c r="A16" s="35" t="str">
        <x:v>Aged-membrane A</x:v>
      </x:c>
      <x:c r="B16" s="44" t="n">
        <x:f>B14*(1-B15)</x:f>
        <x:v>3.3600000000000002e-12</x:v>
      </x:c>
      <x:c r="C16" s="37" t="str">
        <x:v>m/(Pa·s)</x:v>
      </x:c>
      <x:c r="D16" s="2"/>
      <x:c r="E16" s="2"/>
      <x:c r="F16" s="2"/>
      <x:c r="G16" s="2"/>
      <x:c r="H16" s="38" t="str">
        <x:v>Selection rule</x:v>
      </x:c>
      <x:c r="I16" s="39" t="str">
        <x:v>Minimum pressure + unique passing acid dose</x:v>
      </x:c>
      <x:c r="J16" s="40" t="str">
        <x:v>Do not impose recovery manually</x:v>
      </x:c>
      <x:c r="K16" s="2"/>
      <x:c r="L16" s="2"/>
      <x:c r="M16" s="2"/>
      <x:c r="N16" s="2"/>
    </x:row>
    <x:row r="17" ht="30" customHeight="1">
      <x:c r="A17" s="35" t="str">
        <x:v>Aged-membrane B</x:v>
      </x:c>
      <x:c r="B17" s="44" t="n">
        <x:v>4.2e-8</x:v>
      </x:c>
      <x:c r="C17" s="37" t="str">
        <x:v>m/s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0" customHeight="1">
      <x:c r="A18" s="35" t="str">
        <x:v>Permeate pressure</x:v>
      </x:c>
      <x:c r="B18" s="46" t="n">
        <x:v>1.01325</x:v>
      </x:c>
      <x:c r="C18" s="37" t="str">
        <x:v>bar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0" customHeight="1">
      <x:c r="A19" s="38" t="str">
        <x:v>Module pressure drop</x:v>
      </x:c>
      <x:c r="B19" s="47" t="n">
        <x:v>3</x:v>
      </x:c>
      <x:c r="C19" s="40" t="str">
        <x:v>bar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12" t="str">
        <x:v>Ionic feed composition for equilibrate_feed</x:v>
      </x:c>
      <x:c r="B22" s="12" t="str">
        <x:v>Ionic feed composition for equilibrate_feed</x:v>
      </x:c>
      <x:c r="C22" s="12" t="str">
        <x:v>Ionic feed composition for equilibrate_feed</x:v>
      </x:c>
      <x:c r="D22" s="12" t="str">
        <x:v>Ionic feed composition for equilibrate_feed</x:v>
      </x:c>
      <x:c r="E22" s="12" t="str">
        <x:v>Ionic feed composition for equilibrate_feed</x:v>
      </x:c>
      <x:c r="F22" s="12" t="str">
        <x:v>Ionic feed composition for equilibrate_feed</x:v>
      </x:c>
      <x:c r="G22" s="2"/>
      <x:c r="H22" s="12" t="str">
        <x:v>Required deliverables</x:v>
      </x:c>
      <x:c r="I22" s="12" t="str">
        <x:v>Required deliverables</x:v>
      </x:c>
      <x:c r="J22" s="12" t="str">
        <x:v>Required deliverables</x:v>
      </x:c>
      <x:c r="K22" s="12" t="str">
        <x:v>Required deliverables</x:v>
      </x:c>
      <x:c r="L22" s="12" t="str">
        <x:v>Required deliverables</x:v>
      </x:c>
      <x:c r="M22" s="12" t="str">
        <x:v>Required deliverables</x:v>
      </x:c>
      <x:c r="N22" s="12" t="str">
        <x:v>Required deliverables</x:v>
      </x:c>
    </x:row>
    <x:row r="23" ht="31" customHeight="1">
      <x:c r="A23" s="21" t="str">
        <x:v>Species</x:v>
      </x:c>
      <x:c r="B23" s="22" t="str">
        <x:v>Flow</x:v>
      </x:c>
      <x:c r="C23" s="23" t="str">
        <x:v>Unit</x:v>
      </x:c>
      <x:c r="D23" s="2"/>
      <x:c r="E23" s="2"/>
      <x:c r="F23" s="2"/>
      <x:c r="G23" s="2"/>
      <x:c r="H23" s="48" t="str">
        <x:v>1. Calculate aged A and run simulate_ro at all five pressure points.</x:v>
      </x:c>
      <x:c r="I23" s="49"/>
      <x:c r="J23" s="49"/>
      <x:c r="K23" s="49"/>
      <x:c r="L23" s="49"/>
      <x:c r="M23" s="49"/>
      <x:c r="N23" s="50"/>
    </x:row>
    <x:row r="24" ht="31" customHeight="1">
      <x:c r="A24" s="32" t="str">
        <x:v>H2O</x:v>
      </x:c>
      <x:c r="B24" s="33" t="n">
        <x:v>55.5</x:v>
      </x:c>
      <x:c r="C24" s="34" t="str">
        <x:v>mol/s</x:v>
      </x:c>
      <x:c r="D24" s="2"/>
      <x:c r="E24" s="2"/>
      <x:c r="F24" s="2"/>
      <x:c r="G24" s="2"/>
      <x:c r="H24" s="48" t="str">
        <x:v>2. Select the lowest pressure satisfying both water-flow and NaCl constraints.</x:v>
      </x:c>
      <x:c r="I24" s="49"/>
      <x:c r="J24" s="49"/>
      <x:c r="K24" s="49"/>
      <x:c r="L24" s="49"/>
      <x:c r="M24" s="49"/>
      <x:c r="N24" s="50"/>
    </x:row>
    <x:row r="25" ht="31" customHeight="1">
      <x:c r="A25" s="35" t="str">
        <x:v>Na</x:v>
      </x:c>
      <x:c r="B25" s="36" t="n">
        <x:v>0.43</x:v>
      </x:c>
      <x:c r="C25" s="37" t="str">
        <x:v>mol/s</x:v>
      </x:c>
      <x:c r="D25" s="2"/>
      <x:c r="E25" s="2"/>
      <x:c r="F25" s="2"/>
      <x:c r="G25" s="2"/>
      <x:c r="H25" s="48" t="str">
        <x:v>3. Pass the actual water_recovery at that pressure directly to equilibrate_feed.</x:v>
      </x:c>
      <x:c r="I25" s="49"/>
      <x:c r="J25" s="49"/>
      <x:c r="K25" s="49"/>
      <x:c r="L25" s="49"/>
      <x:c r="M25" s="49"/>
      <x:c r="N25" s="50"/>
    </x:row>
    <x:row r="26" ht="31" customHeight="1">
      <x:c r="A26" s="35" t="str">
        <x:v>Cl</x:v>
      </x:c>
      <x:c r="B26" s="36" t="n">
        <x:v>0.48</x:v>
      </x:c>
      <x:c r="C26" s="37" t="str">
        <x:v>mol/s</x:v>
      </x:c>
      <x:c r="D26" s="2"/>
      <x:c r="E26" s="2"/>
      <x:c r="F26" s="2"/>
      <x:c r="G26" s="2"/>
      <x:c r="H26" s="48" t="str">
        <x:v>4. Compare all four SIs and pH on the stated HCl grid; prove the unique passing point.</x:v>
      </x:c>
      <x:c r="I26" s="49"/>
      <x:c r="J26" s="49"/>
      <x:c r="K26" s="49"/>
      <x:c r="L26" s="49"/>
      <x:c r="M26" s="49"/>
      <x:c r="N26" s="50"/>
    </x:row>
    <x:row r="27" ht="31" customHeight="1">
      <x:c r="A27" s="35" t="str">
        <x:v>Mg</x:v>
      </x:c>
      <x:c r="B27" s="36" t="n">
        <x:v>0.045</x:v>
      </x:c>
      <x:c r="C27" s="37" t="str">
        <x:v>mol/s</x:v>
      </x:c>
      <x:c r="D27" s="2"/>
      <x:c r="E27" s="2"/>
      <x:c r="F27" s="2"/>
      <x:c r="G27" s="2"/>
      <x:c r="H27" s="48" t="str">
        <x:v>5. Convert HCl to pure-HCl g/h and 31 wt% acid L/h (density 1.15 kg/L).</x:v>
      </x:c>
      <x:c r="I27" s="49"/>
      <x:c r="J27" s="49"/>
      <x:c r="K27" s="49"/>
      <x:c r="L27" s="49"/>
      <x:c r="M27" s="49"/>
      <x:c r="N27" s="50"/>
    </x:row>
    <x:row r="28" ht="31" customHeight="1">
      <x:c r="A28" s="35" t="str">
        <x:v>SO4</x:v>
      </x:c>
      <x:c r="B28" s="36" t="n">
        <x:v>0.035</x:v>
      </x:c>
      <x:c r="C28" s="37" t="str">
        <x:v>mol/s</x:v>
      </x:c>
      <x:c r="D28" s="2"/>
      <x:c r="E28" s="2"/>
      <x:c r="F28" s="2"/>
      <x:c r="G28" s="2"/>
      <x:c r="H28" s="48" t="str">
        <x:v>6. State the coupled setpoint, adjacent failure evidence, and model boundaries.</x:v>
      </x:c>
      <x:c r="I28" s="49"/>
      <x:c r="J28" s="49"/>
      <x:c r="K28" s="49"/>
      <x:c r="L28" s="49"/>
      <x:c r="M28" s="49"/>
      <x:c r="N28" s="50"/>
    </x:row>
    <x:row r="29" ht="31" customHeight="1">
      <x:c r="A29" s="35" t="str">
        <x:v>Ca</x:v>
      </x:c>
      <x:c r="B29" s="36" t="n">
        <x:v>0.018</x:v>
      </x:c>
      <x:c r="C29" s="37" t="str">
        <x:v>mol/s</x:v>
      </x:c>
      <x:c r="D29" s="2"/>
      <x:c r="E29" s="2"/>
      <x:c r="F29" s="2"/>
      <x:c r="G29" s="2"/>
      <x:c r="H29" s="48" t="str">
        <x:v>Tool requirement: both simulate_ro and equilibrate_feed must be used.</x:v>
      </x:c>
      <x:c r="I29" s="49"/>
      <x:c r="J29" s="49"/>
      <x:c r="K29" s="49"/>
      <x:c r="L29" s="49"/>
      <x:c r="M29" s="49"/>
      <x:c r="N29" s="50"/>
    </x:row>
    <x:row r="30" ht="31" customHeight="1">
      <x:c r="A30" s="38" t="str">
        <x:v>HCO3</x:v>
      </x:c>
      <x:c r="B30" s="39" t="n">
        <x:v>0.006</x:v>
      </x:c>
      <x:c r="C30" s="40" t="str">
        <x:v>mol/s</x:v>
      </x:c>
      <x:c r="D30" s="2"/>
      <x:c r="E30" s="2"/>
      <x:c r="F30" s="2"/>
      <x:c r="G30" s="2"/>
      <x:c r="H30" s="48" t="str">
        <x:v>Stop only after adjacent fail/pass evidence locks both decisions.</x:v>
      </x:c>
      <x:c r="I30" s="49"/>
      <x:c r="J30" s="49"/>
      <x:c r="K30" s="49"/>
      <x:c r="L30" s="49"/>
      <x:c r="M30" s="49"/>
      <x:c r="N30" s="50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N2"/>
    <x:mergeCell ref="A4:N6"/>
    <x:mergeCell ref="A8:F8"/>
    <x:mergeCell ref="H8:N8"/>
    <x:mergeCell ref="A22:F22"/>
    <x:mergeCell ref="H22:N22"/>
    <x:mergeCell ref="H23:N23"/>
    <x:mergeCell ref="H24:N24"/>
    <x:mergeCell ref="H25:N25"/>
    <x:mergeCell ref="H26:N26"/>
    <x:mergeCell ref="H27:N27"/>
    <x:mergeCell ref="H28:N28"/>
    <x:mergeCell ref="H29:N29"/>
    <x:mergeCell ref="H30:N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7" hidden="0" customWidth="1"/>
    <x:col min="4" max="4" width="17" hidden="0" customWidth="1"/>
    <x:col min="5" max="5" width="15" hidden="0" customWidth="1"/>
    <x:col min="6" max="6" width="15" hidden="0" customWidth="1"/>
    <x:col min="7" max="7" width="17" hidden="0" customWidth="1"/>
    <x:col min="8" max="8" width="28" hidden="0" customWidth="1"/>
    <x:col min="9" max="9" width="2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6" t="str">
        <x:v>Gold Answer: 62 bar + 0.0022 mol/s HCl</x:v>
      </x:c>
      <x:c r="B1" s="6" t="str">
        <x:v>Gold Answer: 62 bar + 0.0022 mol/s HCl</x:v>
      </x:c>
      <x:c r="C1" s="6" t="str">
        <x:v>Gold Answer: 62 bar + 0.0022 mol/s HCl</x:v>
      </x:c>
      <x:c r="D1" s="6" t="str">
        <x:v>Gold Answer: 62 bar + 0.0022 mol/s HCl</x:v>
      </x:c>
      <x:c r="E1" s="6" t="str">
        <x:v>Gold Answer: 62 bar + 0.0022 mol/s HCl</x:v>
      </x:c>
      <x:c r="F1" s="6" t="str">
        <x:v>Gold Answer: 62 bar + 0.0022 mol/s HCl</x:v>
      </x:c>
      <x:c r="G1" s="6" t="str">
        <x:v>Gold Answer: 62 bar + 0.0022 mol/s HCl</x:v>
      </x:c>
      <x:c r="H1" s="6" t="str">
        <x:v>Gold Answer: 62 bar + 0.0022 mol/s HCl</x:v>
      </x:c>
      <x:c r="I1" s="6" t="str">
        <x:v>Gold Answer: 62 bar + 0.0022 mol/s HCl</x:v>
      </x:c>
      <x:c r="J1" s="6" t="str">
        <x:v>Gold Answer: 62 bar + 0.0022 mol/s HCl</x:v>
      </x:c>
      <x:c r="K1" s="6" t="str">
        <x:v>Gold Answer: 62 bar + 0.0022 mol/s HCl</x:v>
      </x:c>
      <x:c r="L1" s="6" t="str">
        <x:v>Gold Answer: 62 bar + 0.0022 mol/s HCl</x:v>
      </x:c>
      <x:c r="M1" s="6" t="str">
        <x:v>Gold Answer: 62 bar + 0.0022 mol/s HCl</x:v>
      </x:c>
      <x:c r="N1" s="6" t="str">
        <x:v>Gold Answer: 62 bar + 0.0022 mol/s HCl</x:v>
      </x:c>
    </x:row>
    <x:row r="2" ht="30" customHeight="1">
      <x:c r="A2" s="6" t="str">
        <x:v>Gold Answer: 62 bar + 0.0022 mol/s HCl</x:v>
      </x:c>
      <x:c r="B2" s="6" t="str">
        <x:v>Gold Answer: 62 bar + 0.0022 mol/s HCl</x:v>
      </x:c>
      <x:c r="C2" s="6" t="str">
        <x:v>Gold Answer: 62 bar + 0.0022 mol/s HCl</x:v>
      </x:c>
      <x:c r="D2" s="6" t="str">
        <x:v>Gold Answer: 62 bar + 0.0022 mol/s HCl</x:v>
      </x:c>
      <x:c r="E2" s="6" t="str">
        <x:v>Gold Answer: 62 bar + 0.0022 mol/s HCl</x:v>
      </x:c>
      <x:c r="F2" s="6" t="str">
        <x:v>Gold Answer: 62 bar + 0.0022 mol/s HCl</x:v>
      </x:c>
      <x:c r="G2" s="6" t="str">
        <x:v>Gold Answer: 62 bar + 0.0022 mol/s HCl</x:v>
      </x:c>
      <x:c r="H2" s="6" t="str">
        <x:v>Gold Answer: 62 bar + 0.0022 mol/s HCl</x:v>
      </x:c>
      <x:c r="I2" s="6" t="str">
        <x:v>Gold Answer: 62 bar + 0.0022 mol/s HCl</x:v>
      </x:c>
      <x:c r="J2" s="6" t="str">
        <x:v>Gold Answer: 62 bar + 0.0022 mol/s HCl</x:v>
      </x:c>
      <x:c r="K2" s="6" t="str">
        <x:v>Gold Answer: 62 bar + 0.0022 mol/s HCl</x:v>
      </x:c>
      <x:c r="L2" s="6" t="str">
        <x:v>Gold Answer: 62 bar + 0.0022 mol/s HCl</x:v>
      </x:c>
      <x:c r="M2" s="6" t="str">
        <x:v>Gold Answer: 62 bar + 0.0022 mol/s HCl</x:v>
      </x:c>
      <x:c r="N2" s="6" t="str">
        <x:v>Gold Answer: 62 bar + 0.0022 mol/s HCl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B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C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D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E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F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G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H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I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J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K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L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M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N4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</x:row>
    <x:row r="5">
      <x:c r="A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B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C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D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E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F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G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H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I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J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K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L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M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N5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</x:row>
    <x:row r="6">
      <x:c r="A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B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C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D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E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F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G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H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I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J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K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L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M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  <x:c r="N6" s="53" t="str">
        <x:v>Final recommendation: 62 bar feed pressure with 0.0022 mol/s HCl. This is the first pressure meeting both 0.38620 kg/s permeate-water flow and 328.35 ppm permeate NaCl; actual water recovery is 39.5623%. At that recovery, 0.0021 mol/s still fails with Dolomite SI=+0.00775, 0.0022 mol/s gives all four SIs below zero and pH=6.3139, while 0.0023 mol/s fails at pH=6.2838. The acid-dose window is therefore unique.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2" t="str">
        <x:v>Step 1 | simulate_ro pressure screen</x:v>
      </x:c>
      <x:c r="B8" s="12" t="str">
        <x:v>Step 1 | simulate_ro pressure screen</x:v>
      </x:c>
      <x:c r="C8" s="12" t="str">
        <x:v>Step 1 | simulate_ro pressure screen</x:v>
      </x:c>
      <x:c r="D8" s="12" t="str">
        <x:v>Step 1 | simulate_ro pressure screen</x:v>
      </x:c>
      <x:c r="E8" s="12" t="str">
        <x:v>Step 1 | simulate_ro pressure screen</x:v>
      </x:c>
      <x:c r="F8" s="12" t="str">
        <x:v>Step 1 | simulate_ro pressure screen</x:v>
      </x:c>
      <x:c r="G8" s="12" t="str">
        <x:v>Step 1 | simulate_ro pressure screen</x:v>
      </x:c>
      <x:c r="H8" s="12" t="str">
        <x:v>Step 1 | simulate_ro pressure screen</x:v>
      </x:c>
      <x:c r="I8" s="2"/>
      <x:c r="J8" s="2"/>
      <x:c r="K8" s="2"/>
      <x:c r="L8" s="2"/>
      <x:c r="M8" s="2"/>
      <x:c r="N8" s="2"/>
    </x:row>
    <x:row r="9">
      <x:c r="A9" s="21" t="str">
        <x:v>Pressure bar</x:v>
      </x:c>
      <x:c r="B9" s="22" t="str">
        <x:v>Permeate total kg/s</x:v>
      </x:c>
      <x:c r="C9" s="22" t="str">
        <x:v>Permeate water kg/s</x:v>
      </x:c>
      <x:c r="D9" s="22" t="str">
        <x:v>NaCl ppm</x:v>
      </x:c>
      <x:c r="E9" s="22" t="str">
        <x:v>Water recovery %</x:v>
      </x:c>
      <x:c r="F9" s="22" t="str">
        <x:v>Water flux LMH</x:v>
      </x:c>
      <x:c r="G9" s="22" t="str">
        <x:v>Brine NaCl g/L</x:v>
      </x:c>
      <x:c r="H9" s="23" t="str">
        <x:v>Decision</x:v>
      </x:c>
      <x:c r="I9" s="2"/>
      <x:c r="J9" s="2" t="str">
        <x:v>Pressure bar</x:v>
      </x:c>
      <x:c r="K9" s="2" t="str">
        <x:v>Permeate water</x:v>
      </x:c>
      <x:c r="L9" s="2" t="str">
        <x:v>Target</x:v>
      </x:c>
      <x:c r="M9" s="2"/>
      <x:c r="N9" s="2"/>
    </x:row>
    <x:row r="10" ht="36" customHeight="1">
      <x:c r="A10" s="32" t="n">
        <x:v>55</x:v>
      </x:c>
      <x:c r="B10" s="54" t="n">
        <x:v>0.3200448726</x:v>
      </x:c>
      <x:c r="C10" s="54" t="n">
        <x:v>0.3199291718</x:v>
      </x:c>
      <x:c r="D10" s="54" t="n">
        <x:v>361.5142778</x:v>
      </x:c>
      <x:c r="E10" s="55" t="n">
        <x:v>32.77362834</x:v>
      </x:c>
      <x:c r="F10" s="54" t="n">
        <x:v>19.19575031</x:v>
      </x:c>
      <x:c r="G10" s="54" t="n">
        <x:v>48.31963238</x:v>
      </x:c>
      <x:c r="H10" s="34" t="str">
        <x:v>Fail: water flow</x:v>
      </x:c>
      <x:c r="I10" s="2"/>
      <x:c r="J10" s="2" t="n">
        <x:f>A10</x:f>
        <x:v>55</x:v>
      </x:c>
      <x:c r="K10" s="2" t="n">
        <x:f>C10</x:f>
        <x:v>0.3199291718</x:v>
      </x:c>
      <x:c r="L10" s="2" t="n">
        <x:f>0.38</x:f>
        <x:v>0.38</x:v>
      </x:c>
      <x:c r="M10" s="2"/>
      <x:c r="N10" s="2"/>
    </x:row>
    <x:row r="11" ht="36" customHeight="1">
      <x:c r="A11" s="35" t="n">
        <x:v>58</x:v>
      </x:c>
      <x:c r="B11" s="46" t="n">
        <x:v>0.3492312727</x:v>
      </x:c>
      <x:c r="C11" s="46" t="n">
        <x:v>0.349110891</x:v>
      </x:c>
      <x:c r="D11" s="46" t="n">
        <x:v>344.7049793</x:v>
      </x:c>
      <x:c r="E11" s="56" t="n">
        <x:v>35.76286657</x:v>
      </x:c>
      <x:c r="F11" s="46" t="n">
        <x:v>20.94665346</x:v>
      </x:c>
      <x:c r="G11" s="46" t="n">
        <x:v>50.55693251</x:v>
      </x:c>
      <x:c r="H11" s="37" t="str">
        <x:v>Fail: water flow</x:v>
      </x:c>
      <x:c r="I11" s="2"/>
      <x:c r="J11" s="2" t="n">
        <x:f>A11</x:f>
        <x:v>58</x:v>
      </x:c>
      <x:c r="K11" s="2" t="n">
        <x:f>C11</x:f>
        <x:v>0.349110891</x:v>
      </x:c>
      <x:c r="L11" s="2" t="n">
        <x:f>0.38</x:f>
        <x:v>0.38</x:v>
      </x:c>
      <x:c r="M11" s="2"/>
      <x:c r="N11" s="2"/>
    </x:row>
    <x:row r="12" ht="36" customHeight="1">
      <x:c r="A12" s="35" t="n">
        <x:v>60</x:v>
      </x:c>
      <x:c r="B12" s="46" t="n">
        <x:v>0.3680398261</x:v>
      </x:c>
      <x:c r="C12" s="46" t="n">
        <x:v>0.3679162422</x:v>
      </x:c>
      <x:c r="D12" s="46" t="n">
        <x:v>335.7893172</x:v>
      </x:c>
      <x:c r="E12" s="56" t="n">
        <x:v>37.689203</x:v>
      </x:c>
      <x:c r="F12" s="46" t="n">
        <x:v>22.07497453</x:v>
      </x:c>
      <x:c r="G12" s="46" t="n">
        <x:v>52.11179516</x:v>
      </x:c>
      <x:c r="H12" s="37" t="str">
        <x:v>Fail: water flow</x:v>
      </x:c>
      <x:c r="I12" s="2"/>
      <x:c r="J12" s="2" t="n">
        <x:f>A12</x:f>
        <x:v>60</x:v>
      </x:c>
      <x:c r="K12" s="2" t="n">
        <x:f>C12</x:f>
        <x:v>0.3679162422</x:v>
      </x:c>
      <x:c r="L12" s="2" t="n">
        <x:f>0.38</x:f>
        <x:v>0.38</x:v>
      </x:c>
      <x:c r="M12" s="2"/>
      <x:c r="N12" s="2"/>
    </x:row>
    <x:row r="13" ht="36" customHeight="1">
      <x:c r="A13" s="58" t="n">
        <x:v>62</x:v>
      </x:c>
      <x:c r="B13" s="59" t="n">
        <x:v>0.3863290181</x:v>
      </x:c>
      <x:c r="C13" s="59" t="n">
        <x:v>0.3862021683</x:v>
      </x:c>
      <x:c r="D13" s="59" t="n">
        <x:v>328.346651</x:v>
      </x:c>
      <x:c r="E13" s="60" t="n">
        <x:v>39.56233558</x:v>
      </x:c>
      <x:c r="F13" s="59" t="n">
        <x:v>23.1721301</x:v>
      </x:c>
      <x:c r="G13" s="59" t="n">
        <x:v>53.71819875</x:v>
      </x:c>
      <x:c r="H13" s="61" t="str">
        <x:v>First dual pass / recommend</x:v>
      </x:c>
      <x:c r="I13" s="2"/>
      <x:c r="J13" s="2" t="n">
        <x:f>A13</x:f>
        <x:v>62</x:v>
      </x:c>
      <x:c r="K13" s="2" t="n">
        <x:f>C13</x:f>
        <x:v>0.3862021683</x:v>
      </x:c>
      <x:c r="L13" s="2" t="n">
        <x:f>0.38</x:f>
        <x:v>0.38</x:v>
      </x:c>
      <x:c r="M13" s="2"/>
      <x:c r="N13" s="2"/>
    </x:row>
    <x:row r="14" ht="36" customHeight="1">
      <x:c r="A14" s="38" t="n">
        <x:v>65</x:v>
      </x:c>
      <x:c r="B14" s="47" t="n">
        <x:v>0.4127945411</x:v>
      </x:c>
      <x:c r="C14" s="47" t="n">
        <x:v>0.4126626757</x:v>
      </x:c>
      <x:c r="D14" s="47" t="n">
        <x:v>319.445573</x:v>
      </x:c>
      <x:c r="E14" s="57" t="n">
        <x:v>42.27284469</x:v>
      </x:c>
      <x:c r="F14" s="47" t="n">
        <x:v>24.75976054</x:v>
      </x:c>
      <x:c r="G14" s="47" t="n">
        <x:v>56.22615283</x:v>
      </x:c>
      <x:c r="H14" s="40" t="str">
        <x:v>Pass but not minimum</x:v>
      </x:c>
      <x:c r="I14" s="2"/>
      <x:c r="J14" s="2" t="n">
        <x:f>A14</x:f>
        <x:v>65</x:v>
      </x:c>
      <x:c r="K14" s="2" t="n">
        <x:f>C14</x:f>
        <x:v>0.4126626757</x:v>
      </x:c>
      <x:c r="L14" s="2" t="n">
        <x:f>0.38</x:f>
        <x:v>0.38</x:v>
      </x:c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2" t="str">
        <x:v>Step 2 | Pass 39.5623% recovery into equilibrate_feed</x:v>
      </x:c>
      <x:c r="B17" s="12" t="str">
        <x:v>Step 2 | Pass 39.5623% recovery into equilibrate_feed</x:v>
      </x:c>
      <x:c r="C17" s="12" t="str">
        <x:v>Step 2 | Pass 39.5623% recovery into equilibrate_feed</x:v>
      </x:c>
      <x:c r="D17" s="12" t="str">
        <x:v>Step 2 | Pass 39.5623% recovery into equilibrate_feed</x:v>
      </x:c>
      <x:c r="E17" s="12" t="str">
        <x:v>Step 2 | Pass 39.5623% recovery into equilibrate_feed</x:v>
      </x:c>
      <x:c r="F17" s="12" t="str">
        <x:v>Step 2 | Pass 39.5623% recovery into equilibrate_feed</x:v>
      </x:c>
      <x:c r="G17" s="12" t="str">
        <x:v>Step 2 | Pass 39.5623% recovery into equilibrate_feed</x:v>
      </x:c>
      <x:c r="H17" s="12" t="str">
        <x:v>Step 2 | Pass 39.5623% recovery into equilibrate_feed</x:v>
      </x:c>
      <x:c r="I17" s="12" t="str">
        <x:v>Step 2 | Pass 39.5623% recovery into equilibrate_feed</x:v>
      </x:c>
      <x:c r="J17" s="2"/>
      <x:c r="K17" s="2"/>
      <x:c r="L17" s="2"/>
      <x:c r="M17" s="2"/>
      <x:c r="N17" s="2"/>
    </x:row>
    <x:row r="18">
      <x:c r="A18" s="21" t="str">
        <x:v>HCl mol/s</x:v>
      </x:c>
      <x:c r="B18" s="22" t="str">
        <x:v>Calcite SI</x:v>
      </x:c>
      <x:c r="C18" s="22" t="str">
        <x:v>Dolomite SI</x:v>
      </x:c>
      <x:c r="D18" s="22" t="str">
        <x:v>Gypsum SI</x:v>
      </x:c>
      <x:c r="E18" s="22" t="str">
        <x:v>Anhydrite SI</x:v>
      </x:c>
      <x:c r="F18" s="22" t="str">
        <x:v>Equilibrium pH</x:v>
      </x:c>
      <x:c r="G18" s="22" t="str">
        <x:v>Osmotic bar</x:v>
      </x:c>
      <x:c r="H18" s="22" t="str">
        <x:v>Pass?</x:v>
      </x:c>
      <x:c r="I18" s="23" t="str">
        <x:v>Decision</x:v>
      </x:c>
      <x:c r="J18" s="2"/>
      <x:c r="K18" s="2"/>
      <x:c r="L18" s="2"/>
      <x:c r="M18" s="2"/>
      <x:c r="N18" s="2"/>
    </x:row>
    <x:row r="19" ht="36" customHeight="1">
      <x:c r="A19" s="62" t="n">
        <x:v>0</x:v>
      </x:c>
      <x:c r="B19" s="54" t="n">
        <x:v>0.9983140313</x:v>
      </x:c>
      <x:c r="C19" s="54" t="n">
        <x:v>2.686508967</x:v>
      </x:c>
      <x:c r="D19" s="54" t="n">
        <x:v>-0.1093341788</x:v>
      </x:c>
      <x:c r="E19" s="54" t="n">
        <x:v>-0.4719818152</x:v>
      </x:c>
      <x:c r="F19" s="54" t="n">
        <x:v>7.511854799</x:v>
      </x:c>
      <x:c r="G19" s="54" t="n">
        <x:v>37.13324005</x:v>
      </x:c>
      <x:c r="H19" s="33" t="str">
        <x:v>No</x:v>
      </x:c>
      <x:c r="I19" s="34" t="str">
        <x:v>No acid: carbonate scaling</x:v>
      </x:c>
      <x:c r="J19" s="2"/>
      <x:c r="K19" s="2"/>
      <x:c r="L19" s="2"/>
      <x:c r="M19" s="2"/>
      <x:c r="N19" s="2"/>
    </x:row>
    <x:row r="20" ht="36" customHeight="1">
      <x:c r="A20" s="63" t="n">
        <x:v>0.002</x:v>
      </x:c>
      <x:c r="B20" s="46" t="n">
        <x:v>-0.3000500995</x:v>
      </x:c>
      <x:c r="C20" s="46" t="n">
        <x:v>0.0924450237</x:v>
      </x:c>
      <x:c r="D20" s="46" t="n">
        <x:v>-0.1094485972</x:v>
      </x:c>
      <x:c r="E20" s="46" t="n">
        <x:v>-0.4720282766</x:v>
      </x:c>
      <x:c r="F20" s="46" t="n">
        <x:v>6.375787184</x:v>
      </x:c>
      <x:c r="G20" s="46" t="n">
        <x:v>37.23957299</x:v>
      </x:c>
      <x:c r="H20" s="36" t="str">
        <x:v>No</x:v>
      </x:c>
      <x:c r="I20" s="37" t="str">
        <x:v>Dolomite still supersaturated</x:v>
      </x:c>
      <x:c r="J20" s="2"/>
      <x:c r="K20" s="2"/>
      <x:c r="L20" s="2"/>
      <x:c r="M20" s="2"/>
      <x:c r="N20" s="2"/>
    </x:row>
    <x:row r="21" ht="36" customHeight="1">
      <x:c r="A21" s="63" t="n">
        <x:v>0.0021</x:v>
      </x:c>
      <x:c r="B21" s="46" t="n">
        <x:v>-0.3424577317</x:v>
      </x:c>
      <x:c r="C21" s="46" t="n">
        <x:v>0.0077520201</x:v>
      </x:c>
      <x:c r="D21" s="46" t="n">
        <x:v>-0.1094613002</x:v>
      </x:c>
      <x:c r="E21" s="46" t="n">
        <x:v>-0.4720376469</x:v>
      </x:c>
      <x:c r="F21" s="46" t="n">
        <x:v>6.344573364</x:v>
      </x:c>
      <x:c r="G21" s="46" t="n">
        <x:v>37.24478777</x:v>
      </x:c>
      <x:c r="H21" s="36" t="str">
        <x:v>No</x:v>
      </x:c>
      <x:c r="I21" s="37" t="str">
        <x:v>Dolomite SI just above zero</x:v>
      </x:c>
      <x:c r="J21" s="2"/>
      <x:c r="K21" s="2"/>
      <x:c r="L21" s="2"/>
      <x:c r="M21" s="2"/>
      <x:c r="N21" s="2"/>
    </x:row>
    <x:row r="22" ht="36" customHeight="1">
      <x:c r="A22" s="65" t="n">
        <x:v>0.0022</x:v>
      </x:c>
      <x:c r="B22" s="59" t="n">
        <x:v>-0.3846068551</x:v>
      </x:c>
      <x:c r="C22" s="59" t="n">
        <x:v>-0.0764240846</x:v>
      </x:c>
      <x:c r="D22" s="59" t="n">
        <x:v>-0.1094740837</x:v>
      </x:c>
      <x:c r="E22" s="59" t="n">
        <x:v>-0.4720470984</x:v>
      </x:c>
      <x:c r="F22" s="59" t="n">
        <x:v>6.313926355</x:v>
      </x:c>
      <x:c r="G22" s="59" t="n">
        <x:v>37.25000139</x:v>
      </x:c>
      <x:c r="H22" s="66" t="str">
        <x:v>Yes</x:v>
      </x:c>
      <x:c r="I22" s="61" t="str">
        <x:v>Unique passing point / recommend</x:v>
      </x:c>
      <x:c r="J22" s="2"/>
      <x:c r="K22" s="2"/>
      <x:c r="L22" s="2"/>
      <x:c r="M22" s="2"/>
      <x:c r="N22" s="2"/>
    </x:row>
    <x:row r="23" ht="36" customHeight="1">
      <x:c r="A23" s="64" t="n">
        <x:v>0.0023</x:v>
      </x:c>
      <x:c r="B23" s="47" t="n">
        <x:v>-0.4266004263</x:v>
      </x:c>
      <x:c r="C23" s="47" t="n">
        <x:v>-0.1602891891</x:v>
      </x:c>
      <x:c r="D23" s="47" t="n">
        <x:v>-0.109486939</x:v>
      </x:c>
      <x:c r="E23" s="47" t="n">
        <x:v>-0.4720566223</x:v>
      </x:c>
      <x:c r="F23" s="47" t="n">
        <x:v>6.283758535</x:v>
      </x:c>
      <x:c r="G23" s="47" t="n">
        <x:v>37.255214</x:v>
      </x:c>
      <x:c r="H23" s="39" t="str">
        <x:v>No</x:v>
      </x:c>
      <x:c r="I23" s="40" t="str">
        <x:v>pH below 6.30</x:v>
      </x:c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12" t="str">
        <x:v>Step 3 | Engineering conversion and boundary proof</x:v>
      </x:c>
      <x:c r="B26" s="12" t="str">
        <x:v>Step 3 | Engineering conversion and boundary proof</x:v>
      </x:c>
      <x:c r="C26" s="12" t="str">
        <x:v>Step 3 | Engineering conversion and boundary proof</x:v>
      </x:c>
      <x:c r="D26" s="12" t="str">
        <x:v>Step 3 | Engineering conversion and boundary proof</x:v>
      </x:c>
      <x:c r="E26" s="12" t="str">
        <x:v>Step 3 | Engineering conversion and boundary proof</x:v>
      </x:c>
      <x:c r="F26" s="12" t="str">
        <x:v>Step 3 | Engineering conversion and boundary proof</x:v>
      </x:c>
      <x:c r="G26" s="2"/>
      <x:c r="H26" s="2"/>
      <x:c r="I26" s="2"/>
      <x:c r="J26" s="2"/>
      <x:c r="K26" s="2"/>
      <x:c r="L26" s="2"/>
      <x:c r="M26" s="2"/>
      <x:c r="N26" s="2"/>
    </x:row>
    <x:row r="27">
      <x:c r="A27" s="21" t="str">
        <x:v>Metric</x:v>
      </x:c>
      <x:c r="B27" s="22" t="str">
        <x:v>Formula / source</x:v>
      </x:c>
      <x:c r="C27" s="23" t="str">
        <x:v>Result</x:v>
      </x:c>
      <x:c r="D27" s="2"/>
      <x:c r="E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27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28">
      <x:c r="A28" s="32" t="str">
        <x:v>Aged-membrane A</x:v>
      </x:c>
      <x:c r="B28" s="33" t="str">
        <x:v>4.2E-12×(1−20%)</x:v>
      </x:c>
      <x:c r="C28" s="67" t="n">
        <x:f>4.2E-12*(1-20%)</x:f>
        <x:v>3.3600000000000002e-12</x:v>
      </x:c>
      <x:c r="D28" s="2"/>
      <x:c r="E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28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29">
      <x:c r="A29" s="35" t="str">
        <x:v>Selected water recovery</x:v>
      </x:c>
      <x:c r="B29" s="36" t="str">
        <x:v>simulate_ro @ 62 bar</x:v>
      </x:c>
      <x:c r="C29" s="68" t="n">
        <x:f>E13/100</x:f>
        <x:v>0.3956233558</x:v>
      </x:c>
      <x:c r="D29" s="2"/>
      <x:c r="E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29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30">
      <x:c r="A30" s="35" t="str">
        <x:v>Concentration factor</x:v>
      </x:c>
      <x:c r="B30" s="36" t="str">
        <x:v>1/(1−recovery)</x:v>
      </x:c>
      <x:c r="C30" s="69" t="n">
        <x:f>1/(1-C29)</x:f>
        <x:v>1.6545973601009645</x:v>
      </x:c>
      <x:c r="D30" s="2"/>
      <x:c r="E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30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31">
      <x:c r="A31" s="35" t="str">
        <x:v>Permeate production</x:v>
      </x:c>
      <x:c r="B31" s="36" t="str">
        <x:v>water flow×86400/1000</x:v>
      </x:c>
      <x:c r="C31" s="69" t="n">
        <x:f>C13*86400/1000</x:f>
        <x:v>33.36786734112</x:v>
      </x:c>
      <x:c r="D31" s="2"/>
      <x:c r="E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31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32">
      <x:c r="A32" s="35" t="str">
        <x:v>Pure HCl</x:v>
      </x:c>
      <x:c r="B32" s="36" t="str">
        <x:v>dose×36.46×3600</x:v>
      </x:c>
      <x:c r="C32" s="69" t="n">
        <x:f>A22*36.46*3600</x:f>
        <x:v>288.76320000000004</x:v>
      </x:c>
      <x:c r="D32" s="2"/>
      <x:c r="E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32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33">
      <x:c r="A33" s="38" t="str">
        <x:v>31 wt% HCl solution</x:v>
      </x:c>
      <x:c r="B33" s="39" t="str">
        <x:v>pure acid kg/h÷0.31÷1.15</x:v>
      </x:c>
      <x:c r="C33" s="70" t="n">
        <x:f>C32/1000/0.31/1.15</x:f>
        <x:v>0.8099949509116412</x:v>
      </x:c>
      <x:c r="D33" s="2"/>
      <x:c r="E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F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G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H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I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J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K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L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M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  <x:c r="N33" s="53" t="str">
        <x:v>Key simulation results and final conclusion
• 60 bar: 0.36792 kg/s permeate water; NaCl=335.79 ppm passes, but production fails.
• 62 bar: 0.38620 kg/s and 328.35 ppm, the first dual pass; 65 bar adds 3 bar unnecessarily.
• 0.0021 mol/s: Dolomite SI=+0.00775, insufficient acid.
• 0.0022 mol/s: Calcite −0.38461, Dolomite −0.07642, Gypsum −0.10947, Anhydrite −0.47205, pH=6.31393; all pass.
• 0.0023 mol/s: pH=6.28376, acid overdose.
• Final: 62 bar + 0.0022 mol/s HCl; about 288.76 g/h pure HCl or 0.8100 L/h of 31 wt% acid.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12" t="str">
        <x:v>Model boundaries</x:v>
      </x:c>
      <x:c r="B36" s="12" t="str">
        <x:v>Model boundaries</x:v>
      </x:c>
      <x:c r="C36" s="12" t="str">
        <x:v>Model boundaries</x:v>
      </x:c>
      <x:c r="D36" s="12" t="str">
        <x:v>Model boundaries</x:v>
      </x:c>
      <x:c r="E36" s="12" t="str">
        <x:v>Model boundaries</x:v>
      </x:c>
      <x:c r="F36" s="12" t="str">
        <x:v>Model boundaries</x:v>
      </x:c>
      <x:c r="G36" s="12" t="str">
        <x:v>Model boundaries</x:v>
      </x:c>
      <x:c r="H36" s="12" t="str">
        <x:v>Model boundaries</x:v>
      </x:c>
      <x:c r="I36" s="12" t="str">
        <x:v>Model boundaries</x:v>
      </x:c>
      <x:c r="J36" s="12" t="str">
        <x:v>Model boundaries</x:v>
      </x:c>
      <x:c r="K36" s="12" t="str">
        <x:v>Model boundaries</x:v>
      </x:c>
      <x:c r="L36" s="12" t="str">
        <x:v>Model boundaries</x:v>
      </x:c>
      <x:c r="M36" s="12" t="str">
        <x:v>Model boundaries</x:v>
      </x:c>
      <x:c r="N36" s="12" t="str">
        <x:v>Model boundaries</x:v>
      </x:c>
    </x:row>
    <x:row r="37" ht="29" customHeight="1">
      <x:c r="A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B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C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D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E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F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G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H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I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J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K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L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M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N37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</x:row>
    <x:row r="38" ht="29" customHeight="1">
      <x:c r="A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B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C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D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E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F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G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H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I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J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K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L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M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N38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</x:row>
    <x:row r="39" ht="29" customHeight="1">
      <x:c r="A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B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C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D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E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F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G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H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I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J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K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L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M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N39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</x:row>
    <x:row r="40" ht="29" customHeight="1">
      <x:c r="A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B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C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D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E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F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G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H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I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J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K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L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M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  <x:c r="N40" s="9" t="str">
        <x:v>simulate_ro represents salinity as NaCl equivalent, whereas equilibrate_feed uses the specified ions with a Pitzer activity model. The coupling variable is actual water recovery; the osmotic pressures need not match exactly. Equilibrium SI excludes nucleation/kinetics, antiscalant performance, fouling, acid mixing, degassing, corrosion, and control error. The 31 wt% acid conversion is an engineering estimate.</x:v>
      </x:c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N2"/>
    <x:mergeCell ref="A4:N6"/>
    <x:mergeCell ref="A8:H8"/>
    <x:mergeCell ref="A17:I17"/>
    <x:mergeCell ref="A26:F26"/>
    <x:mergeCell ref="E27:N33"/>
    <x:mergeCell ref="A36:N36"/>
    <x:mergeCell ref="A37:N40"/>
  </x:mergeCells>
  <x:pageMargins left="0.7" right="0.7" top="0.75" bottom="0.75" header="0.3" footer="0.3"/>
  <x:drawing xmlns:r="http://schemas.openxmlformats.org/officeDocument/2006/relationships" r:id="R9cdd5559a8164a4d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5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Multi-model Benchmark | Trajectory Rubric (100 points)</x:v>
      </x:c>
      <x:c r="B1" s="6" t="str">
        <x:v>Multi-model Benchmark | Trajectory Rubric (100 points)</x:v>
      </x:c>
      <x:c r="C1" s="6" t="str">
        <x:v>Multi-model Benchmark | Trajectory Rubric (100 points)</x:v>
      </x:c>
      <x:c r="D1" s="6" t="str">
        <x:v>Multi-model Benchmark | Trajectory Rubric (100 points)</x:v>
      </x:c>
      <x:c r="E1" s="6" t="str">
        <x:v>Multi-model Benchmark | Trajectory Rubric (100 points)</x:v>
      </x:c>
      <x:c r="F1" s="6" t="str">
        <x:v>Multi-model Benchmark | Trajectory Rubric (100 points)</x:v>
      </x:c>
      <x:c r="G1" s="6" t="str">
        <x:v>Multi-model Benchmark | Trajectory Rubric (100 points)</x:v>
      </x:c>
      <x:c r="H1" s="2"/>
      <x:c r="I1" s="2"/>
      <x:c r="J1" s="2"/>
      <x:c r="K1" s="2"/>
      <x:c r="L1" s="2"/>
      <x:c r="M1" s="2"/>
      <x:c r="N1" s="2"/>
    </x:row>
    <x:row r="2" ht="30" customHeight="1">
      <x:c r="A2" s="6" t="str">
        <x:v>Multi-model Benchmark | Trajectory Rubric (100 points)</x:v>
      </x:c>
      <x:c r="B2" s="6" t="str">
        <x:v>Multi-model Benchmark | Trajectory Rubric (100 points)</x:v>
      </x:c>
      <x:c r="C2" s="6" t="str">
        <x:v>Multi-model Benchmark | Trajectory Rubric (100 points)</x:v>
      </x:c>
      <x:c r="D2" s="6" t="str">
        <x:v>Multi-model Benchmark | Trajectory Rubric (100 points)</x:v>
      </x:c>
      <x:c r="E2" s="6" t="str">
        <x:v>Multi-model Benchmark | Trajectory Rubric (100 points)</x:v>
      </x:c>
      <x:c r="F2" s="6" t="str">
        <x:v>Multi-model Benchmark | Trajectory Rubric (100 points)</x:v>
      </x:c>
      <x:c r="G2" s="6" t="str">
        <x:v>Multi-model Benchmark | 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B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C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D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E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F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G4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B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C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D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E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F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G5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B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C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D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E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F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G6" s="9" t="str">
        <x:v>Evaluate the complete state→plan→tool call→observation→state update→branch pruning→stop trajectory. The essential requirement is to pass actual recovery from simulate_ro into equilibrate_feed and lock the coupled setpoint with adjacent fail/pass evidence.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1" t="str">
        <x:v>Dimension</x:v>
      </x:c>
      <x:c r="B8" s="22" t="str">
        <x:v>Focus</x:v>
      </x:c>
      <x:c r="C8" s="22" t="str">
        <x:v>Full-credit evidence</x:v>
      </x:c>
      <x:c r="D8" s="22" t="str">
        <x:v>Partial credit</x:v>
      </x:c>
      <x:c r="E8" s="22" t="str">
        <x:v>Critical failure</x:v>
      </x:c>
      <x:c r="F8" s="22" t="str">
        <x:v>Weight</x:v>
      </x:c>
      <x:c r="G8" s="23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32" t="str">
        <x:v>TQ1 Problem representation</x:v>
      </x:c>
      <x:c r="B9" s="33" t="str">
        <x:v>Recognize two-stage decision and hard constraints</x:v>
      </x:c>
      <x:c r="C9" s="33" t="str">
        <x:v>Separate RO flow/salinity criteria from concentrate SI/pH criteria; pressure before chemistry</x:v>
      </x:c>
      <x:c r="D9" s="33" t="str">
        <x:v>Main constraints correct but one omitted</x:v>
      </x:c>
      <x:c r="E9" s="33" t="str">
        <x:v>Treat recovery as imposed or solve only one model</x:v>
      </x:c>
      <x:c r="F9" s="33" t="n">
        <x:v>15</x:v>
      </x:c>
      <x:c r="G9" s="34"/>
      <x:c r="H9" s="2"/>
      <x:c r="I9" s="2"/>
      <x:c r="J9" s="2"/>
      <x:c r="K9" s="2"/>
      <x:c r="L9" s="2"/>
      <x:c r="M9" s="2"/>
      <x:c r="N9" s="2"/>
    </x:row>
    <x:row r="10" ht="80" customHeight="1">
      <x:c r="A10" s="35" t="str">
        <x:v>TQ2 RO tool correctness</x:v>
      </x:c>
      <x:c r="B10" s="36" t="str">
        <x:v>simulate_ro inputs, units, and aging</x:v>
      </x:c>
      <x:c r="C10" s="36" t="str">
        <x:v>A=3.36E−12; all non-pressure inputs fixed across five calls</x:v>
      </x:c>
      <x:c r="D10" s="36" t="str">
        <x:v>Minor non-controlling deviation</x:v>
      </x:c>
      <x:c r="E10" s="36" t="str">
        <x:v>Confuse mass fraction, bar, membrane A/B, or water flow</x:v>
      </x:c>
      <x:c r="F10" s="36" t="n">
        <x:v>15</x:v>
      </x:c>
      <x:c r="G10" s="37"/>
      <x:c r="H10" s="2"/>
      <x:c r="I10" s="2"/>
      <x:c r="J10" s="2"/>
      <x:c r="K10" s="2"/>
      <x:c r="L10" s="2"/>
      <x:c r="M10" s="2"/>
      <x:c r="N10" s="2"/>
    </x:row>
    <x:row r="11" ht="80" customHeight="1">
      <x:c r="A11" s="35" t="str">
        <x:v>TQ3 Pressure boundary</x:v>
      </x:c>
      <x:c r="B11" s="36" t="str">
        <x:v>Lowest dual-passing pressure</x:v>
      </x:c>
      <x:c r="C11" s="36" t="str">
        <x:v>60 bar fails flow; 62 bar first dual pass; prune 65 bar by minimum-pressure rule</x:v>
      </x:c>
      <x:c r="D11" s="36" t="str">
        <x:v>62 bar only, no adjacent-failure proof</x:v>
      </x:c>
      <x:c r="E11" s="36" t="str">
        <x:v>Select 58/60 bar from salinity alone</x:v>
      </x:c>
      <x:c r="F11" s="36" t="n">
        <x:v>15</x:v>
      </x:c>
      <x:c r="G11" s="37"/>
      <x:c r="H11" s="2"/>
      <x:c r="I11" s="2"/>
      <x:c r="J11" s="2"/>
      <x:c r="K11" s="2"/>
      <x:c r="L11" s="2"/>
      <x:c r="M11" s="2"/>
      <x:c r="N11" s="2"/>
    </x:row>
    <x:row r="12" ht="80" customHeight="1">
      <x:c r="A12" s="35" t="str">
        <x:v>TQ4 Cross-model coupling</x:v>
      </x:c>
      <x:c r="B12" s="36" t="str">
        <x:v>Pass actual recovery</x:v>
      </x:c>
      <x:c r="C12" s="36" t="str">
        <x:v>Pass 39.56233558% from 62 bar directly into equilibrate_feed</x:v>
      </x:c>
      <x:c r="D12" s="36" t="str">
        <x:v>Minor rounding only</x:v>
      </x:c>
      <x:c r="E12" s="36" t="str">
        <x:v>Use target, nominal, or 65-bar recovery</x:v>
      </x:c>
      <x:c r="F12" s="36" t="n">
        <x:v>20</x:v>
      </x:c>
      <x:c r="G12" s="37"/>
      <x:c r="H12" s="2"/>
      <x:c r="I12" s="2"/>
      <x:c r="J12" s="2"/>
      <x:c r="K12" s="2"/>
      <x:c r="L12" s="2"/>
      <x:c r="M12" s="2"/>
      <x:c r="N12" s="2"/>
    </x:row>
    <x:row r="13" ht="80" customHeight="1">
      <x:c r="A13" s="35" t="str">
        <x:v>TQ5 Chemistry window</x:v>
      </x:c>
      <x:c r="B13" s="36" t="str">
        <x:v>Joint SI and pH boundary</x:v>
      </x:c>
      <x:c r="C13" s="36" t="str">
        <x:v>0.0021 fails Dolomite; 0.0022 all pass; 0.0023 fails pH</x:v>
      </x:c>
      <x:c r="D13" s="36" t="str">
        <x:v>Right dose but one boundary missing</x:v>
      </x:c>
      <x:c r="E13" s="36" t="str">
        <x:v>Check Calcite only; ignore Dolomite or pH</x:v>
      </x:c>
      <x:c r="F13" s="36" t="n">
        <x:v>20</x:v>
      </x:c>
      <x:c r="G13" s="37"/>
      <x:c r="H13" s="2"/>
      <x:c r="I13" s="2"/>
      <x:c r="J13" s="2"/>
      <x:c r="K13" s="2"/>
      <x:c r="L13" s="2"/>
      <x:c r="M13" s="2"/>
      <x:c r="N13" s="2"/>
    </x:row>
    <x:row r="14" ht="80" customHeight="1">
      <x:c r="A14" s="38" t="str">
        <x:v>TQ6 Decision and scope</x:v>
      </x:c>
      <x:c r="B14" s="39" t="str">
        <x:v>Executable setpoint, conversions, limitations</x:v>
      </x:c>
      <x:c r="C14" s="39" t="str">
        <x:v>62 bar + 0.0022 mol/s; 288.76 g/h; 0.8100 L/h; state model differences and omissions</x:v>
      </x:c>
      <x:c r="D14" s="39" t="str">
        <x:v>Right conclusion but incomplete conversion/scope</x:v>
      </x:c>
      <x:c r="E14" s="39" t="str">
        <x:v>Recommend a failing point or equate SI with operating guarantee</x:v>
      </x:c>
      <x:c r="F14" s="39" t="n">
        <x:v>15</x:v>
      </x:c>
      <x:c r="G14" s="40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2" t="str">
        <x:v>Gold-answer anchors</x:v>
      </x:c>
      <x:c r="B17" s="12" t="str">
        <x:v>Gold-answer anchors</x:v>
      </x:c>
      <x:c r="C17" s="12" t="str">
        <x:v>Gold-answer anchors</x:v>
      </x:c>
      <x:c r="D17" s="12" t="str">
        <x:v>Gold-answer anchors</x:v>
      </x:c>
      <x:c r="E17" s="12" t="str">
        <x:v>Gold-answer anchors</x:v>
      </x:c>
      <x:c r="F17" s="12" t="str">
        <x:v>Gold-answer anchors</x:v>
      </x:c>
      <x:c r="G17" s="12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38" customHeight="1">
      <x:c r="A18" s="32" t="str">
        <x:v>Minimum pressure</x:v>
      </x:c>
      <x:c r="B18" s="33" t="str">
        <x:v>62 bar</x:v>
      </x:c>
      <x:c r="C18" s="33"/>
      <x:c r="D18" s="33"/>
      <x:c r="E18" s="33"/>
      <x:c r="F18" s="33"/>
      <x:c r="G18" s="34"/>
      <x:c r="H18" s="2"/>
      <x:c r="I18" s="2"/>
      <x:c r="J18" s="2"/>
      <x:c r="K18" s="2"/>
      <x:c r="L18" s="2"/>
      <x:c r="M18" s="2"/>
      <x:c r="N18" s="2"/>
    </x:row>
    <x:row r="19" ht="38" customHeight="1">
      <x:c r="A19" s="35" t="str">
        <x:v>Actual recovery</x:v>
      </x:c>
      <x:c r="B19" s="36" t="str">
        <x:v>39.56233558%</x:v>
      </x:c>
      <x:c r="C19" s="36"/>
      <x:c r="D19" s="36"/>
      <x:c r="E19" s="36"/>
      <x:c r="F19" s="36"/>
      <x:c r="G19" s="37"/>
      <x:c r="H19" s="2"/>
      <x:c r="I19" s="2"/>
      <x:c r="J19" s="2"/>
      <x:c r="K19" s="2"/>
      <x:c r="L19" s="2"/>
      <x:c r="M19" s="2"/>
      <x:c r="N19" s="2"/>
    </x:row>
    <x:row r="20" ht="38" customHeight="1">
      <x:c r="A20" s="35" t="str">
        <x:v>Unique acid dose</x:v>
      </x:c>
      <x:c r="B20" s="36" t="str">
        <x:v>0.0022 mol/s</x:v>
      </x:c>
      <x:c r="C20" s="36"/>
      <x:c r="D20" s="36"/>
      <x:c r="E20" s="36"/>
      <x:c r="F20" s="36"/>
      <x:c r="G20" s="37"/>
      <x:c r="H20" s="2"/>
      <x:c r="I20" s="2"/>
      <x:c r="J20" s="2"/>
      <x:c r="K20" s="2"/>
      <x:c r="L20" s="2"/>
      <x:c r="M20" s="2"/>
      <x:c r="N20" s="2"/>
    </x:row>
    <x:row r="21" ht="38" customHeight="1">
      <x:c r="A21" s="35" t="str">
        <x:v>Passing pH</x:v>
      </x:c>
      <x:c r="B21" s="36" t="str">
        <x:v>6.313926</x:v>
      </x:c>
      <x:c r="C21" s="36"/>
      <x:c r="D21" s="36"/>
      <x:c r="E21" s="36"/>
      <x:c r="F21" s="36"/>
      <x:c r="G21" s="37"/>
      <x:c r="H21" s="2"/>
      <x:c r="I21" s="2"/>
      <x:c r="J21" s="2"/>
      <x:c r="K21" s="2"/>
      <x:c r="L21" s="2"/>
      <x:c r="M21" s="2"/>
      <x:c r="N21" s="2"/>
    </x:row>
    <x:row r="22" ht="38" customHeight="1">
      <x:c r="A22" s="38" t="str">
        <x:v>Adjacent failures</x:v>
      </x:c>
      <x:c r="B22" s="39" t="str">
        <x:v>60 bar; 0.0021 and 0.0023 mol/s</x:v>
      </x:c>
      <x:c r="C22" s="39"/>
      <x:c r="D22" s="39"/>
      <x:c r="E22" s="39"/>
      <x:c r="F22" s="39"/>
      <x:c r="G22" s="40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  <x:mergeCell ref="B22:G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0" hidden="0" customWidth="1"/>
    <x:col min="7" max="7" width="12" hidden="0" customWidth="1"/>
  </x:cols>
  <x:sheetData>
    <x:row r="1" ht="30" customHeight="1">
      <x:c r="A1" s="6" t="str">
        <x:v>Multi-model Benchmark | Tool Efficiency (100 points)</x:v>
      </x:c>
      <x:c r="B1" s="6" t="str">
        <x:v>Multi-model Benchmark | Tool Efficiency (100 points)</x:v>
      </x:c>
      <x:c r="C1" s="6" t="str">
        <x:v>Multi-model Benchmark | Tool Efficiency (100 points)</x:v>
      </x:c>
      <x:c r="D1" s="6" t="str">
        <x:v>Multi-model Benchmark | Tool Efficiency (100 points)</x:v>
      </x:c>
      <x:c r="E1" s="6" t="str">
        <x:v>Multi-model Benchmark | Tool Efficiency (100 points)</x:v>
      </x:c>
      <x:c r="F1" s="6" t="str">
        <x:v>Multi-model Benchmark | Tool Efficiency (100 points)</x:v>
      </x:c>
      <x:c r="G1" s="6" t="str">
        <x:v>Multi-model Benchmark | Tool Efficiency (100 points)</x:v>
      </x:c>
      <x:c r="H1" s="2"/>
      <x:c r="I1" s="2"/>
      <x:c r="J1" s="2"/>
      <x:c r="K1" s="2"/>
      <x:c r="L1" s="2"/>
      <x:c r="M1" s="2"/>
      <x:c r="N1" s="2"/>
    </x:row>
    <x:row r="2" ht="30" customHeight="1">
      <x:c r="A2" s="6" t="str">
        <x:v>Multi-model Benchmark | Tool Efficiency (100 points)</x:v>
      </x:c>
      <x:c r="B2" s="6" t="str">
        <x:v>Multi-model Benchmark | Tool Efficiency (100 points)</x:v>
      </x:c>
      <x:c r="C2" s="6" t="str">
        <x:v>Multi-model Benchmark | Tool Efficiency (100 points)</x:v>
      </x:c>
      <x:c r="D2" s="6" t="str">
        <x:v>Multi-model Benchmark | Tool Efficiency (100 points)</x:v>
      </x:c>
      <x:c r="E2" s="6" t="str">
        <x:v>Multi-model Benchmark | Tool Efficiency (100 points)</x:v>
      </x:c>
      <x:c r="F2" s="6" t="str">
        <x:v>Multi-model Benchmark | Tool Efficiency (100 points)</x:v>
      </x:c>
      <x:c r="G2" s="6" t="str">
        <x:v>Multi-model Benchmark | 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B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C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D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E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F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G4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B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C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D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E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F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G5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B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C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D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E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F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G6" s="9" t="str">
        <x:v>The reference trajectory uses 10 scientific calls: five simulate_ro pressure points plus five equilibrate_feed cases (zero-acid baseline and four stated doses). Metadata calls are excluded. Efficiency means each call changes the next decision or locks a boundary.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1" t="str">
        <x:v>Efficiency dimension</x:v>
      </x:c>
      <x:c r="B8" s="22" t="str">
        <x:v>Focus</x:v>
      </x:c>
      <x:c r="C8" s="22" t="str">
        <x:v>Full credit</x:v>
      </x:c>
      <x:c r="D8" s="22" t="str">
        <x:v>Medium</x:v>
      </x:c>
      <x:c r="E8" s="22" t="str">
        <x:v>Low</x:v>
      </x:c>
      <x:c r="F8" s="22" t="str">
        <x:v>Benchmark evidence</x:v>
      </x:c>
      <x:c r="G8" s="23" t="str">
        <x:v>Points</x:v>
      </x:c>
      <x:c r="H8" s="2"/>
      <x:c r="I8" s="2"/>
      <x:c r="J8" s="2"/>
      <x:c r="K8" s="2"/>
      <x:c r="L8" s="2"/>
      <x:c r="M8" s="2"/>
      <x:c r="N8" s="2"/>
    </x:row>
    <x:row r="9" ht="83" customHeight="1">
      <x:c r="A9" s="32" t="str">
        <x:v>E1 Tool roles</x:v>
      </x:c>
      <x:c r="B9" s="33" t="str">
        <x:v>Choose and sequence the correct models</x:v>
      </x:c>
      <x:c r="C9" s="33" t="str">
        <x:v>simulate_ro for the membrane; equilibrate_feed for ionic equilibrium; recovery is the interface</x:v>
      </x:c>
      <x:c r="D9" s="33" t="str">
        <x:v>Both called but interface unclear</x:v>
      </x:c>
      <x:c r="E9" s="33" t="str">
        <x:v>Replace module data with whole-plant model or use one tool only</x:v>
      </x:c>
      <x:c r="F9" s="33" t="str">
        <x:v>RO first, chemistry second</x:v>
      </x:c>
      <x:c r="G9" s="34" t="n">
        <x:v>20</x:v>
      </x:c>
      <x:c r="H9" s="2"/>
      <x:c r="I9" s="2"/>
      <x:c r="J9" s="2"/>
      <x:c r="K9" s="2"/>
      <x:c r="L9" s="2"/>
      <x:c r="M9" s="2"/>
      <x:c r="N9" s="2"/>
    </x:row>
    <x:row r="10" ht="83" customHeight="1">
      <x:c r="A10" s="35" t="str">
        <x:v>E2 Input reuse</x:v>
      </x:c>
      <x:c r="B10" s="36" t="str">
        <x:v>Hold non-target variables fixed</x:v>
      </x:c>
      <x:c r="C10" s="36" t="str">
        <x:v>Only pressure changes in RO calls; only HCl changes in chemistry calls</x:v>
      </x:c>
      <x:c r="D10" s="36" t="str">
        <x:v>One minor redundant or non-controlling change</x:v>
      </x:c>
      <x:c r="E10" s="36" t="str">
        <x:v>Randomly change area, salinity, pH, or composition</x:v>
      </x:c>
      <x:c r="F10" s="36" t="str">
        <x:v>Controlled single-variable comparisons</x:v>
      </x:c>
      <x:c r="G10" s="37" t="n">
        <x:v>20</x:v>
      </x:c>
      <x:c r="H10" s="2"/>
      <x:c r="I10" s="2"/>
      <x:c r="J10" s="2"/>
      <x:c r="K10" s="2"/>
      <x:c r="L10" s="2"/>
      <x:c r="M10" s="2"/>
      <x:c r="N10" s="2"/>
    </x:row>
    <x:row r="11" ht="83" customHeight="1">
      <x:c r="A11" s="35" t="str">
        <x:v>E3 Information gain</x:v>
      </x:c>
      <x:c r="B11" s="36" t="str">
        <x:v>Lock pressure before chemistry</x:v>
      </x:c>
      <x:c r="C11" s="36" t="str">
        <x:v>Run acid grid only at actual 62-bar recovery</x:v>
      </x:c>
      <x:c r="D11" s="36" t="str">
        <x:v>Chemistry slightly early or one extra call</x:v>
      </x:c>
      <x:c r="E11" s="36" t="str">
        <x:v>Scan all acid doses at every pressure</x:v>
      </x:c>
      <x:c r="F11" s="36" t="str">
        <x:v>Avoid a 5×5 Cartesian grid</x:v>
      </x:c>
      <x:c r="G11" s="37" t="n">
        <x:v>20</x:v>
      </x:c>
      <x:c r="H11" s="2"/>
      <x:c r="I11" s="2"/>
      <x:c r="J11" s="2"/>
      <x:c r="K11" s="2"/>
      <x:c r="L11" s="2"/>
      <x:c r="M11" s="2"/>
      <x:c r="N11" s="2"/>
    </x:row>
    <x:row r="12" ht="83" customHeight="1">
      <x:c r="A12" s="35" t="str">
        <x:v>E4 Boundary efficiency</x:v>
      </x:c>
      <x:c r="B12" s="36" t="str">
        <x:v>Use adjacent fail/pass proof</x:v>
      </x:c>
      <x:c r="C12" s="36" t="str">
        <x:v>60→62 locks pressure; 0.0021→0.0022→0.0023 locks acid and overdose boundary</x:v>
      </x:c>
      <x:c r="D12" s="36" t="str">
        <x:v>Right answer but one boundary missing</x:v>
      </x:c>
      <x:c r="E12" s="36" t="str">
        <x:v>Report selected point only</x:v>
      </x:c>
      <x:c r="F12" s="36" t="str">
        <x:v>Both decisions have stopping evidence</x:v>
      </x:c>
      <x:c r="G12" s="37" t="n">
        <x:v>20</x:v>
      </x:c>
      <x:c r="H12" s="2"/>
      <x:c r="I12" s="2"/>
      <x:c r="J12" s="2"/>
      <x:c r="K12" s="2"/>
      <x:c r="L12" s="2"/>
      <x:c r="M12" s="2"/>
      <x:c r="N12" s="2"/>
    </x:row>
    <x:row r="13" ht="83" customHeight="1">
      <x:c r="A13" s="38" t="str">
        <x:v>E5 Stop and transparency</x:v>
      </x:c>
      <x:c r="B13" s="39" t="str">
        <x:v>Stop with sufficient evidence and state scope</x:v>
      </x:c>
      <x:c r="C13" s="39" t="str">
        <x:v>About 10 calls; record interface, Pitzer/NaCl-equivalent difference, and omissions</x:v>
      </x:c>
      <x:c r="D13" s="39" t="str">
        <x:v>Slight over-call or one unclear basis</x:v>
      </x:c>
      <x:c r="E13" s="39" t="str">
        <x:v>Blind dense scan, hidden assumptions, or treat thermodynamic SI as guarantee</x:v>
      </x:c>
      <x:c r="F13" s="39" t="str">
        <x:v>Stop after 62 bar and unique acid dose</x:v>
      </x:c>
      <x:c r="G13" s="40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71" t="str">
        <x:v>Tool-efficiency total</x:v>
      </x:c>
      <x:c r="G15" s="71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2" t="str">
        <x:v>Efficient reference tool trajectory</x:v>
      </x:c>
      <x:c r="B18" s="12" t="str">
        <x:v>Efficient reference tool trajectory</x:v>
      </x:c>
      <x:c r="C18" s="12" t="str">
        <x:v>Efficient reference tool trajectory</x:v>
      </x:c>
      <x:c r="D18" s="12" t="str">
        <x:v>Efficient reference tool trajectory</x:v>
      </x:c>
      <x:c r="E18" s="12" t="str">
        <x:v>Efficient reference tool trajectory</x:v>
      </x:c>
      <x:c r="F18" s="12" t="str">
        <x:v>Efficient reference tool trajectory</x:v>
      </x:c>
      <x:c r="G18" s="12" t="str">
        <x:v>Efficient reference tool trajectory</x:v>
      </x:c>
      <x:c r="H18" s="2"/>
      <x:c r="I18" s="2"/>
      <x:c r="J18" s="2"/>
      <x:c r="K18" s="2"/>
      <x:c r="L18" s="2"/>
      <x:c r="M18" s="2"/>
      <x:c r="N18" s="2"/>
    </x:row>
    <x:row r="19">
      <x:c r="A19" s="21" t="str">
        <x:v>Stage</x:v>
      </x:c>
      <x:c r="B19" s="22" t="str">
        <x:v>Tool</x:v>
      </x:c>
      <x:c r="C19" s="22" t="str">
        <x:v>Calls</x:v>
      </x:c>
      <x:c r="D19" s="22" t="str">
        <x:v>Key input</x:v>
      </x:c>
      <x:c r="E19" s="22" t="str">
        <x:v>Key observation</x:v>
      </x:c>
      <x:c r="F19" s="22" t="str">
        <x:v>State update</x:v>
      </x:c>
      <x:c r="G19" s="23" t="str">
        <x:v>Next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32" t="str">
        <x:v>1 Metadata</x:v>
      </x:c>
      <x:c r="B20" s="33" t="str">
        <x:v>describe_*</x:v>
      </x:c>
      <x:c r="C20" s="33" t="str">
        <x:v>2 (unscored)</x:v>
      </x:c>
      <x:c r="D20" s="33" t="str">
        <x:v>Units, parameters, mineral names</x:v>
      </x:c>
      <x:c r="E20" s="33" t="str">
        <x:v>Input conventions confirmed</x:v>
      </x:c>
      <x:c r="F20" s="33" t="str">
        <x:v>Build comparable inputs</x:v>
      </x:c>
      <x:c r="G20" s="34" t="str">
        <x:v>Run pressure points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35" t="str">
        <x:v>2 Pressure screen</x:v>
      </x:c>
      <x:c r="B21" s="36" t="str">
        <x:v>simulate_ro</x:v>
      </x:c>
      <x:c r="C21" s="36" t="str">
        <x:v>5</x:v>
      </x:c>
      <x:c r="D21" s="36" t="str">
        <x:v>55/58/60/62/65 bar</x:v>
      </x:c>
      <x:c r="E21" s="36" t="str">
        <x:v>62 bar first dual pass</x:v>
      </x:c>
      <x:c r="F21" s="36" t="str">
        <x:v>Lock actual recovery 39.5623%</x:v>
      </x:c>
      <x:c r="G21" s="37" t="str">
        <x:v>Pass recovery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35" t="str">
        <x:v>3 Baseline chemistry</x:v>
      </x:c>
      <x:c r="B22" s="36" t="str">
        <x:v>equilibrate_feed</x:v>
      </x:c>
      <x:c r="C22" s="36" t="str">
        <x:v>1</x:v>
      </x:c>
      <x:c r="D22" s="36" t="str">
        <x:v>Recovery 0.395623; HCl=0</x:v>
      </x:c>
      <x:c r="E22" s="36" t="str">
        <x:v>Calcite/Dolomite supersaturated</x:v>
      </x:c>
      <x:c r="F22" s="36" t="str">
        <x:v>Acid required</x:v>
      </x:c>
      <x:c r="G22" s="37" t="str">
        <x:v>Scan stated doses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35" t="str">
        <x:v>4 Acid boundary</x:v>
      </x:c>
      <x:c r="B23" s="36" t="str">
        <x:v>equilibrate_feed</x:v>
      </x:c>
      <x:c r="C23" s="36" t="str">
        <x:v>4</x:v>
      </x:c>
      <x:c r="D23" s="36" t="str">
        <x:v>0.0020–0.0023 mol/s</x:v>
      </x:c>
      <x:c r="E23" s="36" t="str">
        <x:v>0.0022 uniquely passes</x:v>
      </x:c>
      <x:c r="F23" s="36" t="str">
        <x:v>Lock acid window</x:v>
      </x:c>
      <x:c r="G23" s="37" t="str">
        <x:v>Convert dose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38" t="str">
        <x:v>5 Stop</x:v>
      </x:c>
      <x:c r="B24" s="39" t="str">
        <x:v>—</x:v>
      </x:c>
      <x:c r="C24" s="39" t="str">
        <x:v>0</x:v>
      </x:c>
      <x:c r="D24" s="39" t="str">
        <x:v>Check adjacent failures and scope</x:v>
      </x:c>
      <x:c r="E24" s="39" t="str">
        <x:v>Evidence sufficient</x:v>
      </x:c>
      <x:c r="F24" s="39" t="str">
        <x:v>62 bar + 0.0022 mol/s</x:v>
      </x:c>
      <x:c r="G24" s="40" t="str">
        <x:v>Report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