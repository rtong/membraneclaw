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c62370b1504372" /></Relationships>
</file>

<file path=xl/workbook.xml><?xml version="1.0" encoding="utf-8"?>
<x:workbook xmlns:x="http://schemas.openxmlformats.org/spreadsheetml/2006/main">
  <x:sheets>
    <x:sheet xmlns:r="http://schemas.openxmlformats.org/officeDocument/2006/relationships" name="Question_Q" sheetId="1" r:id="Rdac2f7b90ca24f84"/>
    <x:sheet xmlns:r="http://schemas.openxmlformats.org/officeDocument/2006/relationships" name="Gold_Answer_A" sheetId="2" r:id="Rd54995bcb1c6424d"/>
    <x:sheet xmlns:r="http://schemas.openxmlformats.org/officeDocument/2006/relationships" name="Trajectory_Rubric" sheetId="3" r:id="R8f8089fd7cd74366"/>
    <x:sheet xmlns:r="http://schemas.openxmlformats.org/officeDocument/2006/relationships" name="Tool_Efficiency" sheetId="4" r:id="R63ee047891d744f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8">
    <x:font>
      <x:sz val="11"/>
      <x:name val="Carlito"/>
    </x:font>
    <x:font>
      <x:sz val="9"/>
      <x:color rgb="FF1F2937"/>
      <x:name val="Aptos"/>
    </x:font>
    <x:font>
      <x:b/>
      <x:sz val="18"/>
      <x:color rgb="FFFFFFFF"/>
      <x:name val="Aptos"/>
    </x:font>
    <x:font>
      <x:sz val="10"/>
      <x:color rgb="FF1F2937"/>
      <x:name val="Aptos"/>
    </x:font>
    <x:font>
      <x:b/>
      <x:sz val="11"/>
      <x:color rgb="FFFFFFFF"/>
      <x:name val="Aptos"/>
    </x:font>
    <x:font>
      <x:b/>
      <x:sz val="9"/>
      <x:color rgb="FF1F2937"/>
      <x:name val="Aptos"/>
    </x:font>
    <x:font>
      <x:b/>
      <x:sz val="9"/>
      <x:color rgb="FF1F426B"/>
      <x:name val="Aptos"/>
    </x:font>
    <x:font>
      <x:b/>
      <x:sz val="10"/>
      <x:color rgb="FF1F2937"/>
      <x:name val="Aptos"/>
    </x:font>
  </x:fonts>
  <x:fills count="10">
    <x:fill>
      <x:patternFill patternType="none"/>
    </x:fill>
    <x:fill>
      <x:patternFill patternType="gray125"/>
    </x:fill>
    <x:fill>
      <x:patternFill patternType="solid">
        <x:fgColor rgb="FF1F426B"/>
      </x:patternFill>
    </x:fill>
    <x:fill>
      <x:patternFill patternType="solid">
        <x:fgColor rgb="FFFFF2CC"/>
      </x:patternFill>
    </x:fill>
    <x:fill>
      <x:patternFill patternType="solid">
        <x:fgColor rgb="FF2F75B5"/>
      </x:patternFill>
    </x:fill>
    <x:fill>
      <x:patternFill patternType="solid">
        <x:fgColor rgb="FFF5F8FB"/>
      </x:patternFill>
    </x:fill>
    <x:fill>
      <x:patternFill patternType="solid">
        <x:fgColor rgb="FFE2F0D9"/>
      </x:patternFill>
    </x:fill>
    <x:fill>
      <x:patternFill patternType="solid">
        <x:fgColor rgb="FFD9EAF7"/>
      </x:patternFill>
    </x:fill>
    <x:fill>
      <x:patternFill patternType="solid">
        <x:fgColor rgb="FFF4B183"/>
      </x:patternFill>
    </x:fill>
    <x:fill>
      <x:patternFill patternType="solid">
        <x:fgColor rgb="FFFFFFFF"/>
      </x:patternFill>
    </x:fill>
  </x:fills>
  <x:borders count="10">
    <x:border/>
    <x:border>
      <x:left style="thin">
        <x:color rgb="FFC9D7E5"/>
      </x:left>
      <x:top style="thin">
        <x:color rgb="FFC9D7E5"/>
      </x:top>
    </x:border>
    <x:border>
      <x:top style="thin">
        <x:color rgb="FFC9D7E5"/>
      </x:top>
    </x:border>
    <x:border>
      <x:right style="thin">
        <x:color rgb="FFC9D7E5"/>
      </x:right>
      <x:top style="thin">
        <x:color rgb="FFC9D7E5"/>
      </x:top>
    </x:border>
    <x:border>
      <x:left style="thin">
        <x:color rgb="FFC9D7E5"/>
      </x:left>
    </x:border>
    <x:border>
      <x:right style="thin">
        <x:color rgb="FFC9D7E5"/>
      </x:right>
    </x:border>
    <x:border>
      <x:left style="thin">
        <x:color rgb="FFC9D7E5"/>
      </x:left>
      <x:bottom style="thin">
        <x:color rgb="FFC9D7E5"/>
      </x:bottom>
    </x:border>
    <x:border>
      <x:bottom style="thin">
        <x:color rgb="FFC9D7E5"/>
      </x:bottom>
    </x:border>
    <x:border>
      <x:right style="thin">
        <x:color rgb="FFC9D7E5"/>
      </x:right>
      <x:bottom style="thin">
        <x:color rgb="FFC9D7E5"/>
      </x:bottom>
    </x:border>
    <x:border>
      <x:left style="thin">
        <x:color rgb="FFC9D7E5"/>
      </x:left>
      <x:right style="thin">
        <x:color rgb="FFC9D7E5"/>
      </x:right>
      <x:top style="thin">
        <x:color rgb="FFC9D7E5"/>
      </x:top>
      <x:bottom style="thin">
        <x:color rgb="FFC9D7E5"/>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7" xfId="0" applyNumberFormat="1" applyFont="1" applyFill="1" applyBorder="1" applyAlignment="1">
      <x:alignment wrapText="1"/>
    </x:xf>
    <x:xf numFmtId="0" fontId="3" fillId="3" borderId="8" xfId="0" applyNumberFormat="1" applyFont="1" applyFill="1" applyBorder="1" applyAlignment="1">
      <x:alignment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7"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6" fillId="8" borderId="0" xfId="0" applyNumberFormat="1" applyFont="1" applyFill="1" applyBorder="1"/>
    <x:xf numFmtId="0" fontId="6" fillId="8" borderId="9" xfId="0" applyNumberFormat="1" applyFont="1" applyFill="1" applyBorder="1"/>
    <x:xf numFmtId="0" fontId="6"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1" xfId="0" applyNumberFormat="1" applyFont="1" applyFill="1" applyBorder="1" applyAlignment="1">
      <x:alignment wrapText="1"/>
    </x:xf>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9" borderId="0" xfId="0" applyNumberFormat="1" applyFont="1" applyFill="1" applyBorder="1"/>
    <x:xf numFmtId="0" fontId="1" fillId="9" borderId="9" xfId="0" applyNumberFormat="1" applyFont="1" applyFill="1" applyBorder="1"/>
    <x:xf numFmtId="0" fontId="1" fillId="9" borderId="9" xfId="0" applyNumberFormat="1" applyFont="1" applyFill="1" applyBorder="1" applyAlignment="1">
      <x:alignment wrapText="1"/>
    </x:xf>
    <x:xf numFmtId="0" fontId="1" fillId="9" borderId="9" xfId="0" applyNumberFormat="1" applyFont="1" applyFill="1" applyBorder="1" applyAlignment="1">
      <x:alignment vertical="center" wrapText="1"/>
    </x:xf>
    <x:xf numFmtId="200" fontId="1" fillId="9" borderId="9" xfId="0" applyNumberFormat="1" applyFont="1" applyFill="1" applyBorder="1" applyAlignment="1">
      <x:alignment vertical="center" wrapText="1"/>
    </x:xf>
    <x:xf numFmtId="0" fontId="1" fillId="5" borderId="9" xfId="0" applyNumberFormat="1" applyFont="1" applyFill="1" applyBorder="1"/>
    <x:xf numFmtId="200" fontId="1" fillId="5"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31f9d50e8441b7" /><Relationship Type="http://schemas.openxmlformats.org/officeDocument/2006/relationships/theme" Target="/xl/theme/theme1.xml" Id="R3bb6ce65939c428a" /><Relationship Type="http://schemas.openxmlformats.org/officeDocument/2006/relationships/sharedStrings" Target="/xl/sharedStrings.xml" Id="R5ebca69d259941e2" /><Relationship Type="http://schemas.openxmlformats.org/officeDocument/2006/relationships/worksheet" Target="/xl/worksheets/sheet1.xml" Id="Rdac2f7b90ca24f84" /><Relationship Type="http://schemas.openxmlformats.org/officeDocument/2006/relationships/worksheet" Target="/xl/worksheets/sheet2.xml" Id="Rd54995bcb1c6424d" /><Relationship Type="http://schemas.openxmlformats.org/officeDocument/2006/relationships/worksheet" Target="/xl/worksheets/sheet3.xml" Id="R8f8089fd7cd74366" /><Relationship Type="http://schemas.openxmlformats.org/officeDocument/2006/relationships/worksheet" Target="/xl/worksheets/sheet4.xml" Id="R63ee047891d744f6" /></Relationships>
</file>

<file path=xl/drawings/_rels/drawing1.xml.rels>&#65279;<?xml version="1.0" encoding="utf-8"?><Relationships xmlns="http://schemas.openxmlformats.org/package/2006/relationships"><Relationship Type="http://schemas.openxmlformats.org/officeDocument/2006/relationships/chart" Target="/xl/drawings/charts/chart1.xml" Id="R4394674008cb4282"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Stage-1 boundary</a:t>
            </a:r>
          </a:p>
        </c:rich>
      </c:tx>
      <c:overlay val="0"/>
    </c:title>
    <c:plotArea>
      <c:lineChart>
        <c:grouping val="standard"/>
        <c:varyColors val="0"/>
        <c:ser>
          <c:idx val="0"/>
          <c:order val="0"/>
          <c:tx>
            <c:v>Water kg/s</c:v>
          </c:tx>
          <c:marker>
            <c:symbol val="none"/>
          </c:marker>
          <c:cat>
            <c:strRef>
              <c:f>'Gold_Answer_A'!$K$10:$K$14</c:f>
              <c:strCache>
                <c:ptCount val="0"/>
              </c:strCache>
            </c:strRef>
          </c:cat>
          <c:val>
            <c:numRef>
              <c:f>'Gold_Answer_A'!$L$10:$L$14</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17</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94674008cb4282"/>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b485d469f6d4adc"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D6_6b-N03 | Production ceiling and recovery rollback for high-sulfate brackish-water RO</x:v>
      </x:c>
      <x:c r="B1" s="6" t="str">
        <x:v>D6_6b-N03 | Production ceiling and recovery rollback for high-sulfate brackish-water RO</x:v>
      </x:c>
      <x:c r="C1" s="6" t="str">
        <x:v>D6_6b-N03 | Production ceiling and recovery rollback for high-sulfate brackish-water RO</x:v>
      </x:c>
      <x:c r="D1" s="6" t="str">
        <x:v>D6_6b-N03 | Production ceiling and recovery rollback for high-sulfate brackish-water RO</x:v>
      </x:c>
      <x:c r="E1" s="6" t="str">
        <x:v>D6_6b-N03 | Production ceiling and recovery rollback for high-sulfate brackish-water RO</x:v>
      </x:c>
      <x:c r="F1" s="6" t="str">
        <x:v>D6_6b-N03 | Production ceiling and recovery rollback for high-sulfate brackish-water RO</x:v>
      </x:c>
      <x:c r="G1" s="6" t="str">
        <x:v>D6_6b-N03 | Production ceiling and recovery rollback for high-sulfate brackish-water RO</x:v>
      </x:c>
      <x:c r="H1" s="6" t="str">
        <x:v>D6_6b-N03 | Production ceiling and recovery rollback for high-sulfate brackish-water RO</x:v>
      </x:c>
      <x:c r="I1" s="6" t="str">
        <x:v>D6_6b-N03 | Production ceiling and recovery rollback for high-sulfate brackish-water RO</x:v>
      </x:c>
      <x:c r="J1" s="6" t="str">
        <x:v>D6_6b-N03 | Production ceiling and recovery rollback for high-sulfate brackish-water RO</x:v>
      </x:c>
      <x:c r="K1" s="6" t="str">
        <x:v>D6_6b-N03 | Production ceiling and recovery rollback for high-sulfate brackish-water RO</x:v>
      </x:c>
      <x:c r="L1" s="6" t="str">
        <x:v>D6_6b-N03 | Production ceiling and recovery rollback for high-sulfate brackish-water RO</x:v>
      </x:c>
      <x:c r="M1" s="6" t="str">
        <x:v>D6_6b-N03 | Production ceiling and recovery rollback for high-sulfate brackish-water RO</x:v>
      </x:c>
      <x:c r="N1" s="6" t="str">
        <x:v>D6_6b-N03 | Production ceiling and recovery rollback for high-sulfate brackish-water RO</x:v>
      </x:c>
    </x:row>
    <x:row r="2" ht="28" customHeight="1">
      <x:c r="A2" s="6" t="str">
        <x:v>D6_6b-N03 | Production ceiling and recovery rollback for high-sulfate brackish-water RO</x:v>
      </x:c>
      <x:c r="B2" s="6" t="str">
        <x:v>D6_6b-N03 | Production ceiling and recovery rollback for high-sulfate brackish-water RO</x:v>
      </x:c>
      <x:c r="C2" s="6" t="str">
        <x:v>D6_6b-N03 | Production ceiling and recovery rollback for high-sulfate brackish-water RO</x:v>
      </x:c>
      <x:c r="D2" s="6" t="str">
        <x:v>D6_6b-N03 | Production ceiling and recovery rollback for high-sulfate brackish-water RO</x:v>
      </x:c>
      <x:c r="E2" s="6" t="str">
        <x:v>D6_6b-N03 | Production ceiling and recovery rollback for high-sulfate brackish-water RO</x:v>
      </x:c>
      <x:c r="F2" s="6" t="str">
        <x:v>D6_6b-N03 | Production ceiling and recovery rollback for high-sulfate brackish-water RO</x:v>
      </x:c>
      <x:c r="G2" s="6" t="str">
        <x:v>D6_6b-N03 | Production ceiling and recovery rollback for high-sulfate brackish-water RO</x:v>
      </x:c>
      <x:c r="H2" s="6" t="str">
        <x:v>D6_6b-N03 | Production ceiling and recovery rollback for high-sulfate brackish-water RO</x:v>
      </x:c>
      <x:c r="I2" s="6" t="str">
        <x:v>D6_6b-N03 | Production ceiling and recovery rollback for high-sulfate brackish-water RO</x:v>
      </x:c>
      <x:c r="J2" s="6" t="str">
        <x:v>D6_6b-N03 | Production ceiling and recovery rollback for high-sulfate brackish-water RO</x:v>
      </x:c>
      <x:c r="K2" s="6" t="str">
        <x:v>D6_6b-N03 | Production ceiling and recovery rollback for high-sulfate brackish-water RO</x:v>
      </x:c>
      <x:c r="L2" s="6" t="str">
        <x:v>D6_6b-N03 | Production ceiling and recovery rollback for high-sulfate brackish-water RO</x:v>
      </x:c>
      <x:c r="M2" s="6" t="str">
        <x:v>D6_6b-N03 | Production ceiling and recovery rollback for high-sulfate brackish-water RO</x:v>
      </x:c>
      <x:c r="N2" s="6" t="str">
        <x:v>D6_6b-N03 | Production ceiling and recovery rollback for high-sulfate brackish-water RO</x:v>
      </x:c>
    </x:row>
    <x:row r="3">
      <x:c r="A3" s="1"/>
      <x:c r="B3" s="1"/>
      <x:c r="C3" s="1"/>
      <x:c r="D3" s="1"/>
      <x:c r="E3" s="1"/>
      <x:c r="F3" s="1"/>
      <x:c r="G3" s="1"/>
      <x:c r="H3" s="1"/>
      <x:c r="I3" s="1"/>
      <x:c r="J3" s="1"/>
      <x:c r="K3" s="1"/>
      <x:c r="L3" s="1"/>
      <x:c r="M3" s="1"/>
      <x:c r="N3" s="1"/>
    </x:row>
    <x:row r="4">
      <x:c r="A4" s="26"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B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C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D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E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F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G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H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I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J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K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L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M4" s="27"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N4" s="28"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row>
    <x:row r="5">
      <x:c r="A5" s="29"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B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C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D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E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F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G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H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I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J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K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L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M5"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N5" s="31"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row>
    <x:row r="6">
      <x:c r="A6" s="29"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B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C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D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E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F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G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H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I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J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K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L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M6" s="30"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N6" s="31"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row>
    <x:row r="7">
      <x:c r="A7" s="32"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B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C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D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E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F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G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H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I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J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K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L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M7" s="33"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c r="N7" s="34" t="str">
        <x:v>An 8 g/kg brackish feed contains elevated Ca and sulfate. Higher pressure raises production but the resulting recovery can cross the gypsum saturation boundary. Obtain actual membrane performance at each pressure, then equilibrate each pressure at its own recovery. Maximize feasible production rather than choosing the highest pressure.</x:v>
      </x:c>
    </x:row>
    <x:row r="8">
      <x:c r="A8" s="1"/>
      <x:c r="B8" s="1"/>
      <x:c r="C8" s="1"/>
      <x:c r="D8" s="1"/>
      <x:c r="E8" s="1"/>
      <x:c r="F8" s="1"/>
      <x:c r="G8" s="1"/>
      <x:c r="H8" s="1"/>
      <x:c r="I8" s="1"/>
      <x:c r="J8" s="1"/>
      <x:c r="K8" s="1"/>
      <x:c r="L8" s="1"/>
      <x:c r="M8" s="1"/>
      <x:c r="N8" s="1"/>
    </x:row>
    <x:row r="9">
      <x:c r="A9" s="37" t="str">
        <x:v>Engineering inputs and design boundary</x:v>
      </x:c>
      <x:c r="B9" s="37" t="str">
        <x:v>Engineering inputs and design boundary</x:v>
      </x:c>
      <x:c r="C9" s="37" t="str">
        <x:v>Engineering inputs and design boundary</x:v>
      </x:c>
      <x:c r="D9" s="37" t="str">
        <x:v>Engineering inputs and design boundary</x:v>
      </x:c>
      <x:c r="E9" s="37" t="str">
        <x:v>Engineering inputs and design boundary</x:v>
      </x:c>
      <x:c r="F9" s="37" t="str">
        <x:v>Engineering inputs and design boundary</x:v>
      </x:c>
      <x:c r="G9" s="1"/>
      <x:c r="H9" s="37" t="str">
        <x:v>Hard constraints and decision rule</x:v>
      </x:c>
      <x:c r="I9" s="37" t="str">
        <x:v>Hard constraints and decision rule</x:v>
      </x:c>
      <x:c r="J9" s="37" t="str">
        <x:v>Hard constraints and decision rule</x:v>
      </x:c>
      <x:c r="K9" s="37" t="str">
        <x:v>Hard constraints and decision rule</x:v>
      </x:c>
      <x:c r="L9" s="37" t="str">
        <x:v>Hard constraints and decision rule</x:v>
      </x:c>
      <x:c r="M9" s="37" t="str">
        <x:v>Hard constraints and decision rule</x:v>
      </x:c>
      <x:c r="N9" s="37" t="str">
        <x:v>Hard constraints and decision rule</x:v>
      </x:c>
    </x:row>
    <x:row r="10">
      <x:c r="A10" s="56" t="str">
        <x:v>Pressure 18, 22, 26, 30 and 34 bar; area 60 m²; A=4.5×10⁻¹² and B=2.8×10⁻⁸; fixed HCl 0.0010 mol/s. Every chemistry call uses the recovery produced by its own pressure.</x:v>
      </x:c>
      <x:c r="B10" s="57" t="str">
        <x:v>Pressure 18, 22, 26, 30 and 34 bar; area 60 m²; A=4.5×10⁻¹² and B=2.8×10⁻⁸; fixed HCl 0.0010 mol/s. Every chemistry call uses the recovery produced by its own pressure.</x:v>
      </x:c>
      <x:c r="C10" s="57" t="str">
        <x:v>Pressure 18, 22, 26, 30 and 34 bar; area 60 m²; A=4.5×10⁻¹² and B=2.8×10⁻⁸; fixed HCl 0.0010 mol/s. Every chemistry call uses the recovery produced by its own pressure.</x:v>
      </x:c>
      <x:c r="D10" s="57" t="str">
        <x:v>Pressure 18, 22, 26, 30 and 34 bar; area 60 m²; A=4.5×10⁻¹² and B=2.8×10⁻⁸; fixed HCl 0.0010 mol/s. Every chemistry call uses the recovery produced by its own pressure.</x:v>
      </x:c>
      <x:c r="E10" s="57" t="str">
        <x:v>Pressure 18, 22, 26, 30 and 34 bar; area 60 m²; A=4.5×10⁻¹² and B=2.8×10⁻⁸; fixed HCl 0.0010 mol/s. Every chemistry call uses the recovery produced by its own pressure.</x:v>
      </x:c>
      <x:c r="F10" s="58" t="str">
        <x:v>Pressure 18, 22, 26, 30 and 34 bar; area 60 m²; A=4.5×10⁻¹² and B=2.8×10⁻⁸; fixed HCl 0.0010 mol/s. Every chemistry call uses the recovery produced by its own pressure.</x:v>
      </x:c>
      <x:c r="G10" s="1"/>
      <x:c r="H10" s="84" t="str">
        <x:v>Water ≥0.380 kg/s, NaCl ≤100 mg/L, CP≤1.30, pH≥6.20 and SI≤0 for all four minerals. Maximize water production; roll back when higher pressure creates sulfate scaling.</x:v>
      </x:c>
      <x:c r="I10" s="85" t="str">
        <x:v>Water ≥0.380 kg/s, NaCl ≤100 mg/L, CP≤1.30, pH≥6.20 and SI≤0 for all four minerals. Maximize water production; roll back when higher pressure creates sulfate scaling.</x:v>
      </x:c>
      <x:c r="J10" s="85" t="str">
        <x:v>Water ≥0.380 kg/s, NaCl ≤100 mg/L, CP≤1.30, pH≥6.20 and SI≤0 for all four minerals. Maximize water production; roll back when higher pressure creates sulfate scaling.</x:v>
      </x:c>
      <x:c r="K10" s="85" t="str">
        <x:v>Water ≥0.380 kg/s, NaCl ≤100 mg/L, CP≤1.30, pH≥6.20 and SI≤0 for all four minerals. Maximize water production; roll back when higher pressure creates sulfate scaling.</x:v>
      </x:c>
      <x:c r="L10" s="85" t="str">
        <x:v>Water ≥0.380 kg/s, NaCl ≤100 mg/L, CP≤1.30, pH≥6.20 and SI≤0 for all four minerals. Maximize water production; roll back when higher pressure creates sulfate scaling.</x:v>
      </x:c>
      <x:c r="M10" s="85" t="str">
        <x:v>Water ≥0.380 kg/s, NaCl ≤100 mg/L, CP≤1.30, pH≥6.20 and SI≤0 for all four minerals. Maximize water production; roll back when higher pressure creates sulfate scaling.</x:v>
      </x:c>
      <x:c r="N10" s="86" t="str">
        <x:v>Water ≥0.380 kg/s, NaCl ≤100 mg/L, CP≤1.30, pH≥6.20 and SI≤0 for all four minerals. Maximize water production; roll back when higher pressure creates sulfate scaling.</x:v>
      </x:c>
    </x:row>
    <x:row r="11">
      <x:c r="A11" s="59" t="str">
        <x:v>Pressure 18, 22, 26, 30 and 34 bar; area 60 m²; A=4.5×10⁻¹² and B=2.8×10⁻⁸; fixed HCl 0.0010 mol/s. Every chemistry call uses the recovery produced by its own pressure.</x:v>
      </x:c>
      <x:c r="B11" s="60" t="str">
        <x:v>Pressure 18, 22, 26, 30 and 34 bar; area 60 m²; A=4.5×10⁻¹² and B=2.8×10⁻⁸; fixed HCl 0.0010 mol/s. Every chemistry call uses the recovery produced by its own pressure.</x:v>
      </x:c>
      <x:c r="C11" s="60" t="str">
        <x:v>Pressure 18, 22, 26, 30 and 34 bar; area 60 m²; A=4.5×10⁻¹² and B=2.8×10⁻⁸; fixed HCl 0.0010 mol/s. Every chemistry call uses the recovery produced by its own pressure.</x:v>
      </x:c>
      <x:c r="D11" s="60" t="str">
        <x:v>Pressure 18, 22, 26, 30 and 34 bar; area 60 m²; A=4.5×10⁻¹² and B=2.8×10⁻⁸; fixed HCl 0.0010 mol/s. Every chemistry call uses the recovery produced by its own pressure.</x:v>
      </x:c>
      <x:c r="E11" s="60" t="str">
        <x:v>Pressure 18, 22, 26, 30 and 34 bar; area 60 m²; A=4.5×10⁻¹² and B=2.8×10⁻⁸; fixed HCl 0.0010 mol/s. Every chemistry call uses the recovery produced by its own pressure.</x:v>
      </x:c>
      <x:c r="F11" s="61" t="str">
        <x:v>Pressure 18, 22, 26, 30 and 34 bar; area 60 m²; A=4.5×10⁻¹² and B=2.8×10⁻⁸; fixed HCl 0.0010 mol/s. Every chemistry call uses the recovery produced by its own pressure.</x:v>
      </x:c>
      <x:c r="G11" s="1"/>
      <x:c r="H11" s="87" t="str">
        <x:v>Water ≥0.380 kg/s, NaCl ≤100 mg/L, CP≤1.30, pH≥6.20 and SI≤0 for all four minerals. Maximize water production; roll back when higher pressure creates sulfate scaling.</x:v>
      </x:c>
      <x:c r="I11" s="88" t="str">
        <x:v>Water ≥0.380 kg/s, NaCl ≤100 mg/L, CP≤1.30, pH≥6.20 and SI≤0 for all four minerals. Maximize water production; roll back when higher pressure creates sulfate scaling.</x:v>
      </x:c>
      <x:c r="J11" s="88" t="str">
        <x:v>Water ≥0.380 kg/s, NaCl ≤100 mg/L, CP≤1.30, pH≥6.20 and SI≤0 for all four minerals. Maximize water production; roll back when higher pressure creates sulfate scaling.</x:v>
      </x:c>
      <x:c r="K11" s="88" t="str">
        <x:v>Water ≥0.380 kg/s, NaCl ≤100 mg/L, CP≤1.30, pH≥6.20 and SI≤0 for all four minerals. Maximize water production; roll back when higher pressure creates sulfate scaling.</x:v>
      </x:c>
      <x:c r="L11" s="88" t="str">
        <x:v>Water ≥0.380 kg/s, NaCl ≤100 mg/L, CP≤1.30, pH≥6.20 and SI≤0 for all four minerals. Maximize water production; roll back when higher pressure creates sulfate scaling.</x:v>
      </x:c>
      <x:c r="M11" s="88" t="str">
        <x:v>Water ≥0.380 kg/s, NaCl ≤100 mg/L, CP≤1.30, pH≥6.20 and SI≤0 for all four minerals. Maximize water production; roll back when higher pressure creates sulfate scaling.</x:v>
      </x:c>
      <x:c r="N11" s="89" t="str">
        <x:v>Water ≥0.380 kg/s, NaCl ≤100 mg/L, CP≤1.30, pH≥6.20 and SI≤0 for all four minerals. Maximize water production; roll back when higher pressure creates sulfate scaling.</x:v>
      </x:c>
    </x:row>
    <x:row r="12">
      <x:c r="A12" s="59" t="str">
        <x:v>Pressure 18, 22, 26, 30 and 34 bar; area 60 m²; A=4.5×10⁻¹² and B=2.8×10⁻⁸; fixed HCl 0.0010 mol/s. Every chemistry call uses the recovery produced by its own pressure.</x:v>
      </x:c>
      <x:c r="B12" s="60" t="str">
        <x:v>Pressure 18, 22, 26, 30 and 34 bar; area 60 m²; A=4.5×10⁻¹² and B=2.8×10⁻⁸; fixed HCl 0.0010 mol/s. Every chemistry call uses the recovery produced by its own pressure.</x:v>
      </x:c>
      <x:c r="C12" s="60" t="str">
        <x:v>Pressure 18, 22, 26, 30 and 34 bar; area 60 m²; A=4.5×10⁻¹² and B=2.8×10⁻⁸; fixed HCl 0.0010 mol/s. Every chemistry call uses the recovery produced by its own pressure.</x:v>
      </x:c>
      <x:c r="D12" s="60" t="str">
        <x:v>Pressure 18, 22, 26, 30 and 34 bar; area 60 m²; A=4.5×10⁻¹² and B=2.8×10⁻⁸; fixed HCl 0.0010 mol/s. Every chemistry call uses the recovery produced by its own pressure.</x:v>
      </x:c>
      <x:c r="E12" s="60" t="str">
        <x:v>Pressure 18, 22, 26, 30 and 34 bar; area 60 m²; A=4.5×10⁻¹² and B=2.8×10⁻⁸; fixed HCl 0.0010 mol/s. Every chemistry call uses the recovery produced by its own pressure.</x:v>
      </x:c>
      <x:c r="F12" s="61" t="str">
        <x:v>Pressure 18, 22, 26, 30 and 34 bar; area 60 m²; A=4.5×10⁻¹² and B=2.8×10⁻⁸; fixed HCl 0.0010 mol/s. Every chemistry call uses the recovery produced by its own pressure.</x:v>
      </x:c>
      <x:c r="G12" s="1"/>
      <x:c r="H12" s="87" t="str">
        <x:v>Water ≥0.380 kg/s, NaCl ≤100 mg/L, CP≤1.30, pH≥6.20 and SI≤0 for all four minerals. Maximize water production; roll back when higher pressure creates sulfate scaling.</x:v>
      </x:c>
      <x:c r="I12" s="88" t="str">
        <x:v>Water ≥0.380 kg/s, NaCl ≤100 mg/L, CP≤1.30, pH≥6.20 and SI≤0 for all four minerals. Maximize water production; roll back when higher pressure creates sulfate scaling.</x:v>
      </x:c>
      <x:c r="J12" s="88" t="str">
        <x:v>Water ≥0.380 kg/s, NaCl ≤100 mg/L, CP≤1.30, pH≥6.20 and SI≤0 for all four minerals. Maximize water production; roll back when higher pressure creates sulfate scaling.</x:v>
      </x:c>
      <x:c r="K12" s="88" t="str">
        <x:v>Water ≥0.380 kg/s, NaCl ≤100 mg/L, CP≤1.30, pH≥6.20 and SI≤0 for all four minerals. Maximize water production; roll back when higher pressure creates sulfate scaling.</x:v>
      </x:c>
      <x:c r="L12" s="88" t="str">
        <x:v>Water ≥0.380 kg/s, NaCl ≤100 mg/L, CP≤1.30, pH≥6.20 and SI≤0 for all four minerals. Maximize water production; roll back when higher pressure creates sulfate scaling.</x:v>
      </x:c>
      <x:c r="M12" s="88" t="str">
        <x:v>Water ≥0.380 kg/s, NaCl ≤100 mg/L, CP≤1.30, pH≥6.20 and SI≤0 for all four minerals. Maximize water production; roll back when higher pressure creates sulfate scaling.</x:v>
      </x:c>
      <x:c r="N12" s="89" t="str">
        <x:v>Water ≥0.380 kg/s, NaCl ≤100 mg/L, CP≤1.30, pH≥6.20 and SI≤0 for all four minerals. Maximize water production; roll back when higher pressure creates sulfate scaling.</x:v>
      </x:c>
    </x:row>
    <x:row r="13">
      <x:c r="A13" s="59" t="str">
        <x:v>Pressure 18, 22, 26, 30 and 34 bar; area 60 m²; A=4.5×10⁻¹² and B=2.8×10⁻⁸; fixed HCl 0.0010 mol/s. Every chemistry call uses the recovery produced by its own pressure.</x:v>
      </x:c>
      <x:c r="B13" s="60" t="str">
        <x:v>Pressure 18, 22, 26, 30 and 34 bar; area 60 m²; A=4.5×10⁻¹² and B=2.8×10⁻⁸; fixed HCl 0.0010 mol/s. Every chemistry call uses the recovery produced by its own pressure.</x:v>
      </x:c>
      <x:c r="C13" s="60" t="str">
        <x:v>Pressure 18, 22, 26, 30 and 34 bar; area 60 m²; A=4.5×10⁻¹² and B=2.8×10⁻⁸; fixed HCl 0.0010 mol/s. Every chemistry call uses the recovery produced by its own pressure.</x:v>
      </x:c>
      <x:c r="D13" s="60" t="str">
        <x:v>Pressure 18, 22, 26, 30 and 34 bar; area 60 m²; A=4.5×10⁻¹² and B=2.8×10⁻⁸; fixed HCl 0.0010 mol/s. Every chemistry call uses the recovery produced by its own pressure.</x:v>
      </x:c>
      <x:c r="E13" s="60" t="str">
        <x:v>Pressure 18, 22, 26, 30 and 34 bar; area 60 m²; A=4.5×10⁻¹² and B=2.8×10⁻⁸; fixed HCl 0.0010 mol/s. Every chemistry call uses the recovery produced by its own pressure.</x:v>
      </x:c>
      <x:c r="F13" s="61" t="str">
        <x:v>Pressure 18, 22, 26, 30 and 34 bar; area 60 m²; A=4.5×10⁻¹² and B=2.8×10⁻⁸; fixed HCl 0.0010 mol/s. Every chemistry call uses the recovery produced by its own pressure.</x:v>
      </x:c>
      <x:c r="G13" s="1"/>
      <x:c r="H13" s="87" t="str">
        <x:v>Water ≥0.380 kg/s, NaCl ≤100 mg/L, CP≤1.30, pH≥6.20 and SI≤0 for all four minerals. Maximize water production; roll back when higher pressure creates sulfate scaling.</x:v>
      </x:c>
      <x:c r="I13" s="88" t="str">
        <x:v>Water ≥0.380 kg/s, NaCl ≤100 mg/L, CP≤1.30, pH≥6.20 and SI≤0 for all four minerals. Maximize water production; roll back when higher pressure creates sulfate scaling.</x:v>
      </x:c>
      <x:c r="J13" s="88" t="str">
        <x:v>Water ≥0.380 kg/s, NaCl ≤100 mg/L, CP≤1.30, pH≥6.20 and SI≤0 for all four minerals. Maximize water production; roll back when higher pressure creates sulfate scaling.</x:v>
      </x:c>
      <x:c r="K13" s="88" t="str">
        <x:v>Water ≥0.380 kg/s, NaCl ≤100 mg/L, CP≤1.30, pH≥6.20 and SI≤0 for all four minerals. Maximize water production; roll back when higher pressure creates sulfate scaling.</x:v>
      </x:c>
      <x:c r="L13" s="88" t="str">
        <x:v>Water ≥0.380 kg/s, NaCl ≤100 mg/L, CP≤1.30, pH≥6.20 and SI≤0 for all four minerals. Maximize water production; roll back when higher pressure creates sulfate scaling.</x:v>
      </x:c>
      <x:c r="M13" s="88" t="str">
        <x:v>Water ≥0.380 kg/s, NaCl ≤100 mg/L, CP≤1.30, pH≥6.20 and SI≤0 for all four minerals. Maximize water production; roll back when higher pressure creates sulfate scaling.</x:v>
      </x:c>
      <x:c r="N13" s="89" t="str">
        <x:v>Water ≥0.380 kg/s, NaCl ≤100 mg/L, CP≤1.30, pH≥6.20 and SI≤0 for all four minerals. Maximize water production; roll back when higher pressure creates sulfate scaling.</x:v>
      </x:c>
    </x:row>
    <x:row r="14">
      <x:c r="A14" s="59" t="str">
        <x:v>Pressure 18, 22, 26, 30 and 34 bar; area 60 m²; A=4.5×10⁻¹² and B=2.8×10⁻⁸; fixed HCl 0.0010 mol/s. Every chemistry call uses the recovery produced by its own pressure.</x:v>
      </x:c>
      <x:c r="B14" s="60" t="str">
        <x:v>Pressure 18, 22, 26, 30 and 34 bar; area 60 m²; A=4.5×10⁻¹² and B=2.8×10⁻⁸; fixed HCl 0.0010 mol/s. Every chemistry call uses the recovery produced by its own pressure.</x:v>
      </x:c>
      <x:c r="C14" s="60" t="str">
        <x:v>Pressure 18, 22, 26, 30 and 34 bar; area 60 m²; A=4.5×10⁻¹² and B=2.8×10⁻⁸; fixed HCl 0.0010 mol/s. Every chemistry call uses the recovery produced by its own pressure.</x:v>
      </x:c>
      <x:c r="D14" s="60" t="str">
        <x:v>Pressure 18, 22, 26, 30 and 34 bar; area 60 m²; A=4.5×10⁻¹² and B=2.8×10⁻⁸; fixed HCl 0.0010 mol/s. Every chemistry call uses the recovery produced by its own pressure.</x:v>
      </x:c>
      <x:c r="E14" s="60" t="str">
        <x:v>Pressure 18, 22, 26, 30 and 34 bar; area 60 m²; A=4.5×10⁻¹² and B=2.8×10⁻⁸; fixed HCl 0.0010 mol/s. Every chemistry call uses the recovery produced by its own pressure.</x:v>
      </x:c>
      <x:c r="F14" s="61" t="str">
        <x:v>Pressure 18, 22, 26, 30 and 34 bar; area 60 m²; A=4.5×10⁻¹² and B=2.8×10⁻⁸; fixed HCl 0.0010 mol/s. Every chemistry call uses the recovery produced by its own pressure.</x:v>
      </x:c>
      <x:c r="G14" s="1"/>
      <x:c r="H14" s="87" t="str">
        <x:v>Water ≥0.380 kg/s, NaCl ≤100 mg/L, CP≤1.30, pH≥6.20 and SI≤0 for all four minerals. Maximize water production; roll back when higher pressure creates sulfate scaling.</x:v>
      </x:c>
      <x:c r="I14" s="88" t="str">
        <x:v>Water ≥0.380 kg/s, NaCl ≤100 mg/L, CP≤1.30, pH≥6.20 and SI≤0 for all four minerals. Maximize water production; roll back when higher pressure creates sulfate scaling.</x:v>
      </x:c>
      <x:c r="J14" s="88" t="str">
        <x:v>Water ≥0.380 kg/s, NaCl ≤100 mg/L, CP≤1.30, pH≥6.20 and SI≤0 for all four minerals. Maximize water production; roll back when higher pressure creates sulfate scaling.</x:v>
      </x:c>
      <x:c r="K14" s="88" t="str">
        <x:v>Water ≥0.380 kg/s, NaCl ≤100 mg/L, CP≤1.30, pH≥6.20 and SI≤0 for all four minerals. Maximize water production; roll back when higher pressure creates sulfate scaling.</x:v>
      </x:c>
      <x:c r="L14" s="88" t="str">
        <x:v>Water ≥0.380 kg/s, NaCl ≤100 mg/L, CP≤1.30, pH≥6.20 and SI≤0 for all four minerals. Maximize water production; roll back when higher pressure creates sulfate scaling.</x:v>
      </x:c>
      <x:c r="M14" s="88" t="str">
        <x:v>Water ≥0.380 kg/s, NaCl ≤100 mg/L, CP≤1.30, pH≥6.20 and SI≤0 for all four minerals. Maximize water production; roll back when higher pressure creates sulfate scaling.</x:v>
      </x:c>
      <x:c r="N14" s="89" t="str">
        <x:v>Water ≥0.380 kg/s, NaCl ≤100 mg/L, CP≤1.30, pH≥6.20 and SI≤0 for all four minerals. Maximize water production; roll back when higher pressure creates sulfate scaling.</x:v>
      </x:c>
    </x:row>
    <x:row r="15">
      <x:c r="A15" s="59" t="str">
        <x:v>Pressure 18, 22, 26, 30 and 34 bar; area 60 m²; A=4.5×10⁻¹² and B=2.8×10⁻⁸; fixed HCl 0.0010 mol/s. Every chemistry call uses the recovery produced by its own pressure.</x:v>
      </x:c>
      <x:c r="B15" s="60" t="str">
        <x:v>Pressure 18, 22, 26, 30 and 34 bar; area 60 m²; A=4.5×10⁻¹² and B=2.8×10⁻⁸; fixed HCl 0.0010 mol/s. Every chemistry call uses the recovery produced by its own pressure.</x:v>
      </x:c>
      <x:c r="C15" s="60" t="str">
        <x:v>Pressure 18, 22, 26, 30 and 34 bar; area 60 m²; A=4.5×10⁻¹² and B=2.8×10⁻⁸; fixed HCl 0.0010 mol/s. Every chemistry call uses the recovery produced by its own pressure.</x:v>
      </x:c>
      <x:c r="D15" s="60" t="str">
        <x:v>Pressure 18, 22, 26, 30 and 34 bar; area 60 m²; A=4.5×10⁻¹² and B=2.8×10⁻⁸; fixed HCl 0.0010 mol/s. Every chemistry call uses the recovery produced by its own pressure.</x:v>
      </x:c>
      <x:c r="E15" s="60" t="str">
        <x:v>Pressure 18, 22, 26, 30 and 34 bar; area 60 m²; A=4.5×10⁻¹² and B=2.8×10⁻⁸; fixed HCl 0.0010 mol/s. Every chemistry call uses the recovery produced by its own pressure.</x:v>
      </x:c>
      <x:c r="F15" s="61" t="str">
        <x:v>Pressure 18, 22, 26, 30 and 34 bar; area 60 m²; A=4.5×10⁻¹² and B=2.8×10⁻⁸; fixed HCl 0.0010 mol/s. Every chemistry call uses the recovery produced by its own pressure.</x:v>
      </x:c>
      <x:c r="G15" s="1"/>
      <x:c r="H15" s="87" t="str">
        <x:v>Water ≥0.380 kg/s, NaCl ≤100 mg/L, CP≤1.30, pH≥6.20 and SI≤0 for all four minerals. Maximize water production; roll back when higher pressure creates sulfate scaling.</x:v>
      </x:c>
      <x:c r="I15" s="88" t="str">
        <x:v>Water ≥0.380 kg/s, NaCl ≤100 mg/L, CP≤1.30, pH≥6.20 and SI≤0 for all four minerals. Maximize water production; roll back when higher pressure creates sulfate scaling.</x:v>
      </x:c>
      <x:c r="J15" s="88" t="str">
        <x:v>Water ≥0.380 kg/s, NaCl ≤100 mg/L, CP≤1.30, pH≥6.20 and SI≤0 for all four minerals. Maximize water production; roll back when higher pressure creates sulfate scaling.</x:v>
      </x:c>
      <x:c r="K15" s="88" t="str">
        <x:v>Water ≥0.380 kg/s, NaCl ≤100 mg/L, CP≤1.30, pH≥6.20 and SI≤0 for all four minerals. Maximize water production; roll back when higher pressure creates sulfate scaling.</x:v>
      </x:c>
      <x:c r="L15" s="88" t="str">
        <x:v>Water ≥0.380 kg/s, NaCl ≤100 mg/L, CP≤1.30, pH≥6.20 and SI≤0 for all four minerals. Maximize water production; roll back when higher pressure creates sulfate scaling.</x:v>
      </x:c>
      <x:c r="M15" s="88" t="str">
        <x:v>Water ≥0.380 kg/s, NaCl ≤100 mg/L, CP≤1.30, pH≥6.20 and SI≤0 for all four minerals. Maximize water production; roll back when higher pressure creates sulfate scaling.</x:v>
      </x:c>
      <x:c r="N15" s="89" t="str">
        <x:v>Water ≥0.380 kg/s, NaCl ≤100 mg/L, CP≤1.30, pH≥6.20 and SI≤0 for all four minerals. Maximize water production; roll back when higher pressure creates sulfate scaling.</x:v>
      </x:c>
    </x:row>
    <x:row r="16">
      <x:c r="A16" s="62" t="str">
        <x:v>Pressure 18, 22, 26, 30 and 34 bar; area 60 m²; A=4.5×10⁻¹² and B=2.8×10⁻⁸; fixed HCl 0.0010 mol/s. Every chemistry call uses the recovery produced by its own pressure.</x:v>
      </x:c>
      <x:c r="B16" s="63" t="str">
        <x:v>Pressure 18, 22, 26, 30 and 34 bar; area 60 m²; A=4.5×10⁻¹² and B=2.8×10⁻⁸; fixed HCl 0.0010 mol/s. Every chemistry call uses the recovery produced by its own pressure.</x:v>
      </x:c>
      <x:c r="C16" s="63" t="str">
        <x:v>Pressure 18, 22, 26, 30 and 34 bar; area 60 m²; A=4.5×10⁻¹² and B=2.8×10⁻⁸; fixed HCl 0.0010 mol/s. Every chemistry call uses the recovery produced by its own pressure.</x:v>
      </x:c>
      <x:c r="D16" s="63" t="str">
        <x:v>Pressure 18, 22, 26, 30 and 34 bar; area 60 m²; A=4.5×10⁻¹² and B=2.8×10⁻⁸; fixed HCl 0.0010 mol/s. Every chemistry call uses the recovery produced by its own pressure.</x:v>
      </x:c>
      <x:c r="E16" s="63" t="str">
        <x:v>Pressure 18, 22, 26, 30 and 34 bar; area 60 m²; A=4.5×10⁻¹² and B=2.8×10⁻⁸; fixed HCl 0.0010 mol/s. Every chemistry call uses the recovery produced by its own pressure.</x:v>
      </x:c>
      <x:c r="F16" s="64" t="str">
        <x:v>Pressure 18, 22, 26, 30 and 34 bar; area 60 m²; A=4.5×10⁻¹² and B=2.8×10⁻⁸; fixed HCl 0.0010 mol/s. Every chemistry call uses the recovery produced by its own pressure.</x:v>
      </x:c>
      <x:c r="G16" s="1"/>
      <x:c r="H16" s="90" t="str">
        <x:v>Water ≥0.380 kg/s, NaCl ≤100 mg/L, CP≤1.30, pH≥6.20 and SI≤0 for all four minerals. Maximize water production; roll back when higher pressure creates sulfate scaling.</x:v>
      </x:c>
      <x:c r="I16" s="91" t="str">
        <x:v>Water ≥0.380 kg/s, NaCl ≤100 mg/L, CP≤1.30, pH≥6.20 and SI≤0 for all four minerals. Maximize water production; roll back when higher pressure creates sulfate scaling.</x:v>
      </x:c>
      <x:c r="J16" s="91" t="str">
        <x:v>Water ≥0.380 kg/s, NaCl ≤100 mg/L, CP≤1.30, pH≥6.20 and SI≤0 for all four minerals. Maximize water production; roll back when higher pressure creates sulfate scaling.</x:v>
      </x:c>
      <x:c r="K16" s="91" t="str">
        <x:v>Water ≥0.380 kg/s, NaCl ≤100 mg/L, CP≤1.30, pH≥6.20 and SI≤0 for all four minerals. Maximize water production; roll back when higher pressure creates sulfate scaling.</x:v>
      </x:c>
      <x:c r="L16" s="91" t="str">
        <x:v>Water ≥0.380 kg/s, NaCl ≤100 mg/L, CP≤1.30, pH≥6.20 and SI≤0 for all four minerals. Maximize water production; roll back when higher pressure creates sulfate scaling.</x:v>
      </x:c>
      <x:c r="M16" s="91" t="str">
        <x:v>Water ≥0.380 kg/s, NaCl ≤100 mg/L, CP≤1.30, pH≥6.20 and SI≤0 for all four minerals. Maximize water production; roll back when higher pressure creates sulfate scaling.</x:v>
      </x:c>
      <x:c r="N16" s="92" t="str">
        <x:v>Water ≥0.380 kg/s, NaCl ≤100 mg/L, CP≤1.30, pH≥6.20 and SI≤0 for all four minerals. Maximize water production; roll back when higher pressure creates sulfate scaling.</x:v>
      </x:c>
    </x:row>
    <x:row r="17">
      <x:c r="A17" s="1"/>
      <x:c r="B17" s="1"/>
      <x:c r="C17" s="1"/>
      <x:c r="D17" s="1"/>
      <x:c r="E17" s="1"/>
      <x:c r="F17" s="1"/>
      <x:c r="G17" s="1"/>
      <x:c r="H17" s="1"/>
      <x:c r="I17" s="1"/>
      <x:c r="J17" s="1"/>
      <x:c r="K17" s="1"/>
      <x:c r="L17" s="1"/>
      <x:c r="M17" s="1"/>
      <x:c r="N17" s="1"/>
    </x:row>
    <x:row r="18">
      <x:c r="A18" s="37" t="str">
        <x:v>Serial dependency</x:v>
      </x:c>
      <x:c r="B18" s="37" t="str">
        <x:v>Serial dependency</x:v>
      </x:c>
      <x:c r="C18" s="37" t="str">
        <x:v>Serial dependency</x:v>
      </x:c>
      <x:c r="D18" s="37" t="str">
        <x:v>Serial dependency</x:v>
      </x:c>
      <x:c r="E18" s="37" t="str">
        <x:v>Serial dependency</x:v>
      </x:c>
      <x:c r="F18" s="37" t="str">
        <x:v>Serial dependency</x:v>
      </x:c>
      <x:c r="G18" s="1"/>
      <x:c r="H18" s="37" t="str">
        <x:v>Required engineering answer</x:v>
      </x:c>
      <x:c r="I18" s="37" t="str">
        <x:v>Required engineering answer</x:v>
      </x:c>
      <x:c r="J18" s="37" t="str">
        <x:v>Required engineering answer</x:v>
      </x:c>
      <x:c r="K18" s="37" t="str">
        <x:v>Required engineering answer</x:v>
      </x:c>
      <x:c r="L18" s="37" t="str">
        <x:v>Required engineering answer</x:v>
      </x:c>
      <x:c r="M18" s="37" t="str">
        <x:v>Required engineering answer</x:v>
      </x:c>
      <x:c r="N18" s="37" t="str">
        <x:v>Required engineering answer</x:v>
      </x:c>
    </x:row>
    <x:row r="19">
      <x:c r="A19" s="111" t="str">
        <x:v>Stage 1 uses membrane simulation to determine survivors or actual recovery. Stage 2 uses equilibrium chemistry. Stage-2 inputs must come from Stage 1; they may not be independently reset.</x:v>
      </x:c>
      <x:c r="B19" s="112" t="str">
        <x:v>Stage 1 uses membrane simulation to determine survivors or actual recovery. Stage 2 uses equilibrium chemistry. Stage-2 inputs must come from Stage 1; they may not be independently reset.</x:v>
      </x:c>
      <x:c r="C19" s="112" t="str">
        <x:v>Stage 1 uses membrane simulation to determine survivors or actual recovery. Stage 2 uses equilibrium chemistry. Stage-2 inputs must come from Stage 1; they may not be independently reset.</x:v>
      </x:c>
      <x:c r="D19" s="112" t="str">
        <x:v>Stage 1 uses membrane simulation to determine survivors or actual recovery. Stage 2 uses equilibrium chemistry. Stage-2 inputs must come from Stage 1; they may not be independently reset.</x:v>
      </x:c>
      <x:c r="E19" s="112" t="str">
        <x:v>Stage 1 uses membrane simulation to determine survivors or actual recovery. Stage 2 uses equilibrium chemistry. Stage-2 inputs must come from Stage 1; they may not be independently reset.</x:v>
      </x:c>
      <x:c r="F19" s="113" t="str">
        <x:v>Stage 1 uses membrane simulation to determine survivors or actual recovery. Stage 2 uses equilibrium chemistry. Stage-2 inputs must come from Stage 1; they may not be independently reset.</x:v>
      </x:c>
      <x:c r="G19" s="1"/>
      <x:c r="H19" s="123" t="n">
        <x:v>1</x:v>
      </x:c>
      <x:c r="I19" s="125" t="str">
        <x:v>Define a reproducible candidate grid within the stated boundary.</x:v>
      </x:c>
      <x:c r="J19" s="125" t="str">
        <x:v>Define a reproducible candidate grid within the stated boundary.</x:v>
      </x:c>
      <x:c r="K19" s="125" t="str">
        <x:v>Define a reproducible candidate grid within the stated boundary.</x:v>
      </x:c>
      <x:c r="L19" s="125" t="str">
        <x:v>Define a reproducible candidate grid within the stated boundary.</x:v>
      </x:c>
      <x:c r="M19" s="125" t="str">
        <x:v>Define a reproducible candidate grid within the stated boundary.</x:v>
      </x:c>
      <x:c r="N19" s="125" t="str">
        <x:v>Define a reproducible candidate grid within the stated boundary.</x:v>
      </x:c>
    </x:row>
    <x:row r="20">
      <x:c r="A20" s="114" t="str">
        <x:v>Stage 1 uses membrane simulation to determine survivors or actual recovery. Stage 2 uses equilibrium chemistry. Stage-2 inputs must come from Stage 1; they may not be independently reset.</x:v>
      </x:c>
      <x:c r="B20" s="115" t="str">
        <x:v>Stage 1 uses membrane simulation to determine survivors or actual recovery. Stage 2 uses equilibrium chemistry. Stage-2 inputs must come from Stage 1; they may not be independently reset.</x:v>
      </x:c>
      <x:c r="C20" s="115" t="str">
        <x:v>Stage 1 uses membrane simulation to determine survivors or actual recovery. Stage 2 uses equilibrium chemistry. Stage-2 inputs must come from Stage 1; they may not be independently reset.</x:v>
      </x:c>
      <x:c r="D20" s="115" t="str">
        <x:v>Stage 1 uses membrane simulation to determine survivors or actual recovery. Stage 2 uses equilibrium chemistry. Stage-2 inputs must come from Stage 1; they may not be independently reset.</x:v>
      </x:c>
      <x:c r="E20" s="115" t="str">
        <x:v>Stage 1 uses membrane simulation to determine survivors or actual recovery. Stage 2 uses equilibrium chemistry. Stage-2 inputs must come from Stage 1; they may not be independently reset.</x:v>
      </x:c>
      <x:c r="F20" s="116" t="str">
        <x:v>Stage 1 uses membrane simulation to determine survivors or actual recovery. Stage 2 uses equilibrium chemistry. Stage-2 inputs must come from Stage 1; they may not be independently reset.</x:v>
      </x:c>
      <x:c r="G20" s="1"/>
      <x:c r="H20" s="123" t="n">
        <x:v>2</x:v>
      </x:c>
      <x:c r="I20" s="125" t="str">
        <x:v>Complete Stage 1 and identify every pass/fail boundary.</x:v>
      </x:c>
      <x:c r="J20" s="125" t="str">
        <x:v>Complete Stage 1 and identify every pass/fail boundary.</x:v>
      </x:c>
      <x:c r="K20" s="125" t="str">
        <x:v>Complete Stage 1 and identify every pass/fail boundary.</x:v>
      </x:c>
      <x:c r="L20" s="125" t="str">
        <x:v>Complete Stage 1 and identify every pass/fail boundary.</x:v>
      </x:c>
      <x:c r="M20" s="125" t="str">
        <x:v>Complete Stage 1 and identify every pass/fail boundary.</x:v>
      </x:c>
      <x:c r="N20" s="125" t="str">
        <x:v>Complete Stage 1 and identify every pass/fail boundary.</x:v>
      </x:c>
    </x:row>
    <x:row r="21">
      <x:c r="A21" s="114" t="str">
        <x:v>Stage 1 uses membrane simulation to determine survivors or actual recovery. Stage 2 uses equilibrium chemistry. Stage-2 inputs must come from Stage 1; they may not be independently reset.</x:v>
      </x:c>
      <x:c r="B21" s="115" t="str">
        <x:v>Stage 1 uses membrane simulation to determine survivors or actual recovery. Stage 2 uses equilibrium chemistry. Stage-2 inputs must come from Stage 1; they may not be independently reset.</x:v>
      </x:c>
      <x:c r="C21" s="115" t="str">
        <x:v>Stage 1 uses membrane simulation to determine survivors or actual recovery. Stage 2 uses equilibrium chemistry. Stage-2 inputs must come from Stage 1; they may not be independently reset.</x:v>
      </x:c>
      <x:c r="D21" s="115" t="str">
        <x:v>Stage 1 uses membrane simulation to determine survivors or actual recovery. Stage 2 uses equilibrium chemistry. Stage-2 inputs must come from Stage 1; they may not be independently reset.</x:v>
      </x:c>
      <x:c r="E21" s="115" t="str">
        <x:v>Stage 1 uses membrane simulation to determine survivors or actual recovery. Stage 2 uses equilibrium chemistry. Stage-2 inputs must come from Stage 1; they may not be independently reset.</x:v>
      </x:c>
      <x:c r="F21" s="116" t="str">
        <x:v>Stage 1 uses membrane simulation to determine survivors or actual recovery. Stage 2 uses equilibrium chemistry. Stage-2 inputs must come from Stage 1; they may not be independently reset.</x:v>
      </x:c>
      <x:c r="G21" s="1"/>
      <x:c r="H21" s="123" t="n">
        <x:v>3</x:v>
      </x:c>
      <x:c r="I21" s="125" t="str">
        <x:v>Transfer the actual Stage-1 recovery or survivor settings into Stage 2.</x:v>
      </x:c>
      <x:c r="J21" s="125" t="str">
        <x:v>Transfer the actual Stage-1 recovery or survivor settings into Stage 2.</x:v>
      </x:c>
      <x:c r="K21" s="125" t="str">
        <x:v>Transfer the actual Stage-1 recovery or survivor settings into Stage 2.</x:v>
      </x:c>
      <x:c r="L21" s="125" t="str">
        <x:v>Transfer the actual Stage-1 recovery or survivor settings into Stage 2.</x:v>
      </x:c>
      <x:c r="M21" s="125" t="str">
        <x:v>Transfer the actual Stage-1 recovery or survivor settings into Stage 2.</x:v>
      </x:c>
      <x:c r="N21" s="125" t="str">
        <x:v>Transfer the actual Stage-1 recovery or survivor settings into Stage 2.</x:v>
      </x:c>
    </x:row>
    <x:row r="22">
      <x:c r="A22" s="114" t="str">
        <x:v>Stage 1 uses membrane simulation to determine survivors or actual recovery. Stage 2 uses equilibrium chemistry. Stage-2 inputs must come from Stage 1; they may not be independently reset.</x:v>
      </x:c>
      <x:c r="B22" s="115" t="str">
        <x:v>Stage 1 uses membrane simulation to determine survivors or actual recovery. Stage 2 uses equilibrium chemistry. Stage-2 inputs must come from Stage 1; they may not be independently reset.</x:v>
      </x:c>
      <x:c r="C22" s="115" t="str">
        <x:v>Stage 1 uses membrane simulation to determine survivors or actual recovery. Stage 2 uses equilibrium chemistry. Stage-2 inputs must come from Stage 1; they may not be independently reset.</x:v>
      </x:c>
      <x:c r="D22" s="115" t="str">
        <x:v>Stage 1 uses membrane simulation to determine survivors or actual recovery. Stage 2 uses equilibrium chemistry. Stage-2 inputs must come from Stage 1; they may not be independently reset.</x:v>
      </x:c>
      <x:c r="E22" s="115" t="str">
        <x:v>Stage 1 uses membrane simulation to determine survivors or actual recovery. Stage 2 uses equilibrium chemistry. Stage-2 inputs must come from Stage 1; they may not be independently reset.</x:v>
      </x:c>
      <x:c r="F22" s="116" t="str">
        <x:v>Stage 1 uses membrane simulation to determine survivors or actual recovery. Stage 2 uses equilibrium chemistry. Stage-2 inputs must come from Stage 1; they may not be independently reset.</x:v>
      </x:c>
      <x:c r="G22" s="1"/>
      <x:c r="H22" s="123" t="n">
        <x:v>4</x:v>
      </x:c>
      <x:c r="I22" s="125" t="str">
        <x:v>Apply Stage-2 constraints without averaging away failed states.</x:v>
      </x:c>
      <x:c r="J22" s="125" t="str">
        <x:v>Apply Stage-2 constraints without averaging away failed states.</x:v>
      </x:c>
      <x:c r="K22" s="125" t="str">
        <x:v>Apply Stage-2 constraints without averaging away failed states.</x:v>
      </x:c>
      <x:c r="L22" s="125" t="str">
        <x:v>Apply Stage-2 constraints without averaging away failed states.</x:v>
      </x:c>
      <x:c r="M22" s="125" t="str">
        <x:v>Apply Stage-2 constraints without averaging away failed states.</x:v>
      </x:c>
      <x:c r="N22" s="125" t="str">
        <x:v>Apply Stage-2 constraints without averaging away failed states.</x:v>
      </x:c>
    </x:row>
    <x:row r="23">
      <x:c r="A23" s="117" t="str">
        <x:v>Stage 1 uses membrane simulation to determine survivors or actual recovery. Stage 2 uses equilibrium chemistry. Stage-2 inputs must come from Stage 1; they may not be independently reset.</x:v>
      </x:c>
      <x:c r="B23" s="118" t="str">
        <x:v>Stage 1 uses membrane simulation to determine survivors or actual recovery. Stage 2 uses equilibrium chemistry. Stage-2 inputs must come from Stage 1; they may not be independently reset.</x:v>
      </x:c>
      <x:c r="C23" s="118" t="str">
        <x:v>Stage 1 uses membrane simulation to determine survivors or actual recovery. Stage 2 uses equilibrium chemistry. Stage-2 inputs must come from Stage 1; they may not be independently reset.</x:v>
      </x:c>
      <x:c r="D23" s="118" t="str">
        <x:v>Stage 1 uses membrane simulation to determine survivors or actual recovery. Stage 2 uses equilibrium chemistry. Stage-2 inputs must come from Stage 1; they may not be independently reset.</x:v>
      </x:c>
      <x:c r="E23" s="118" t="str">
        <x:v>Stage 1 uses membrane simulation to determine survivors or actual recovery. Stage 2 uses equilibrium chemistry. Stage-2 inputs must come from Stage 1; they may not be independently reset.</x:v>
      </x:c>
      <x:c r="F23" s="119" t="str">
        <x:v>Stage 1 uses membrane simulation to determine survivors or actual recovery. Stage 2 uses equilibrium chemistry. Stage-2 inputs must come from Stage 1; they may not be independently reset.</x:v>
      </x:c>
      <x:c r="G23" s="1"/>
      <x:c r="H23" s="123" t="n">
        <x:v>5</x:v>
      </x:c>
      <x:c r="I23" s="125" t="str">
        <x:v>Report the final setting, adjacent failure evidence and model limitations.</x:v>
      </x:c>
      <x:c r="J23" s="125" t="str">
        <x:v>Report the final setting, adjacent failure evidence and model limitations.</x:v>
      </x:c>
      <x:c r="K23" s="125" t="str">
        <x:v>Report the final setting, adjacent failure evidence and model limitations.</x:v>
      </x:c>
      <x:c r="L23" s="125" t="str">
        <x:v>Report the final setting, adjacent failure evidence and model limitations.</x:v>
      </x:c>
      <x:c r="M23" s="125" t="str">
        <x:v>Report the final setting, adjacent failure evidence and model limitations.</x:v>
      </x:c>
      <x:c r="N23" s="125" t="str">
        <x:v>Report the final setting, adjacent failure evidence and model limitations.</x:v>
      </x:c>
    </x:row>
    <x:row r="24">
      <x:c r="A24" s="1"/>
      <x:c r="B24" s="1"/>
      <x:c r="C24" s="1"/>
      <x:c r="D24" s="1"/>
      <x:c r="E24" s="1"/>
      <x:c r="F24" s="1"/>
      <x:c r="G24" s="1"/>
      <x:c r="H24" s="1"/>
      <x:c r="I24" s="1"/>
      <x:c r="J24" s="1"/>
      <x:c r="K24" s="1"/>
      <x:c r="L24" s="1"/>
      <x:c r="M24" s="1"/>
      <x:c r="N24" s="1"/>
    </x:row>
    <x:row r="25">
      <x:c r="A25" s="37" t="str">
        <x:v>Boundary note</x:v>
      </x:c>
      <x:c r="B25" s="37" t="str">
        <x:v>Feed / configuration notes</x:v>
      </x:c>
      <x:c r="C25" s="37" t="str">
        <x:v>Feed / configuration notes</x:v>
      </x:c>
      <x:c r="D25" s="37" t="str">
        <x:v>Feed / configuration notes</x:v>
      </x:c>
      <x:c r="E25" s="37" t="str">
        <x:v>Feed / configuration notes</x:v>
      </x:c>
      <x:c r="F25" s="37" t="str">
        <x:v>Feed / configuration notes</x:v>
      </x:c>
      <x:c r="G25" s="37" t="str">
        <x:v>Feed / configuration notes</x:v>
      </x:c>
      <x:c r="H25" s="37" t="str">
        <x:v>Feed / configuration notes</x:v>
      </x:c>
      <x:c r="I25" s="37" t="str">
        <x:v>Feed / configuration notes</x:v>
      </x:c>
      <x:c r="J25" s="37" t="str">
        <x:v>Feed / configuration notes</x:v>
      </x:c>
      <x:c r="K25" s="37" t="str">
        <x:v>Feed / configuration notes</x:v>
      </x:c>
      <x:c r="L25" s="37" t="str">
        <x:v>Feed / configuration notes</x:v>
      </x:c>
      <x:c r="M25" s="37" t="str">
        <x:v>Feed / configuration notes</x:v>
      </x:c>
      <x:c r="N25" s="37" t="str">
        <x:v>Feed / configuration notes</x:v>
      </x:c>
    </x:row>
    <x:row r="26">
      <x:c r="A26" s="143" t="str">
        <x:v>The second-stage boundary condition must inherit the actual result selected in Stage 1. A nominal design recovery or independently reset configuration is not acceptable, even if it produces a plausible final number.</x:v>
      </x:c>
      <x:c r="B26" s="144" t="str">
        <x:v>Simulator pair: simulate_ro → equilibrate_feed. The task is judged by engineering lineage: a plausible final number without correct transfer of Stage-1 outputs into Stage 2 is not sufficient.</x:v>
      </x:c>
      <x:c r="C26" s="144" t="str">
        <x:v>Simulator pair: simulate_ro → equilibrate_feed. The task is judged by engineering lineage: a plausible final number without correct transfer of Stage-1 outputs into Stage 2 is not sufficient.</x:v>
      </x:c>
      <x:c r="D26" s="144" t="str">
        <x:v>Simulator pair: simulate_ro → equilibrate_feed. The task is judged by engineering lineage: a plausible final number without correct transfer of Stage-1 outputs into Stage 2 is not sufficient.</x:v>
      </x:c>
      <x:c r="E26" s="144" t="str">
        <x:v>Simulator pair: simulate_ro → equilibrate_feed. The task is judged by engineering lineage: a plausible final number without correct transfer of Stage-1 outputs into Stage 2 is not sufficient.</x:v>
      </x:c>
      <x:c r="F26" s="144" t="str">
        <x:v>Simulator pair: simulate_ro → equilibrate_feed. The task is judged by engineering lineage: a plausible final number without correct transfer of Stage-1 outputs into Stage 2 is not sufficient.</x:v>
      </x:c>
      <x:c r="G26" s="144" t="str">
        <x:v>Simulator pair: simulate_ro → equilibrate_feed. The task is judged by engineering lineage: a plausible final number without correct transfer of Stage-1 outputs into Stage 2 is not sufficient.</x:v>
      </x:c>
      <x:c r="H26" s="144" t="str">
        <x:v>Simulator pair: simulate_ro → equilibrate_feed. The task is judged by engineering lineage: a plausible final number without correct transfer of Stage-1 outputs into Stage 2 is not sufficient.</x:v>
      </x:c>
      <x:c r="I26" s="144" t="str">
        <x:v>Simulator pair: simulate_ro → equilibrate_feed. The task is judged by engineering lineage: a plausible final number without correct transfer of Stage-1 outputs into Stage 2 is not sufficient.</x:v>
      </x:c>
      <x:c r="J26" s="144" t="str">
        <x:v>Simulator pair: simulate_ro → equilibrate_feed. The task is judged by engineering lineage: a plausible final number without correct transfer of Stage-1 outputs into Stage 2 is not sufficient.</x:v>
      </x:c>
      <x:c r="K26" s="144" t="str">
        <x:v>Simulator pair: simulate_ro → equilibrate_feed. The task is judged by engineering lineage: a plausible final number without correct transfer of Stage-1 outputs into Stage 2 is not sufficient.</x:v>
      </x:c>
      <x:c r="L26" s="144" t="str">
        <x:v>Simulator pair: simulate_ro → equilibrate_feed. The task is judged by engineering lineage: a plausible final number without correct transfer of Stage-1 outputs into Stage 2 is not sufficient.</x:v>
      </x:c>
      <x:c r="M26" s="144" t="str">
        <x:v>Simulator pair: simulate_ro → equilibrate_feed. The task is judged by engineering lineage: a plausible final number without correct transfer of Stage-1 outputs into Stage 2 is not sufficient.</x:v>
      </x:c>
      <x:c r="N26" s="145" t="str">
        <x:v>Simulator pair: simulate_ro → equilibrate_feed. The task is judged by engineering lineage: a plausible final number without correct transfer of Stage-1 outputs into Stage 2 is not sufficient.</x:v>
      </x:c>
    </x:row>
    <x:row r="27">
      <x:c r="A27" s="146" t="str">
        <x:v>Simulator pair: simulate_ro → equilibrate_feed. The task is judged by engineering lineage: a plausible final number without correct transfer of Stage-1 outputs into Stage 2 is not sufficient.</x:v>
      </x:c>
      <x:c r="B27" s="147" t="str">
        <x:v>Simulator pair: simulate_ro → equilibrate_feed. The task is judged by engineering lineage: a plausible final number without correct transfer of Stage-1 outputs into Stage 2 is not sufficient.</x:v>
      </x:c>
      <x:c r="C27" s="147" t="str">
        <x:v>Simulator pair: simulate_ro → equilibrate_feed. The task is judged by engineering lineage: a plausible final number without correct transfer of Stage-1 outputs into Stage 2 is not sufficient.</x:v>
      </x:c>
      <x:c r="D27" s="147" t="str">
        <x:v>Simulator pair: simulate_ro → equilibrate_feed. The task is judged by engineering lineage: a plausible final number without correct transfer of Stage-1 outputs into Stage 2 is not sufficient.</x:v>
      </x:c>
      <x:c r="E27" s="147" t="str">
        <x:v>Simulator pair: simulate_ro → equilibrate_feed. The task is judged by engineering lineage: a plausible final number without correct transfer of Stage-1 outputs into Stage 2 is not sufficient.</x:v>
      </x:c>
      <x:c r="F27" s="147" t="str">
        <x:v>Simulator pair: simulate_ro → equilibrate_feed. The task is judged by engineering lineage: a plausible final number without correct transfer of Stage-1 outputs into Stage 2 is not sufficient.</x:v>
      </x:c>
      <x:c r="G27" s="147" t="str">
        <x:v>Simulator pair: simulate_ro → equilibrate_feed. The task is judged by engineering lineage: a plausible final number without correct transfer of Stage-1 outputs into Stage 2 is not sufficient.</x:v>
      </x:c>
      <x:c r="H27" s="147" t="str">
        <x:v>Simulator pair: simulate_ro → equilibrate_feed. The task is judged by engineering lineage: a plausible final number without correct transfer of Stage-1 outputs into Stage 2 is not sufficient.</x:v>
      </x:c>
      <x:c r="I27" s="147" t="str">
        <x:v>Simulator pair: simulate_ro → equilibrate_feed. The task is judged by engineering lineage: a plausible final number without correct transfer of Stage-1 outputs into Stage 2 is not sufficient.</x:v>
      </x:c>
      <x:c r="J27" s="147" t="str">
        <x:v>Simulator pair: simulate_ro → equilibrate_feed. The task is judged by engineering lineage: a plausible final number without correct transfer of Stage-1 outputs into Stage 2 is not sufficient.</x:v>
      </x:c>
      <x:c r="K27" s="147" t="str">
        <x:v>Simulator pair: simulate_ro → equilibrate_feed. The task is judged by engineering lineage: a plausible final number without correct transfer of Stage-1 outputs into Stage 2 is not sufficient.</x:v>
      </x:c>
      <x:c r="L27" s="147" t="str">
        <x:v>Simulator pair: simulate_ro → equilibrate_feed. The task is judged by engineering lineage: a plausible final number without correct transfer of Stage-1 outputs into Stage 2 is not sufficient.</x:v>
      </x:c>
      <x:c r="M27" s="147" t="str">
        <x:v>Simulator pair: simulate_ro → equilibrate_feed. The task is judged by engineering lineage: a plausible final number without correct transfer of Stage-1 outputs into Stage 2 is not sufficient.</x:v>
      </x:c>
      <x:c r="N27" s="148" t="str">
        <x:v>Simulator pair: simulate_ro → equilibrate_feed. The task is judged by engineering lineage: a plausible final number without correct transfer of Stage-1 outputs into Stage 2 is not sufficient.</x:v>
      </x:c>
    </x:row>
    <x:row r="28">
      <x:c r="A28" s="146" t="str">
        <x:v>Simulator pair: simulate_ro → equilibrate_feed. The task is judged by engineering lineage: a plausible final number without correct transfer of Stage-1 outputs into Stage 2 is not sufficient.</x:v>
      </x:c>
      <x:c r="B28" s="147" t="str">
        <x:v>Simulator pair: simulate_ro → equilibrate_feed. The task is judged by engineering lineage: a plausible final number without correct transfer of Stage-1 outputs into Stage 2 is not sufficient.</x:v>
      </x:c>
      <x:c r="C28" s="147" t="str">
        <x:v>Simulator pair: simulate_ro → equilibrate_feed. The task is judged by engineering lineage: a plausible final number without correct transfer of Stage-1 outputs into Stage 2 is not sufficient.</x:v>
      </x:c>
      <x:c r="D28" s="147" t="str">
        <x:v>Simulator pair: simulate_ro → equilibrate_feed. The task is judged by engineering lineage: a plausible final number without correct transfer of Stage-1 outputs into Stage 2 is not sufficient.</x:v>
      </x:c>
      <x:c r="E28" s="147" t="str">
        <x:v>Simulator pair: simulate_ro → equilibrate_feed. The task is judged by engineering lineage: a plausible final number without correct transfer of Stage-1 outputs into Stage 2 is not sufficient.</x:v>
      </x:c>
      <x:c r="F28" s="147" t="str">
        <x:v>Simulator pair: simulate_ro → equilibrate_feed. The task is judged by engineering lineage: a plausible final number without correct transfer of Stage-1 outputs into Stage 2 is not sufficient.</x:v>
      </x:c>
      <x:c r="G28" s="147" t="str">
        <x:v>Simulator pair: simulate_ro → equilibrate_feed. The task is judged by engineering lineage: a plausible final number without correct transfer of Stage-1 outputs into Stage 2 is not sufficient.</x:v>
      </x:c>
      <x:c r="H28" s="147" t="str">
        <x:v>Simulator pair: simulate_ro → equilibrate_feed. The task is judged by engineering lineage: a plausible final number without correct transfer of Stage-1 outputs into Stage 2 is not sufficient.</x:v>
      </x:c>
      <x:c r="I28" s="147" t="str">
        <x:v>Simulator pair: simulate_ro → equilibrate_feed. The task is judged by engineering lineage: a plausible final number without correct transfer of Stage-1 outputs into Stage 2 is not sufficient.</x:v>
      </x:c>
      <x:c r="J28" s="147" t="str">
        <x:v>Simulator pair: simulate_ro → equilibrate_feed. The task is judged by engineering lineage: a plausible final number without correct transfer of Stage-1 outputs into Stage 2 is not sufficient.</x:v>
      </x:c>
      <x:c r="K28" s="147" t="str">
        <x:v>Simulator pair: simulate_ro → equilibrate_feed. The task is judged by engineering lineage: a plausible final number without correct transfer of Stage-1 outputs into Stage 2 is not sufficient.</x:v>
      </x:c>
      <x:c r="L28" s="147" t="str">
        <x:v>Simulator pair: simulate_ro → equilibrate_feed. The task is judged by engineering lineage: a plausible final number without correct transfer of Stage-1 outputs into Stage 2 is not sufficient.</x:v>
      </x:c>
      <x:c r="M28" s="147" t="str">
        <x:v>Simulator pair: simulate_ro → equilibrate_feed. The task is judged by engineering lineage: a plausible final number without correct transfer of Stage-1 outputs into Stage 2 is not sufficient.</x:v>
      </x:c>
      <x:c r="N28" s="148" t="str">
        <x:v>Simulator pair: simulate_ro → equilibrate_feed. The task is judged by engineering lineage: a plausible final number without correct transfer of Stage-1 outputs into Stage 2 is not sufficient.</x:v>
      </x:c>
    </x:row>
    <x:row r="29">
      <x:c r="A29" s="149" t="str">
        <x:v>Simulator pair: simulate_ro → equilibrate_feed. The task is judged by engineering lineage: a plausible final number without correct transfer of Stage-1 outputs into Stage 2 is not sufficient.</x:v>
      </x:c>
      <x:c r="B29" s="150" t="str">
        <x:v>Simulator pair: simulate_ro → equilibrate_feed. The task is judged by engineering lineage: a plausible final number without correct transfer of Stage-1 outputs into Stage 2 is not sufficient.</x:v>
      </x:c>
      <x:c r="C29" s="150" t="str">
        <x:v>Simulator pair: simulate_ro → equilibrate_feed. The task is judged by engineering lineage: a plausible final number without correct transfer of Stage-1 outputs into Stage 2 is not sufficient.</x:v>
      </x:c>
      <x:c r="D29" s="150" t="str">
        <x:v>Simulator pair: simulate_ro → equilibrate_feed. The task is judged by engineering lineage: a plausible final number without correct transfer of Stage-1 outputs into Stage 2 is not sufficient.</x:v>
      </x:c>
      <x:c r="E29" s="150" t="str">
        <x:v>Simulator pair: simulate_ro → equilibrate_feed. The task is judged by engineering lineage: a plausible final number without correct transfer of Stage-1 outputs into Stage 2 is not sufficient.</x:v>
      </x:c>
      <x:c r="F29" s="150" t="str">
        <x:v>Simulator pair: simulate_ro → equilibrate_feed. The task is judged by engineering lineage: a plausible final number without correct transfer of Stage-1 outputs into Stage 2 is not sufficient.</x:v>
      </x:c>
      <x:c r="G29" s="150" t="str">
        <x:v>Simulator pair: simulate_ro → equilibrate_feed. The task is judged by engineering lineage: a plausible final number without correct transfer of Stage-1 outputs into Stage 2 is not sufficient.</x:v>
      </x:c>
      <x:c r="H29" s="150" t="str">
        <x:v>Simulator pair: simulate_ro → equilibrate_feed. The task is judged by engineering lineage: a plausible final number without correct transfer of Stage-1 outputs into Stage 2 is not sufficient.</x:v>
      </x:c>
      <x:c r="I29" s="150" t="str">
        <x:v>Simulator pair: simulate_ro → equilibrate_feed. The task is judged by engineering lineage: a plausible final number without correct transfer of Stage-1 outputs into Stage 2 is not sufficient.</x:v>
      </x:c>
      <x:c r="J29" s="150" t="str">
        <x:v>Simulator pair: simulate_ro → equilibrate_feed. The task is judged by engineering lineage: a plausible final number without correct transfer of Stage-1 outputs into Stage 2 is not sufficient.</x:v>
      </x:c>
      <x:c r="K29" s="150" t="str">
        <x:v>Simulator pair: simulate_ro → equilibrate_feed. The task is judged by engineering lineage: a plausible final number without correct transfer of Stage-1 outputs into Stage 2 is not sufficient.</x:v>
      </x:c>
      <x:c r="L29" s="150" t="str">
        <x:v>Simulator pair: simulate_ro → equilibrate_feed. The task is judged by engineering lineage: a plausible final number without correct transfer of Stage-1 outputs into Stage 2 is not sufficient.</x:v>
      </x:c>
      <x:c r="M29" s="150" t="str">
        <x:v>Simulator pair: simulate_ro → equilibrate_feed. The task is judged by engineering lineage: a plausible final number without correct transfer of Stage-1 outputs into Stage 2 is not sufficient.</x:v>
      </x:c>
      <x:c r="N29" s="151" t="str">
        <x:v>Simulator pair: simulate_ro → equilibrate_feed. The task is judged by engineering lineage: a plausible final number without correct transfer of Stage-1 outputs into Stage 2 is not sufficient.</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Gold Answer | D6_6b-N03</x:v>
      </x:c>
      <x:c r="B1" s="6" t="str">
        <x:v>Gold Answer | D6_6b-N03</x:v>
      </x:c>
      <x:c r="C1" s="6" t="str">
        <x:v>Gold Answer | D6_6b-N03</x:v>
      </x:c>
      <x:c r="D1" s="6" t="str">
        <x:v>Gold Answer | D6_6b-N03</x:v>
      </x:c>
      <x:c r="E1" s="6" t="str">
        <x:v>Gold Answer | D6_6b-N03</x:v>
      </x:c>
      <x:c r="F1" s="6" t="str">
        <x:v>Gold Answer | D6_6b-N03</x:v>
      </x:c>
      <x:c r="G1" s="6" t="str">
        <x:v>Gold Answer | D6_6b-N03</x:v>
      </x:c>
      <x:c r="H1" s="6" t="str">
        <x:v>Gold Answer | D6_6b-N03</x:v>
      </x:c>
      <x:c r="I1" s="6" t="str">
        <x:v>Gold Answer | D6_6b-N03</x:v>
      </x:c>
      <x:c r="J1" s="6" t="str">
        <x:v>Gold Answer | D6_6b-N03</x:v>
      </x:c>
      <x:c r="K1" s="6" t="str">
        <x:v>Gold Answer | D6_6b-N03</x:v>
      </x:c>
      <x:c r="L1" s="6" t="str">
        <x:v>Gold Answer | D6_6b-N03</x:v>
      </x:c>
      <x:c r="M1" s="6" t="str">
        <x:v>Gold Answer | D6_6b-N03</x:v>
      </x:c>
      <x:c r="N1" s="6" t="str">
        <x:v>Gold Answer | D6_6b-N03</x:v>
      </x:c>
    </x:row>
    <x:row r="2" ht="28" customHeight="1">
      <x:c r="A2" s="6" t="str">
        <x:v>Gold Answer | D6_6b-N03</x:v>
      </x:c>
      <x:c r="B2" s="6" t="str">
        <x:v>Gold Answer | D6_6b-N03</x:v>
      </x:c>
      <x:c r="C2" s="6" t="str">
        <x:v>Gold Answer | D6_6b-N03</x:v>
      </x:c>
      <x:c r="D2" s="6" t="str">
        <x:v>Gold Answer | D6_6b-N03</x:v>
      </x:c>
      <x:c r="E2" s="6" t="str">
        <x:v>Gold Answer | D6_6b-N03</x:v>
      </x:c>
      <x:c r="F2" s="6" t="str">
        <x:v>Gold Answer | D6_6b-N03</x:v>
      </x:c>
      <x:c r="G2" s="6" t="str">
        <x:v>Gold Answer | D6_6b-N03</x:v>
      </x:c>
      <x:c r="H2" s="6" t="str">
        <x:v>Gold Answer | D6_6b-N03</x:v>
      </x:c>
      <x:c r="I2" s="6" t="str">
        <x:v>Gold Answer | D6_6b-N03</x:v>
      </x:c>
      <x:c r="J2" s="6" t="str">
        <x:v>Gold Answer | D6_6b-N03</x:v>
      </x:c>
      <x:c r="K2" s="6" t="str">
        <x:v>Gold Answer | D6_6b-N03</x:v>
      </x:c>
      <x:c r="L2" s="6" t="str">
        <x:v>Gold Answer | D6_6b-N03</x:v>
      </x:c>
      <x:c r="M2" s="6" t="str">
        <x:v>Gold Answer | D6_6b-N03</x:v>
      </x:c>
      <x:c r="N2" s="6" t="str">
        <x:v>Gold Answer | D6_6b-N03</x:v>
      </x:c>
    </x:row>
    <x:row r="3">
      <x:c r="A3" s="1"/>
      <x:c r="B3" s="1"/>
      <x:c r="C3" s="1"/>
      <x:c r="D3" s="1"/>
      <x:c r="E3" s="1"/>
      <x:c r="F3" s="1"/>
      <x:c r="G3" s="1"/>
      <x:c r="H3" s="1"/>
      <x:c r="I3" s="1"/>
      <x:c r="J3" s="1"/>
      <x:c r="K3" s="1"/>
      <x:c r="L3" s="1"/>
      <x:c r="M3" s="1"/>
      <x:c r="N3" s="1"/>
    </x:row>
    <x:row r="4">
      <x:c r="A4" s="170" t="str">
        <x:v>Recommend 26 bar with 0.0010 mol/s HCl. It produces 0.38368 kg/s at 38.6016% recovery and 54.39 mg/L NaCl, with Gypsum SI=−0.00715. At 30 bar production rises to 0.45804 kg/s, but Gypsum SI=+0.05047, requiring rollback.</x:v>
      </x:c>
      <x:c r="B4" s="171" t="str">
        <x:v>Recommend 26 bar with 0.0010 mol/s HCl. It produces 0.38368 kg/s at 38.6016% recovery and 54.39 mg/L NaCl, with Gypsum SI=−0.00715. At 30 bar production rises to 0.45804 kg/s, but Gypsum SI=+0.05047, requiring rollback.</x:v>
      </x:c>
      <x:c r="C4" s="171" t="str">
        <x:v>Recommend 26 bar with 0.0010 mol/s HCl. It produces 0.38368 kg/s at 38.6016% recovery and 54.39 mg/L NaCl, with Gypsum SI=−0.00715. At 30 bar production rises to 0.45804 kg/s, but Gypsum SI=+0.05047, requiring rollback.</x:v>
      </x:c>
      <x:c r="D4" s="171" t="str">
        <x:v>Recommend 26 bar with 0.0010 mol/s HCl. It produces 0.38368 kg/s at 38.6016% recovery and 54.39 mg/L NaCl, with Gypsum SI=−0.00715. At 30 bar production rises to 0.45804 kg/s, but Gypsum SI=+0.05047, requiring rollback.</x:v>
      </x:c>
      <x:c r="E4" s="171" t="str">
        <x:v>Recommend 26 bar with 0.0010 mol/s HCl. It produces 0.38368 kg/s at 38.6016% recovery and 54.39 mg/L NaCl, with Gypsum SI=−0.00715. At 30 bar production rises to 0.45804 kg/s, but Gypsum SI=+0.05047, requiring rollback.</x:v>
      </x:c>
      <x:c r="F4" s="171" t="str">
        <x:v>Recommend 26 bar with 0.0010 mol/s HCl. It produces 0.38368 kg/s at 38.6016% recovery and 54.39 mg/L NaCl, with Gypsum SI=−0.00715. At 30 bar production rises to 0.45804 kg/s, but Gypsum SI=+0.05047, requiring rollback.</x:v>
      </x:c>
      <x:c r="G4" s="171" t="str">
        <x:v>Recommend 26 bar with 0.0010 mol/s HCl. It produces 0.38368 kg/s at 38.6016% recovery and 54.39 mg/L NaCl, with Gypsum SI=−0.00715. At 30 bar production rises to 0.45804 kg/s, but Gypsum SI=+0.05047, requiring rollback.</x:v>
      </x:c>
      <x:c r="H4" s="171" t="str">
        <x:v>Recommend 26 bar with 0.0010 mol/s HCl. It produces 0.38368 kg/s at 38.6016% recovery and 54.39 mg/L NaCl, with Gypsum SI=−0.00715. At 30 bar production rises to 0.45804 kg/s, but Gypsum SI=+0.05047, requiring rollback.</x:v>
      </x:c>
      <x:c r="I4" s="171" t="str">
        <x:v>Recommend 26 bar with 0.0010 mol/s HCl. It produces 0.38368 kg/s at 38.6016% recovery and 54.39 mg/L NaCl, with Gypsum SI=−0.00715. At 30 bar production rises to 0.45804 kg/s, but Gypsum SI=+0.05047, requiring rollback.</x:v>
      </x:c>
      <x:c r="J4" s="171" t="str">
        <x:v>Recommend 26 bar with 0.0010 mol/s HCl. It produces 0.38368 kg/s at 38.6016% recovery and 54.39 mg/L NaCl, with Gypsum SI=−0.00715. At 30 bar production rises to 0.45804 kg/s, but Gypsum SI=+0.05047, requiring rollback.</x:v>
      </x:c>
      <x:c r="K4" s="171" t="str">
        <x:v>Recommend 26 bar with 0.0010 mol/s HCl. It produces 0.38368 kg/s at 38.6016% recovery and 54.39 mg/L NaCl, with Gypsum SI=−0.00715. At 30 bar production rises to 0.45804 kg/s, but Gypsum SI=+0.05047, requiring rollback.</x:v>
      </x:c>
      <x:c r="L4" s="171" t="str">
        <x:v>Recommend 26 bar with 0.0010 mol/s HCl. It produces 0.38368 kg/s at 38.6016% recovery and 54.39 mg/L NaCl, with Gypsum SI=−0.00715. At 30 bar production rises to 0.45804 kg/s, but Gypsum SI=+0.05047, requiring rollback.</x:v>
      </x:c>
      <x:c r="M4" s="171" t="str">
        <x:v>Recommend 26 bar with 0.0010 mol/s HCl. It produces 0.38368 kg/s at 38.6016% recovery and 54.39 mg/L NaCl, with Gypsum SI=−0.00715. At 30 bar production rises to 0.45804 kg/s, but Gypsum SI=+0.05047, requiring rollback.</x:v>
      </x:c>
      <x:c r="N4" s="172" t="str">
        <x:v>Recommend 26 bar with 0.0010 mol/s HCl. It produces 0.38368 kg/s at 38.6016% recovery and 54.39 mg/L NaCl, with Gypsum SI=−0.00715. At 30 bar production rises to 0.45804 kg/s, but Gypsum SI=+0.05047, requiring rollback.</x:v>
      </x:c>
    </x:row>
    <x:row r="5">
      <x:c r="A5" s="173" t="str">
        <x:v>Recommend 26 bar with 0.0010 mol/s HCl. It produces 0.38368 kg/s at 38.6016% recovery and 54.39 mg/L NaCl, with Gypsum SI=−0.00715. At 30 bar production rises to 0.45804 kg/s, but Gypsum SI=+0.05047, requiring rollback.</x:v>
      </x:c>
      <x:c r="B5" s="174" t="str">
        <x:v>Recommend 26 bar with 0.0010 mol/s HCl. It produces 0.38368 kg/s at 38.6016% recovery and 54.39 mg/L NaCl, with Gypsum SI=−0.00715. At 30 bar production rises to 0.45804 kg/s, but Gypsum SI=+0.05047, requiring rollback.</x:v>
      </x:c>
      <x:c r="C5" s="174" t="str">
        <x:v>Recommend 26 bar with 0.0010 mol/s HCl. It produces 0.38368 kg/s at 38.6016% recovery and 54.39 mg/L NaCl, with Gypsum SI=−0.00715. At 30 bar production rises to 0.45804 kg/s, but Gypsum SI=+0.05047, requiring rollback.</x:v>
      </x:c>
      <x:c r="D5" s="174" t="str">
        <x:v>Recommend 26 bar with 0.0010 mol/s HCl. It produces 0.38368 kg/s at 38.6016% recovery and 54.39 mg/L NaCl, with Gypsum SI=−0.00715. At 30 bar production rises to 0.45804 kg/s, but Gypsum SI=+0.05047, requiring rollback.</x:v>
      </x:c>
      <x:c r="E5" s="174" t="str">
        <x:v>Recommend 26 bar with 0.0010 mol/s HCl. It produces 0.38368 kg/s at 38.6016% recovery and 54.39 mg/L NaCl, with Gypsum SI=−0.00715. At 30 bar production rises to 0.45804 kg/s, but Gypsum SI=+0.05047, requiring rollback.</x:v>
      </x:c>
      <x:c r="F5" s="174" t="str">
        <x:v>Recommend 26 bar with 0.0010 mol/s HCl. It produces 0.38368 kg/s at 38.6016% recovery and 54.39 mg/L NaCl, with Gypsum SI=−0.00715. At 30 bar production rises to 0.45804 kg/s, but Gypsum SI=+0.05047, requiring rollback.</x:v>
      </x:c>
      <x:c r="G5" s="174" t="str">
        <x:v>Recommend 26 bar with 0.0010 mol/s HCl. It produces 0.38368 kg/s at 38.6016% recovery and 54.39 mg/L NaCl, with Gypsum SI=−0.00715. At 30 bar production rises to 0.45804 kg/s, but Gypsum SI=+0.05047, requiring rollback.</x:v>
      </x:c>
      <x:c r="H5" s="174" t="str">
        <x:v>Recommend 26 bar with 0.0010 mol/s HCl. It produces 0.38368 kg/s at 38.6016% recovery and 54.39 mg/L NaCl, with Gypsum SI=−0.00715. At 30 bar production rises to 0.45804 kg/s, but Gypsum SI=+0.05047, requiring rollback.</x:v>
      </x:c>
      <x:c r="I5" s="174" t="str">
        <x:v>Recommend 26 bar with 0.0010 mol/s HCl. It produces 0.38368 kg/s at 38.6016% recovery and 54.39 mg/L NaCl, with Gypsum SI=−0.00715. At 30 bar production rises to 0.45804 kg/s, but Gypsum SI=+0.05047, requiring rollback.</x:v>
      </x:c>
      <x:c r="J5" s="174" t="str">
        <x:v>Recommend 26 bar with 0.0010 mol/s HCl. It produces 0.38368 kg/s at 38.6016% recovery and 54.39 mg/L NaCl, with Gypsum SI=−0.00715. At 30 bar production rises to 0.45804 kg/s, but Gypsum SI=+0.05047, requiring rollback.</x:v>
      </x:c>
      <x:c r="K5" s="174" t="str">
        <x:v>Recommend 26 bar with 0.0010 mol/s HCl. It produces 0.38368 kg/s at 38.6016% recovery and 54.39 mg/L NaCl, with Gypsum SI=−0.00715. At 30 bar production rises to 0.45804 kg/s, but Gypsum SI=+0.05047, requiring rollback.</x:v>
      </x:c>
      <x:c r="L5" s="174" t="str">
        <x:v>Recommend 26 bar with 0.0010 mol/s HCl. It produces 0.38368 kg/s at 38.6016% recovery and 54.39 mg/L NaCl, with Gypsum SI=−0.00715. At 30 bar production rises to 0.45804 kg/s, but Gypsum SI=+0.05047, requiring rollback.</x:v>
      </x:c>
      <x:c r="M5" s="174" t="str">
        <x:v>Recommend 26 bar with 0.0010 mol/s HCl. It produces 0.38368 kg/s at 38.6016% recovery and 54.39 mg/L NaCl, with Gypsum SI=−0.00715. At 30 bar production rises to 0.45804 kg/s, but Gypsum SI=+0.05047, requiring rollback.</x:v>
      </x:c>
      <x:c r="N5" s="175" t="str">
        <x:v>Recommend 26 bar with 0.0010 mol/s HCl. It produces 0.38368 kg/s at 38.6016% recovery and 54.39 mg/L NaCl, with Gypsum SI=−0.00715. At 30 bar production rises to 0.45804 kg/s, but Gypsum SI=+0.05047, requiring rollback.</x:v>
      </x:c>
    </x:row>
    <x:row r="6">
      <x:c r="A6" s="176" t="str">
        <x:v>Recommend 26 bar with 0.0010 mol/s HCl. It produces 0.38368 kg/s at 38.6016% recovery and 54.39 mg/L NaCl, with Gypsum SI=−0.00715. At 30 bar production rises to 0.45804 kg/s, but Gypsum SI=+0.05047, requiring rollback.</x:v>
      </x:c>
      <x:c r="B6" s="177" t="str">
        <x:v>Recommend 26 bar with 0.0010 mol/s HCl. It produces 0.38368 kg/s at 38.6016% recovery and 54.39 mg/L NaCl, with Gypsum SI=−0.00715. At 30 bar production rises to 0.45804 kg/s, but Gypsum SI=+0.05047, requiring rollback.</x:v>
      </x:c>
      <x:c r="C6" s="177" t="str">
        <x:v>Recommend 26 bar with 0.0010 mol/s HCl. It produces 0.38368 kg/s at 38.6016% recovery and 54.39 mg/L NaCl, with Gypsum SI=−0.00715. At 30 bar production rises to 0.45804 kg/s, but Gypsum SI=+0.05047, requiring rollback.</x:v>
      </x:c>
      <x:c r="D6" s="177" t="str">
        <x:v>Recommend 26 bar with 0.0010 mol/s HCl. It produces 0.38368 kg/s at 38.6016% recovery and 54.39 mg/L NaCl, with Gypsum SI=−0.00715. At 30 bar production rises to 0.45804 kg/s, but Gypsum SI=+0.05047, requiring rollback.</x:v>
      </x:c>
      <x:c r="E6" s="177" t="str">
        <x:v>Recommend 26 bar with 0.0010 mol/s HCl. It produces 0.38368 kg/s at 38.6016% recovery and 54.39 mg/L NaCl, with Gypsum SI=−0.00715. At 30 bar production rises to 0.45804 kg/s, but Gypsum SI=+0.05047, requiring rollback.</x:v>
      </x:c>
      <x:c r="F6" s="177" t="str">
        <x:v>Recommend 26 bar with 0.0010 mol/s HCl. It produces 0.38368 kg/s at 38.6016% recovery and 54.39 mg/L NaCl, with Gypsum SI=−0.00715. At 30 bar production rises to 0.45804 kg/s, but Gypsum SI=+0.05047, requiring rollback.</x:v>
      </x:c>
      <x:c r="G6" s="177" t="str">
        <x:v>Recommend 26 bar with 0.0010 mol/s HCl. It produces 0.38368 kg/s at 38.6016% recovery and 54.39 mg/L NaCl, with Gypsum SI=−0.00715. At 30 bar production rises to 0.45804 kg/s, but Gypsum SI=+0.05047, requiring rollback.</x:v>
      </x:c>
      <x:c r="H6" s="177" t="str">
        <x:v>Recommend 26 bar with 0.0010 mol/s HCl. It produces 0.38368 kg/s at 38.6016% recovery and 54.39 mg/L NaCl, with Gypsum SI=−0.00715. At 30 bar production rises to 0.45804 kg/s, but Gypsum SI=+0.05047, requiring rollback.</x:v>
      </x:c>
      <x:c r="I6" s="177" t="str">
        <x:v>Recommend 26 bar with 0.0010 mol/s HCl. It produces 0.38368 kg/s at 38.6016% recovery and 54.39 mg/L NaCl, with Gypsum SI=−0.00715. At 30 bar production rises to 0.45804 kg/s, but Gypsum SI=+0.05047, requiring rollback.</x:v>
      </x:c>
      <x:c r="J6" s="177" t="str">
        <x:v>Recommend 26 bar with 0.0010 mol/s HCl. It produces 0.38368 kg/s at 38.6016% recovery and 54.39 mg/L NaCl, with Gypsum SI=−0.00715. At 30 bar production rises to 0.45804 kg/s, but Gypsum SI=+0.05047, requiring rollback.</x:v>
      </x:c>
      <x:c r="K6" s="177" t="str">
        <x:v>Recommend 26 bar with 0.0010 mol/s HCl. It produces 0.38368 kg/s at 38.6016% recovery and 54.39 mg/L NaCl, with Gypsum SI=−0.00715. At 30 bar production rises to 0.45804 kg/s, but Gypsum SI=+0.05047, requiring rollback.</x:v>
      </x:c>
      <x:c r="L6" s="177" t="str">
        <x:v>Recommend 26 bar with 0.0010 mol/s HCl. It produces 0.38368 kg/s at 38.6016% recovery and 54.39 mg/L NaCl, with Gypsum SI=−0.00715. At 30 bar production rises to 0.45804 kg/s, but Gypsum SI=+0.05047, requiring rollback.</x:v>
      </x:c>
      <x:c r="M6" s="177" t="str">
        <x:v>Recommend 26 bar with 0.0010 mol/s HCl. It produces 0.38368 kg/s at 38.6016% recovery and 54.39 mg/L NaCl, with Gypsum SI=−0.00715. At 30 bar production rises to 0.45804 kg/s, but Gypsum SI=+0.05047, requiring rollback.</x:v>
      </x:c>
      <x:c r="N6" s="178" t="str">
        <x:v>Recommend 26 bar with 0.0010 mol/s HCl. It produces 0.38368 kg/s at 38.6016% recovery and 54.39 mg/L NaCl, with Gypsum SI=−0.00715. At 30 bar production rises to 0.45804 kg/s, but Gypsum SI=+0.05047, requiring rollback.</x:v>
      </x:c>
    </x:row>
    <x:row r="7">
      <x:c r="A7" s="1"/>
      <x:c r="B7" s="1"/>
      <x:c r="C7" s="1"/>
      <x:c r="D7" s="1"/>
      <x:c r="E7" s="1"/>
      <x:c r="F7" s="1"/>
      <x:c r="G7" s="1"/>
      <x:c r="H7" s="1"/>
      <x:c r="I7" s="1"/>
      <x:c r="J7" s="1"/>
      <x:c r="K7" s="1"/>
      <x:c r="L7" s="1"/>
      <x:c r="M7" s="1"/>
      <x:c r="N7" s="1"/>
    </x:row>
    <x:row r="8">
      <x:c r="A8" s="37" t="str">
        <x:v>Stage 1 | simulate_ro results</x:v>
      </x:c>
      <x:c r="B8" s="37" t="str">
        <x:v>Stage 1 | simulate_ro results</x:v>
      </x:c>
      <x:c r="C8" s="37" t="str">
        <x:v>Stage 1 | simulate_ro results</x:v>
      </x:c>
      <x:c r="D8" s="37" t="str">
        <x:v>Stage 1 | simulate_ro results</x:v>
      </x:c>
      <x:c r="E8" s="37" t="str">
        <x:v>Stage 1 | simulate_ro results</x:v>
      </x:c>
      <x:c r="F8" s="37" t="str">
        <x:v>Stage 1 | simulate_ro results</x:v>
      </x:c>
      <x:c r="G8" s="37" t="str">
        <x:v>Stage 1 | simulate_ro results</x:v>
      </x:c>
      <x:c r="H8" s="37" t="str">
        <x:v>Stage 1 | simulate_ro results</x:v>
      </x:c>
      <x:c r="I8" s="37" t="str">
        <x:v>Stage 1 | simulate_ro results</x:v>
      </x:c>
      <x:c r="J8" s="37" t="str">
        <x:v>Stage 1 | simulate_ro results</x:v>
      </x:c>
      <x:c r="K8" s="1"/>
      <x:c r="L8" s="1"/>
      <x:c r="M8" s="1"/>
      <x:c r="N8" s="1"/>
    </x:row>
    <x:row r="9">
      <x:c r="A9" s="183" t="str">
        <x:v>ID</x:v>
      </x:c>
      <x:c r="B9" s="183" t="str">
        <x:v>Setting</x:v>
      </x:c>
      <x:c r="C9" s="183" t="str">
        <x:v>Water kg/s</x:v>
      </x:c>
      <x:c r="D9" s="183" t="str">
        <x:v>NaCl mg/L</x:v>
      </x:c>
      <x:c r="E9" s="183" t="str">
        <x:v>Recovery %</x:v>
      </x:c>
      <x:c r="F9" s="183" t="str">
        <x:v>Flux LMH</x:v>
      </x:c>
      <x:c r="G9" s="183" t="str">
        <x:v>Inlet CP</x:v>
      </x:c>
      <x:c r="H9" s="183" t="str">
        <x:v>Status</x:v>
      </x:c>
      <x:c r="I9" s="1"/>
      <x:c r="J9" s="1"/>
      <x:c r="K9" s="1" t="str">
        <x:v>Candidate</x:v>
      </x:c>
      <x:c r="L9" s="1" t="str">
        <x:v>Water kg/s</x:v>
      </x:c>
      <x:c r="M9" s="1"/>
      <x:c r="N9" s="1"/>
    </x:row>
    <x:row r="10">
      <x:c r="A10" s="187" t="str">
        <x:v>P18</x:v>
      </x:c>
      <x:c r="B10" s="187" t="str">
        <x:v>18 bar</x:v>
      </x:c>
      <x:c r="C10" s="188" t="n">
        <x:v>0.22003645675469757</x:v>
      </x:c>
      <x:c r="D10" s="188" t="n">
        <x:v>76.13102201601474</x:v>
      </x:c>
      <x:c r="E10" s="188" t="n">
        <x:v>22.137797384241065</x:v>
      </x:c>
      <x:c r="F10" s="188" t="n">
        <x:v>13.202187405281855</x:v>
      </x:c>
      <x:c r="G10" s="188" t="n">
        <x:v>1.1223714623011025</x:v>
      </x:c>
      <x:c r="H10" s="187" t="str">
        <x:f>IF(AND(C10&gt;=0.38,D10&lt;=100,G10&lt;=1.3),"PASS","FAIL")</x:f>
        <x:v>FAIL</x:v>
      </x:c>
      <x:c r="I10" s="1"/>
      <x:c r="J10" s="1"/>
      <x:c r="K10" s="1" t="str">
        <x:v>P18</x:v>
      </x:c>
      <x:c r="L10" s="1" t="n">
        <x:v>0.22003645675469757</x:v>
      </x:c>
      <x:c r="M10" s="1"/>
      <x:c r="N10" s="1"/>
    </x:row>
    <x:row r="11">
      <x:c r="A11" s="187" t="str">
        <x:v>P22</x:v>
      </x:c>
      <x:c r="B11" s="187" t="str">
        <x:v>22 bar</x:v>
      </x:c>
      <x:c r="C11" s="188" t="n">
        <x:v>0.3040313076188467</x:v>
      </x:c>
      <x:c r="D11" s="188" t="n">
        <x:v>61.31289214944546</x:v>
      </x:c>
      <x:c r="E11" s="188" t="n">
        <x:v>30.588383482748867</x:v>
      </x:c>
      <x:c r="F11" s="188" t="n">
        <x:v>18.241878457130806</x:v>
      </x:c>
      <x:c r="G11" s="188" t="n">
        <x:v>1.1715291963216417</x:v>
      </x:c>
      <x:c r="H11" s="187" t="str">
        <x:f>IF(AND(C11&gt;=0.38,D11&lt;=100,G11&lt;=1.3),"PASS","FAIL")</x:f>
        <x:v>FAIL</x:v>
      </x:c>
      <x:c r="I11" s="1"/>
      <x:c r="J11" s="1"/>
      <x:c r="K11" s="1" t="str">
        <x:v>P22</x:v>
      </x:c>
      <x:c r="L11" s="1" t="n">
        <x:v>0.3040313076188467</x:v>
      </x:c>
      <x:c r="M11" s="1"/>
      <x:c r="N11" s="1"/>
    </x:row>
    <x:row r="12">
      <x:c r="A12" s="187" t="str">
        <x:v>P26</x:v>
      </x:c>
      <x:c r="B12" s="187" t="str">
        <x:v>26 bar</x:v>
      </x:c>
      <x:c r="C12" s="188" t="n">
        <x:v>0.38367892845818713</x:v>
      </x:c>
      <x:c r="D12" s="188" t="n">
        <x:v>54.388596602856495</x:v>
      </x:c>
      <x:c r="E12" s="188" t="n">
        <x:v>38.60161232297978</x:v>
      </x:c>
      <x:c r="F12" s="188" t="n">
        <x:v>23.020735707491227</x:v>
      </x:c>
      <x:c r="G12" s="188" t="n">
        <x:v>1.2227180085341758</x:v>
      </x:c>
      <x:c r="H12" s="187" t="str">
        <x:f>IF(AND(C12&gt;=0.38,D12&lt;=100,G12&lt;=1.3),"PASS","FAIL")</x:f>
        <x:v>PASS</x:v>
      </x:c>
      <x:c r="I12" s="1"/>
      <x:c r="J12" s="1"/>
      <x:c r="K12" s="1" t="str">
        <x:v>P26</x:v>
      </x:c>
      <x:c r="L12" s="1" t="n">
        <x:v>0.38367892845818713</x:v>
      </x:c>
      <x:c r="M12" s="1"/>
      <x:c r="N12" s="1"/>
    </x:row>
    <x:row r="13">
      <x:c r="A13" s="187" t="str">
        <x:v>P30</x:v>
      </x:c>
      <x:c r="B13" s="187" t="str">
        <x:v>30 bar</x:v>
      </x:c>
      <x:c r="C13" s="188" t="n">
        <x:v>0.45804402803811917</x:v>
      </x:c>
      <x:c r="D13" s="188" t="n">
        <x:v>51.30960393711597</x:v>
      </x:c>
      <x:c r="E13" s="188" t="n">
        <x:v>46.08338796989162</x:v>
      </x:c>
      <x:c r="F13" s="188" t="n">
        <x:v>27.482641682287152</x:v>
      </x:c>
      <x:c r="G13" s="188" t="n">
        <x:v>1.275977579958568</x:v>
      </x:c>
      <x:c r="H13" s="187" t="str">
        <x:f>IF(AND(C13&gt;=0.38,D13&lt;=100,G13&lt;=1.3),"PASS","FAIL")</x:f>
        <x:v>PASS</x:v>
      </x:c>
      <x:c r="I13" s="1"/>
      <x:c r="J13" s="1"/>
      <x:c r="K13" s="1" t="str">
        <x:v>P30</x:v>
      </x:c>
      <x:c r="L13" s="1" t="n">
        <x:v>0.45804402803811917</x:v>
      </x:c>
      <x:c r="M13" s="1"/>
      <x:c r="N13" s="1"/>
    </x:row>
    <x:row r="14">
      <x:c r="A14" s="187" t="str">
        <x:v>P34</x:v>
      </x:c>
      <x:c r="B14" s="187" t="str">
        <x:v>34 bar</x:v>
      </x:c>
      <x:c r="C14" s="188" t="n">
        <x:v>0.5262979578225297</x:v>
      </x:c>
      <x:c r="D14" s="188" t="n">
        <x:v>50.549092311757185</x:v>
      </x:c>
      <x:c r="E14" s="188" t="n">
        <x:v>52.950343332620676</x:v>
      </x:c>
      <x:c r="F14" s="188" t="n">
        <x:v>31.577877469351787</x:v>
      </x:c>
      <x:c r="G14" s="188" t="n">
        <x:v>1.3313635524651601</x:v>
      </x:c>
      <x:c r="H14" s="187" t="str">
        <x:f>IF(AND(C14&gt;=0.38,D14&lt;=100,G14&lt;=1.3),"PASS","FAIL")</x:f>
        <x:v>FAIL</x:v>
      </x:c>
      <x:c r="I14" s="1"/>
      <x:c r="J14" s="1"/>
      <x:c r="K14" s="1" t="str">
        <x:v>P34</x:v>
      </x:c>
      <x:c r="L14" s="1" t="n">
        <x:v>0.5262979578225297</x:v>
      </x:c>
      <x:c r="M14" s="1"/>
      <x:c r="N14" s="1"/>
    </x:row>
    <x:row r="15">
      <x:c r="A15" s="1"/>
      <x:c r="B15" s="1"/>
      <x:c r="C15" s="1"/>
      <x:c r="D15" s="1"/>
      <x:c r="E15" s="1"/>
      <x:c r="F15" s="1"/>
      <x:c r="G15" s="1"/>
      <x:c r="H15" s="1"/>
      <x:c r="I15" s="1"/>
      <x:c r="J15" s="1"/>
      <x:c r="K15" s="1"/>
      <x:c r="L15" s="1"/>
      <x:c r="M15" s="1"/>
      <x:c r="N15" s="1"/>
    </x:row>
    <x:row r="16">
      <x:c r="A16" s="37" t="str">
        <x:v>Stage 2 | equilibrate_feed results</x:v>
      </x:c>
      <x:c r="B16" s="37" t="str">
        <x:v>Stage 2 | equilibrate_feed results</x:v>
      </x:c>
      <x:c r="C16" s="37" t="str">
        <x:v>Stage 2 | equilibrate_feed results</x:v>
      </x:c>
      <x:c r="D16" s="37" t="str">
        <x:v>Stage 2 | equilibrate_feed results</x:v>
      </x:c>
      <x:c r="E16" s="37" t="str">
        <x:v>Stage 2 | equilibrate_feed results</x:v>
      </x:c>
      <x:c r="F16" s="37" t="str">
        <x:v>Stage 2 | equilibrate_feed results</x:v>
      </x:c>
      <x:c r="G16" s="37" t="str">
        <x:v>Stage 2 | equilibrate_feed results</x:v>
      </x:c>
      <x:c r="H16" s="37" t="str">
        <x:v>Stage 2 | equilibrate_feed results</x:v>
      </x:c>
      <x:c r="I16" s="37" t="str">
        <x:v>Stage 2 | equilibrate_feed results</x:v>
      </x:c>
      <x:c r="J16" s="37" t="str">
        <x:v>Stage 2 | equilibrate_feed results</x:v>
      </x:c>
      <x:c r="K16" s="1"/>
      <x:c r="L16" s="1"/>
      <x:c r="M16" s="1"/>
      <x:c r="N16" s="1"/>
    </x:row>
    <x:row r="17">
      <x:c r="A17" s="183" t="str">
        <x:v>ID</x:v>
      </x:c>
      <x:c r="B17" s="183" t="str">
        <x:v>Inherited state</x:v>
      </x:c>
      <x:c r="C17" s="183" t="str">
        <x:v>Recovery</x:v>
      </x:c>
      <x:c r="D17" s="183" t="str">
        <x:v>HCl mol/s</x:v>
      </x:c>
      <x:c r="E17" s="183" t="str">
        <x:v>pH</x:v>
      </x:c>
      <x:c r="F17" s="183" t="str">
        <x:v>Calcite SI</x:v>
      </x:c>
      <x:c r="G17" s="183" t="str">
        <x:v>Dolomite SI</x:v>
      </x:c>
      <x:c r="H17" s="183" t="str">
        <x:v>Gypsum SI</x:v>
      </x:c>
      <x:c r="I17" s="183" t="str">
        <x:v>Anhydrite SI</x:v>
      </x:c>
      <x:c r="J17" s="183" t="str">
        <x:v>Status</x:v>
      </x:c>
      <x:c r="K17" s="1"/>
      <x:c r="L17" s="1"/>
      <x:c r="M17" s="1"/>
      <x:c r="N17" s="1"/>
    </x:row>
    <x:row r="18">
      <x:c r="A18" s="187" t="str">
        <x:v>P18_midSO4</x:v>
      </x:c>
      <x:c r="B18" s="187" t="str">
        <x:v>P18</x:v>
      </x:c>
      <x:c r="C18" s="188" t="n">
        <x:v>0.22137797384241065</x:v>
      </x:c>
      <x:c r="D18" s="188" t="n">
        <x:v>0.001</x:v>
      </x:c>
      <x:c r="E18" s="188" t="n">
        <x:v>6.261033957172067</x:v>
      </x:c>
      <x:c r="F18" s="188" t="n">
        <x:v>-0.7658322948847746</x:v>
      </x:c>
      <x:c r="G18" s="188" t="n">
        <x:v>-1.401181705501139</x:v>
      </x:c>
      <x:c r="H18" s="188" t="n">
        <x:v>-0.11494830063612547</x:v>
      </x:c>
      <x:c r="I18" s="188" t="n">
        <x:v>-0.45869955182292677</x:v>
      </x:c>
      <x:c r="J18" s="187" t="str">
        <x:f>IF(AND(E18&gt;=6.2,F18&lt;=0,G18&lt;=0,H18&lt;=0,I18&lt;=0),"PASS","FAIL")</x:f>
        <x:v>PASS</x:v>
      </x:c>
      <x:c r="K18" s="1"/>
      <x:c r="L18" s="1"/>
      <x:c r="M18" s="1"/>
      <x:c r="N18" s="1"/>
    </x:row>
    <x:row r="19">
      <x:c r="A19" s="187" t="str">
        <x:v>P22_midSO4</x:v>
      </x:c>
      <x:c r="B19" s="187" t="str">
        <x:v>P22</x:v>
      </x:c>
      <x:c r="C19" s="188" t="n">
        <x:v>0.30588383482748865</x:v>
      </x:c>
      <x:c r="D19" s="188" t="n">
        <x:v>0.001</x:v>
      </x:c>
      <x:c r="E19" s="188" t="n">
        <x:v>6.254253037132451</x:v>
      </x:c>
      <x:c r="F19" s="188" t="n">
        <x:v>-0.6958217404686902</x:v>
      </x:c>
      <x:c r="G19" s="188" t="n">
        <x:v>-1.2602608448774446</x:v>
      </x:c>
      <x:c r="H19" s="188" t="n">
        <x:v>-0.062412321135934534</x:v>
      </x:c>
      <x:c r="I19" s="188" t="n">
        <x:v>-0.40550177635749185</x:v>
      </x:c>
      <x:c r="J19" s="187" t="str">
        <x:f>IF(AND(E19&gt;=6.2,F19&lt;=0,G19&lt;=0,H19&lt;=0,I19&lt;=0),"PASS","FAIL")</x:f>
        <x:v>PASS</x:v>
      </x:c>
      <x:c r="K19" s="1"/>
      <x:c r="L19" s="1"/>
      <x:c r="M19" s="1"/>
      <x:c r="N19" s="1"/>
    </x:row>
    <x:row r="20">
      <x:c r="A20" s="187" t="str">
        <x:v>P26_midSO4</x:v>
      </x:c>
      <x:c r="B20" s="187" t="str">
        <x:v>P26</x:v>
      </x:c>
      <x:c r="C20" s="188" t="n">
        <x:v>0.38601612322979784</x:v>
      </x:c>
      <x:c r="D20" s="188" t="n">
        <x:v>0.001</x:v>
      </x:c>
      <x:c r="E20" s="188" t="n">
        <x:v>6.246704046631401</x:v>
      </x:c>
      <x:c r="F20" s="188" t="n">
        <x:v>-0.6212794529442938</x:v>
      </x:c>
      <x:c r="G20" s="188" t="n">
        <x:v>-1.1101106184885317</x:v>
      </x:c>
      <x:c r="H20" s="188" t="n">
        <x:v>-0.00714524224899869</x:v>
      </x:c>
      <x:c r="I20" s="188" t="n">
        <x:v>-0.349438299769656</x:v>
      </x:c>
      <x:c r="J20" s="187" t="str">
        <x:f>IF(AND(E20&gt;=6.2,F20&lt;=0,G20&lt;=0,H20&lt;=0,I20&lt;=0),"PASS","FAIL")</x:f>
        <x:v>PASS</x:v>
      </x:c>
      <x:c r="K20" s="1"/>
      <x:c r="L20" s="1"/>
      <x:c r="M20" s="1"/>
      <x:c r="N20" s="1"/>
    </x:row>
    <x:row r="21">
      <x:c r="A21" s="187" t="str">
        <x:v>P30_midSO4</x:v>
      </x:c>
      <x:c r="B21" s="187" t="str">
        <x:v>P30</x:v>
      </x:c>
      <x:c r="C21" s="188" t="n">
        <x:v>0.4608338796989162</x:v>
      </x:c>
      <x:c r="D21" s="188" t="n">
        <x:v>0.001</x:v>
      </x:c>
      <x:c r="E21" s="188" t="n">
        <x:v>6.238351787590339</x:v>
      </x:c>
      <x:c r="F21" s="188" t="n">
        <x:v>-0.5424669465969749</x:v>
      </x:c>
      <x:c r="G21" s="188" t="n">
        <x:v>-0.9512107349312848</x:v>
      </x:c>
      <x:c r="H21" s="188" t="n">
        <x:v>0.050469450627367435</x:v>
      </x:c>
      <x:c r="I21" s="188" t="n">
        <x:v>-0.29086500521495</x:v>
      </x:c>
      <x:c r="J21" s="187" t="str">
        <x:f>IF(AND(E21&gt;=6.2,F21&lt;=0,G21&lt;=0,H21&lt;=0,I21&lt;=0),"PASS","FAIL")</x:f>
        <x:v>FAIL</x:v>
      </x:c>
      <x:c r="K21" s="1"/>
      <x:c r="L21" s="1"/>
      <x:c r="M21" s="1"/>
      <x:c r="N21" s="1"/>
    </x:row>
    <x:row r="22">
      <x:c r="A22" s="187" t="str">
        <x:v>P34_midSO4</x:v>
      </x:c>
      <x:c r="B22" s="187" t="str">
        <x:v>P34</x:v>
      </x:c>
      <x:c r="C22" s="188" t="n">
        <x:v>0.5295034333262068</x:v>
      </x:c>
      <x:c r="D22" s="188" t="n">
        <x:v>0.001</x:v>
      </x:c>
      <x:c r="E22" s="188" t="n">
        <x:v>6.229188934743328</x:v>
      </x:c>
      <x:c r="F22" s="188" t="n">
        <x:v>-0.4598921306600843</x:v>
      </x:c>
      <x:c r="G22" s="188" t="n">
        <x:v>-0.7845266113340849</x:v>
      </x:c>
      <x:c r="H22" s="188" t="n">
        <x:v>0.10985920752989509</x:v>
      </x:c>
      <x:c r="I22" s="188" t="n">
        <x:v>-0.23032452536194775</x:v>
      </x:c>
      <x:c r="J22" s="187" t="str">
        <x:f>IF(AND(E22&gt;=6.2,F22&lt;=0,G22&lt;=0,H22&lt;=0,I22&lt;=0),"PASS","FAIL")</x:f>
        <x:v>FAIL</x:v>
      </x:c>
      <x:c r="K22" s="1"/>
      <x:c r="L22" s="1"/>
      <x:c r="M22" s="1"/>
      <x:c r="N22" s="1"/>
    </x:row>
    <x:row r="23">
      <x:c r="A23" s="1"/>
      <x:c r="B23" s="1"/>
      <x:c r="C23" s="1"/>
      <x:c r="D23" s="1"/>
      <x:c r="E23" s="1"/>
      <x:c r="F23" s="1"/>
      <x:c r="G23" s="1"/>
      <x:c r="H23" s="1"/>
      <x:c r="I23" s="1"/>
      <x:c r="J23" s="1"/>
      <x:c r="K23" s="1"/>
      <x:c r="L23" s="1"/>
      <x:c r="M23" s="1"/>
      <x:c r="N23" s="1"/>
    </x:row>
    <x:row r="24">
      <x:c r="A24" s="37" t="str">
        <x:v>Engineering conversion / final KPI</x:v>
      </x:c>
      <x:c r="B24" s="37" t="str">
        <x:v>Engineering conversion / final KPI</x:v>
      </x:c>
      <x:c r="C24" s="37" t="str">
        <x:v>Engineering conversion / final KPI</x:v>
      </x:c>
      <x:c r="D24" s="37" t="str">
        <x:v>Engineering conversion / final KPI</x:v>
      </x:c>
      <x:c r="E24" s="37" t="str">
        <x:v>Engineering conversion / final KPI</x:v>
      </x:c>
      <x:c r="F24" s="37" t="str">
        <x:v>Engineering conversion / final KPI</x:v>
      </x:c>
      <x:c r="G24" s="1"/>
      <x:c r="H24" s="37" t="str">
        <x:v>Boundary evidence</x:v>
      </x:c>
      <x:c r="I24" s="37" t="str">
        <x:v>Boundary evidence</x:v>
      </x:c>
      <x:c r="J24" s="37" t="str">
        <x:v>Boundary evidence</x:v>
      </x:c>
      <x:c r="K24" s="37" t="str">
        <x:v>Boundary evidence</x:v>
      </x:c>
      <x:c r="L24" s="37" t="str">
        <x:v>Boundary evidence</x:v>
      </x:c>
      <x:c r="M24" s="37" t="str">
        <x:v>Boundary evidence</x:v>
      </x:c>
      <x:c r="N24" s="37" t="str">
        <x:v>Boundary evidence</x:v>
      </x:c>
    </x:row>
    <x:row r="25">
      <x:c r="A25" s="189" t="str">
        <x:v>Selected HCl mol/s</x:v>
      </x:c>
      <x:c r="B25" s="190" t="n">
        <x:v>0.001</x:v>
      </x:c>
      <x:c r="C25" s="189" t="str"/>
      <x:c r="D25" s="1"/>
      <x:c r="E25" s="1"/>
      <x:c r="F25" s="1"/>
      <x:c r="G25" s="1"/>
      <x:c r="H25" s="84" t="str">
        <x:v>Final recommendation: Recommend 26 bar with 0.0010 mol/s HCl. It produces 0.38368 kg/s at 38.6016% recovery and 54.39 mg/L NaCl, with Gypsum SI=−0.00715. At 30 bar production rises to 0.45804 kg/s, but Gypsum SI=+0.05047, requiring rollback.</x:v>
      </x:c>
      <x:c r="I25" s="85" t="str">
        <x:v>Final recommendation: Recommend 26 bar with 0.0010 mol/s HCl. It produces 0.38368 kg/s at 38.6016% recovery and 54.39 mg/L NaCl, with Gypsum SI=−0.00715. At 30 bar production rises to 0.45804 kg/s, but Gypsum SI=+0.05047, requiring rollback.</x:v>
      </x:c>
      <x:c r="J25" s="85" t="str">
        <x:v>Final recommendation: Recommend 26 bar with 0.0010 mol/s HCl. It produces 0.38368 kg/s at 38.6016% recovery and 54.39 mg/L NaCl, with Gypsum SI=−0.00715. At 30 bar production rises to 0.45804 kg/s, but Gypsum SI=+0.05047, requiring rollback.</x:v>
      </x:c>
      <x:c r="K25" s="85" t="str">
        <x:v>Final recommendation: Recommend 26 bar with 0.0010 mol/s HCl. It produces 0.38368 kg/s at 38.6016% recovery and 54.39 mg/L NaCl, with Gypsum SI=−0.00715. At 30 bar production rises to 0.45804 kg/s, but Gypsum SI=+0.05047, requiring rollback.</x:v>
      </x:c>
      <x:c r="L25" s="85" t="str">
        <x:v>Final recommendation: Recommend 26 bar with 0.0010 mol/s HCl. It produces 0.38368 kg/s at 38.6016% recovery and 54.39 mg/L NaCl, with Gypsum SI=−0.00715. At 30 bar production rises to 0.45804 kg/s, but Gypsum SI=+0.05047, requiring rollback.</x:v>
      </x:c>
      <x:c r="M25" s="85" t="str">
        <x:v>Final recommendation: Recommend 26 bar with 0.0010 mol/s HCl. It produces 0.38368 kg/s at 38.6016% recovery and 54.39 mg/L NaCl, with Gypsum SI=−0.00715. At 30 bar production rises to 0.45804 kg/s, but Gypsum SI=+0.05047, requiring rollback.</x:v>
      </x:c>
      <x:c r="N25" s="86" t="str">
        <x:v>Final recommendation: Recommend 26 bar with 0.0010 mol/s HCl. It produces 0.38368 kg/s at 38.6016% recovery and 54.39 mg/L NaCl, with Gypsum SI=−0.00715. At 30 bar production rises to 0.45804 kg/s, but Gypsum SI=+0.05047, requiring rollback.</x:v>
      </x:c>
    </x:row>
    <x:row r="26">
      <x:c r="A26" s="189" t="str">
        <x:v>Pure HCl g/h</x:v>
      </x:c>
      <x:c r="B26" s="190" t="n">
        <x:f>B25*36.46*3600</x:f>
        <x:v>131.256</x:v>
      </x:c>
      <x:c r="C26" s="189" t="str"/>
      <x:c r="D26" s="1"/>
      <x:c r="E26" s="1"/>
      <x:c r="F26" s="1"/>
      <x:c r="G26" s="1"/>
      <x:c r="H26" s="87" t="str">
        <x:v>Final recommendation: Recommend 26 bar with 0.0010 mol/s HCl. It produces 0.38368 kg/s at 38.6016% recovery and 54.39 mg/L NaCl, with Gypsum SI=−0.00715. At 30 bar production rises to 0.45804 kg/s, but Gypsum SI=+0.05047, requiring rollback.</x:v>
      </x:c>
      <x:c r="I26" s="88" t="str">
        <x:v>Final recommendation: Recommend 26 bar with 0.0010 mol/s HCl. It produces 0.38368 kg/s at 38.6016% recovery and 54.39 mg/L NaCl, with Gypsum SI=−0.00715. At 30 bar production rises to 0.45804 kg/s, but Gypsum SI=+0.05047, requiring rollback.</x:v>
      </x:c>
      <x:c r="J26" s="88" t="str">
        <x:v>Final recommendation: Recommend 26 bar with 0.0010 mol/s HCl. It produces 0.38368 kg/s at 38.6016% recovery and 54.39 mg/L NaCl, with Gypsum SI=−0.00715. At 30 bar production rises to 0.45804 kg/s, but Gypsum SI=+0.05047, requiring rollback.</x:v>
      </x:c>
      <x:c r="K26" s="88" t="str">
        <x:v>Final recommendation: Recommend 26 bar with 0.0010 mol/s HCl. It produces 0.38368 kg/s at 38.6016% recovery and 54.39 mg/L NaCl, with Gypsum SI=−0.00715. At 30 bar production rises to 0.45804 kg/s, but Gypsum SI=+0.05047, requiring rollback.</x:v>
      </x:c>
      <x:c r="L26" s="88" t="str">
        <x:v>Final recommendation: Recommend 26 bar with 0.0010 mol/s HCl. It produces 0.38368 kg/s at 38.6016% recovery and 54.39 mg/L NaCl, with Gypsum SI=−0.00715. At 30 bar production rises to 0.45804 kg/s, but Gypsum SI=+0.05047, requiring rollback.</x:v>
      </x:c>
      <x:c r="M26" s="88" t="str">
        <x:v>Final recommendation: Recommend 26 bar with 0.0010 mol/s HCl. It produces 0.38368 kg/s at 38.6016% recovery and 54.39 mg/L NaCl, with Gypsum SI=−0.00715. At 30 bar production rises to 0.45804 kg/s, but Gypsum SI=+0.05047, requiring rollback.</x:v>
      </x:c>
      <x:c r="N26" s="89" t="str">
        <x:v>Final recommendation: Recommend 26 bar with 0.0010 mol/s HCl. It produces 0.38368 kg/s at 38.6016% recovery and 54.39 mg/L NaCl, with Gypsum SI=−0.00715. At 30 bar production rises to 0.45804 kg/s, but Gypsum SI=+0.05047, requiring rollback.</x:v>
      </x:c>
    </x:row>
    <x:row r="27">
      <x:c r="A27" s="189" t="str">
        <x:v>31 wt% HCl L/h</x:v>
      </x:c>
      <x:c r="B27" s="190" t="n">
        <x:f>B26/(31%*1150)</x:f>
        <x:v>0.368179523141655</x:v>
      </x:c>
      <x:c r="C27" s="189" t="str"/>
      <x:c r="D27" s="1"/>
      <x:c r="E27" s="1"/>
      <x:c r="F27" s="1"/>
      <x:c r="G27" s="1"/>
      <x:c r="H27" s="90" t="str">
        <x:v>Final recommendation: Recommend 26 bar with 0.0010 mol/s HCl. It produces 0.38368 kg/s at 38.6016% recovery and 54.39 mg/L NaCl, with Gypsum SI=−0.00715. At 30 bar production rises to 0.45804 kg/s, but Gypsum SI=+0.05047, requiring rollback.</x:v>
      </x:c>
      <x:c r="I27" s="91" t="str">
        <x:v>Final recommendation: Recommend 26 bar with 0.0010 mol/s HCl. It produces 0.38368 kg/s at 38.6016% recovery and 54.39 mg/L NaCl, with Gypsum SI=−0.00715. At 30 bar production rises to 0.45804 kg/s, but Gypsum SI=+0.05047, requiring rollback.</x:v>
      </x:c>
      <x:c r="J27" s="91" t="str">
        <x:v>Final recommendation: Recommend 26 bar with 0.0010 mol/s HCl. It produces 0.38368 kg/s at 38.6016% recovery and 54.39 mg/L NaCl, with Gypsum SI=−0.00715. At 30 bar production rises to 0.45804 kg/s, but Gypsum SI=+0.05047, requiring rollback.</x:v>
      </x:c>
      <x:c r="K27" s="91" t="str">
        <x:v>Final recommendation: Recommend 26 bar with 0.0010 mol/s HCl. It produces 0.38368 kg/s at 38.6016% recovery and 54.39 mg/L NaCl, with Gypsum SI=−0.00715. At 30 bar production rises to 0.45804 kg/s, but Gypsum SI=+0.05047, requiring rollback.</x:v>
      </x:c>
      <x:c r="L27" s="91" t="str">
        <x:v>Final recommendation: Recommend 26 bar with 0.0010 mol/s HCl. It produces 0.38368 kg/s at 38.6016% recovery and 54.39 mg/L NaCl, with Gypsum SI=−0.00715. At 30 bar production rises to 0.45804 kg/s, but Gypsum SI=+0.05047, requiring rollback.</x:v>
      </x:c>
      <x:c r="M27" s="91" t="str">
        <x:v>Final recommendation: Recommend 26 bar with 0.0010 mol/s HCl. It produces 0.38368 kg/s at 38.6016% recovery and 54.39 mg/L NaCl, with Gypsum SI=−0.00715. At 30 bar production rises to 0.45804 kg/s, but Gypsum SI=+0.05047, requiring rollback.</x:v>
      </x:c>
      <x:c r="N27" s="92" t="str">
        <x:v>Final recommendation: Recommend 26 bar with 0.0010 mol/s HCl. It produces 0.38368 kg/s at 38.6016% recovery and 54.39 mg/L NaCl, with Gypsum SI=−0.00715. At 30 bar production rises to 0.45804 kg/s, but Gypsum SI=+0.05047, requiring rollback.</x:v>
      </x:c>
    </x:row>
    <x:row r="28">
      <x:c r="A28" s="1"/>
      <x:c r="B28" s="1"/>
      <x:c r="C28" s="1"/>
      <x:c r="D28" s="1"/>
      <x:c r="E28" s="1"/>
      <x:c r="F28" s="1"/>
      <x:c r="G28" s="1"/>
      <x:c r="H28" s="1"/>
      <x:c r="I28" s="1"/>
      <x:c r="J28" s="1"/>
      <x:c r="K28" s="1"/>
      <x:c r="L28" s="1"/>
      <x:c r="M28" s="1"/>
      <x:c r="N28" s="1"/>
    </x:row>
    <x:row r="29">
      <x:c r="A29" s="37" t="str">
        <x:v>Model scope and audit note</x:v>
      </x:c>
      <x:c r="B29" s="37" t="str">
        <x:v>Model scope and audit note</x:v>
      </x:c>
      <x:c r="C29" s="37" t="str">
        <x:v>Model scope and audit note</x:v>
      </x:c>
      <x:c r="D29" s="37" t="str">
        <x:v>Model scope and audit note</x:v>
      </x:c>
      <x:c r="E29" s="37" t="str">
        <x:v>Model scope and audit note</x:v>
      </x:c>
      <x:c r="F29" s="37" t="str">
        <x:v>Model scope and audit note</x:v>
      </x:c>
      <x:c r="G29" s="37" t="str">
        <x:v>Model scope and audit note</x:v>
      </x:c>
      <x:c r="H29" s="37" t="str">
        <x:v>Model scope and audit note</x:v>
      </x:c>
      <x:c r="I29" s="37" t="str">
        <x:v>Model scope and audit note</x:v>
      </x:c>
      <x:c r="J29" s="37" t="str">
        <x:v>Model scope and audit note</x:v>
      </x:c>
      <x:c r="K29" s="37" t="str">
        <x:v>Model scope and audit note</x:v>
      </x:c>
      <x:c r="L29" s="37" t="str">
        <x:v>Model scope and audit note</x:v>
      </x:c>
      <x:c r="M29" s="37" t="str">
        <x:v>Model scope and audit note</x:v>
      </x:c>
      <x:c r="N29" s="37" t="str">
        <x:v>Model scope and audit note</x:v>
      </x:c>
    </x:row>
    <x:row r="30">
      <x:c r="A30" s="143"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0"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0" s="145"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1">
      <x:c r="A31"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1"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1"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2">
      <x:c r="A32"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2"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2"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3">
      <x:c r="A33" s="149"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3"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3" s="151"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6:J16"/>
    <x:mergeCell ref="A24:F24"/>
    <x:mergeCell ref="H24:N24"/>
    <x:mergeCell ref="H25:N27"/>
    <x:mergeCell ref="A29:N29"/>
    <x:mergeCell ref="A30:N33"/>
  </x:mergeCells>
  <x:pageMargins left="0.7" right="0.7" top="0.75" bottom="0.75" header="0.3" footer="0.3"/>
  <x:drawing xmlns:r="http://schemas.openxmlformats.org/officeDocument/2006/relationships" r:id="R3b485d469f6d4adc"/>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D6_6b-N03 | Trajectory rubric (100 points)</x:v>
      </x:c>
      <x:c r="B1" s="6" t="str">
        <x:v>D6_6b-N03 | Trajectory rubric (100 points)</x:v>
      </x:c>
      <x:c r="C1" s="6" t="str">
        <x:v>D6_6b-N03 | Trajectory rubric (100 points)</x:v>
      </x:c>
      <x:c r="D1" s="6" t="str">
        <x:v>D6_6b-N03 | Trajectory rubric (100 points)</x:v>
      </x:c>
      <x:c r="E1" s="6" t="str">
        <x:v>D6_6b-N03 | Trajectory rubric (100 points)</x:v>
      </x:c>
      <x:c r="F1" s="6" t="str">
        <x:v>D6_6b-N03 | Trajectory rubric (100 points)</x:v>
      </x:c>
      <x:c r="G1" s="6" t="str">
        <x:v>D6_6b-N03 | Trajectory rubric (100 points)</x:v>
      </x:c>
      <x:c r="H1" s="6" t="str">
        <x:v>D6_6b-N03 | Trajectory rubric (100 points)</x:v>
      </x:c>
      <x:c r="I1" s="6" t="str">
        <x:v>D6_6b-N03 | Trajectory rubric (100 points)</x:v>
      </x:c>
      <x:c r="J1" s="6" t="str">
        <x:v>D6_6b-N03 | Trajectory rubric (100 points)</x:v>
      </x:c>
      <x:c r="K1" s="6" t="str">
        <x:v>D6_6b-N03 | Trajectory rubric (100 points)</x:v>
      </x:c>
      <x:c r="L1" s="6" t="str">
        <x:v>D6_6b-N03 | Trajectory rubric (100 points)</x:v>
      </x:c>
      <x:c r="M1" s="6" t="str">
        <x:v>D6_6b-N03 | Trajectory rubric (100 points)</x:v>
      </x:c>
      <x:c r="N1" s="6" t="str">
        <x:v>D6_6b-N03 | Trajectory rubric (100 points)</x:v>
      </x:c>
    </x:row>
    <x:row r="2" ht="28" customHeight="1">
      <x:c r="A2" s="6" t="str">
        <x:v>D6_6b-N03 | Trajectory rubric (100 points)</x:v>
      </x:c>
      <x:c r="B2" s="6" t="str">
        <x:v>D6_6b-N03 | Trajectory rubric (100 points)</x:v>
      </x:c>
      <x:c r="C2" s="6" t="str">
        <x:v>D6_6b-N03 | Trajectory rubric (100 points)</x:v>
      </x:c>
      <x:c r="D2" s="6" t="str">
        <x:v>D6_6b-N03 | Trajectory rubric (100 points)</x:v>
      </x:c>
      <x:c r="E2" s="6" t="str">
        <x:v>D6_6b-N03 | Trajectory rubric (100 points)</x:v>
      </x:c>
      <x:c r="F2" s="6" t="str">
        <x:v>D6_6b-N03 | Trajectory rubric (100 points)</x:v>
      </x:c>
      <x:c r="G2" s="6" t="str">
        <x:v>D6_6b-N03 | Trajectory rubric (100 points)</x:v>
      </x:c>
      <x:c r="H2" s="6" t="str">
        <x:v>D6_6b-N03 | Trajectory rubric (100 points)</x:v>
      </x:c>
      <x:c r="I2" s="6" t="str">
        <x:v>D6_6b-N03 | Trajectory rubric (100 points)</x:v>
      </x:c>
      <x:c r="J2" s="6" t="str">
        <x:v>D6_6b-N03 | Trajectory rubric (100 points)</x:v>
      </x:c>
      <x:c r="K2" s="6" t="str">
        <x:v>D6_6b-N03 | Trajectory rubric (100 points)</x:v>
      </x:c>
      <x:c r="L2" s="6" t="str">
        <x:v>D6_6b-N03 | Trajectory rubric (100 points)</x:v>
      </x:c>
      <x:c r="M2" s="6" t="str">
        <x:v>D6_6b-N03 | Trajectory rubric (100 points)</x:v>
      </x:c>
      <x:c r="N2" s="6" t="str">
        <x:v>D6_6b-N03 | Trajectory rubric (100 points)</x:v>
      </x:c>
    </x:row>
    <x:row r="3">
      <x:c r="A3" s="1"/>
      <x:c r="B3" s="1"/>
      <x:c r="C3" s="1"/>
      <x:c r="D3" s="1"/>
      <x:c r="E3" s="1"/>
      <x:c r="F3" s="1"/>
      <x:c r="G3" s="1"/>
      <x:c r="H3" s="1"/>
      <x:c r="I3" s="1"/>
      <x:c r="J3" s="1"/>
      <x:c r="K3" s="1"/>
      <x:c r="L3" s="1"/>
      <x:c r="M3" s="1"/>
      <x:c r="N3" s="1"/>
    </x:row>
    <x:row r="4">
      <x:c r="A4" s="147" t="str">
        <x:v>Score the complete state-plan-tool-call-observation-update-branch-verification-stop trajectory. Correct serial transfer is central; a guessed final setting is not sufficient.</x:v>
      </x:c>
      <x:c r="B4" s="147" t="str">
        <x:v>Score the complete state-plan-tool-call-observation-update-branch-verification-stop trajectory. Correct serial transfer is central; a guessed final setting is not sufficient.</x:v>
      </x:c>
      <x:c r="C4" s="147" t="str">
        <x:v>Score the complete state-plan-tool-call-observation-update-branch-verification-stop trajectory. Correct serial transfer is central; a guessed final setting is not sufficient.</x:v>
      </x:c>
      <x:c r="D4" s="147" t="str">
        <x:v>Score the complete state-plan-tool-call-observation-update-branch-verification-stop trajectory. Correct serial transfer is central; a guessed final setting is not sufficient.</x:v>
      </x:c>
      <x:c r="E4" s="147" t="str">
        <x:v>Score the complete state-plan-tool-call-observation-update-branch-verification-stop trajectory. Correct serial transfer is central; a guessed final setting is not sufficient.</x:v>
      </x:c>
      <x:c r="F4" s="147" t="str">
        <x:v>Score the complete state-plan-tool-call-observation-update-branch-verification-stop trajectory. Correct serial transfer is central; a guessed final setting is not sufficient.</x:v>
      </x:c>
      <x:c r="G4" s="147" t="str">
        <x:v>Score the complete state-plan-tool-call-observation-update-branch-verification-stop trajectory. Correct serial transfer is central; a guessed final setting is not sufficient.</x:v>
      </x:c>
      <x:c r="H4" s="147" t="str">
        <x:v>Score the complete state-plan-tool-call-observation-update-branch-verification-stop trajectory. Correct serial transfer is central; a guessed final setting is not sufficient.</x:v>
      </x:c>
      <x:c r="I4" s="147" t="str">
        <x:v>Score the complete state-plan-tool-call-observation-update-branch-verification-stop trajectory. Correct serial transfer is central; a guessed final setting is not sufficient.</x:v>
      </x:c>
      <x:c r="J4" s="147" t="str">
        <x:v>Score the complete state-plan-tool-call-observation-update-branch-verification-stop trajectory. Correct serial transfer is central; a guessed final setting is not sufficient.</x:v>
      </x:c>
      <x:c r="K4" s="147" t="str">
        <x:v>Score the complete state-plan-tool-call-observation-update-branch-verification-stop trajectory. Correct serial transfer is central; a guessed final setting is not sufficient.</x:v>
      </x:c>
      <x:c r="L4" s="147" t="str">
        <x:v>Score the complete state-plan-tool-call-observation-update-branch-verification-stop trajectory. Correct serial transfer is central; a guessed final setting is not sufficient.</x:v>
      </x:c>
      <x:c r="M4" s="147" t="str">
        <x:v>Score the complete state-plan-tool-call-observation-update-branch-verification-stop trajectory. Correct serial transfer is central; a guessed final setting is not sufficient.</x:v>
      </x:c>
      <x:c r="N4" s="147" t="str">
        <x:v>Score the complete state-plan-tool-call-observation-update-branch-verification-stop trajectory. Correct serial transfer is central; a guessed final setting is not sufficient.</x:v>
      </x:c>
    </x:row>
    <x:row r="5">
      <x:c r="A5" s="147" t="str">
        <x:v>Score the complete state-plan-tool-call-observation-update-branch-verification-stop trajectory. Correct serial transfer is central; a guessed final setting is not sufficient.</x:v>
      </x:c>
      <x:c r="B5" s="147" t="str">
        <x:v>Score the complete state-plan-tool-call-observation-update-branch-verification-stop trajectory. Correct serial transfer is central; a guessed final setting is not sufficient.</x:v>
      </x:c>
      <x:c r="C5" s="147" t="str">
        <x:v>Score the complete state-plan-tool-call-observation-update-branch-verification-stop trajectory. Correct serial transfer is central; a guessed final setting is not sufficient.</x:v>
      </x:c>
      <x:c r="D5" s="147" t="str">
        <x:v>Score the complete state-plan-tool-call-observation-update-branch-verification-stop trajectory. Correct serial transfer is central; a guessed final setting is not sufficient.</x:v>
      </x:c>
      <x:c r="E5" s="147" t="str">
        <x:v>Score the complete state-plan-tool-call-observation-update-branch-verification-stop trajectory. Correct serial transfer is central; a guessed final setting is not sufficient.</x:v>
      </x:c>
      <x:c r="F5" s="147" t="str">
        <x:v>Score the complete state-plan-tool-call-observation-update-branch-verification-stop trajectory. Correct serial transfer is central; a guessed final setting is not sufficient.</x:v>
      </x:c>
      <x:c r="G5" s="147" t="str">
        <x:v>Score the complete state-plan-tool-call-observation-update-branch-verification-stop trajectory. Correct serial transfer is central; a guessed final setting is not sufficient.</x:v>
      </x:c>
      <x:c r="H5" s="147" t="str">
        <x:v>Score the complete state-plan-tool-call-observation-update-branch-verification-stop trajectory. Correct serial transfer is central; a guessed final setting is not sufficient.</x:v>
      </x:c>
      <x:c r="I5" s="147" t="str">
        <x:v>Score the complete state-plan-tool-call-observation-update-branch-verification-stop trajectory. Correct serial transfer is central; a guessed final setting is not sufficient.</x:v>
      </x:c>
      <x:c r="J5" s="147" t="str">
        <x:v>Score the complete state-plan-tool-call-observation-update-branch-verification-stop trajectory. Correct serial transfer is central; a guessed final setting is not sufficient.</x:v>
      </x:c>
      <x:c r="K5" s="147" t="str">
        <x:v>Score the complete state-plan-tool-call-observation-update-branch-verification-stop trajectory. Correct serial transfer is central; a guessed final setting is not sufficient.</x:v>
      </x:c>
      <x:c r="L5" s="147" t="str">
        <x:v>Score the complete state-plan-tool-call-observation-update-branch-verification-stop trajectory. Correct serial transfer is central; a guessed final setting is not sufficient.</x:v>
      </x:c>
      <x:c r="M5" s="147" t="str">
        <x:v>Score the complete state-plan-tool-call-observation-update-branch-verification-stop trajectory. Correct serial transfer is central; a guessed final setting is not sufficient.</x:v>
      </x:c>
      <x:c r="N5" s="147" t="str">
        <x:v>Score the complete state-plan-tool-call-observation-update-branch-verification-stop trajectory. Correct serial transfer is central; a guessed final setting is not sufficient.</x:v>
      </x:c>
    </x:row>
    <x:row r="6">
      <x:c r="A6" s="147" t="str">
        <x:v>Score the complete state-plan-tool-call-observation-update-branch-verification-stop trajectory. Correct serial transfer is central; a guessed final setting is not sufficient.</x:v>
      </x:c>
      <x:c r="B6" s="147" t="str">
        <x:v>Score the complete state-plan-tool-call-observation-update-branch-verification-stop trajectory. Correct serial transfer is central; a guessed final setting is not sufficient.</x:v>
      </x:c>
      <x:c r="C6" s="147" t="str">
        <x:v>Score the complete state-plan-tool-call-observation-update-branch-verification-stop trajectory. Correct serial transfer is central; a guessed final setting is not sufficient.</x:v>
      </x:c>
      <x:c r="D6" s="147" t="str">
        <x:v>Score the complete state-plan-tool-call-observation-update-branch-verification-stop trajectory. Correct serial transfer is central; a guessed final setting is not sufficient.</x:v>
      </x:c>
      <x:c r="E6" s="147" t="str">
        <x:v>Score the complete state-plan-tool-call-observation-update-branch-verification-stop trajectory. Correct serial transfer is central; a guessed final setting is not sufficient.</x:v>
      </x:c>
      <x:c r="F6" s="147" t="str">
        <x:v>Score the complete state-plan-tool-call-observation-update-branch-verification-stop trajectory. Correct serial transfer is central; a guessed final setting is not sufficient.</x:v>
      </x:c>
      <x:c r="G6" s="147" t="str">
        <x:v>Score the complete state-plan-tool-call-observation-update-branch-verification-stop trajectory. Correct serial transfer is central; a guessed final setting is not sufficient.</x:v>
      </x:c>
      <x:c r="H6" s="147" t="str">
        <x:v>Score the complete state-plan-tool-call-observation-update-branch-verification-stop trajectory. Correct serial transfer is central; a guessed final setting is not sufficient.</x:v>
      </x:c>
      <x:c r="I6" s="147" t="str">
        <x:v>Score the complete state-plan-tool-call-observation-update-branch-verification-stop trajectory. Correct serial transfer is central; a guessed final setting is not sufficient.</x:v>
      </x:c>
      <x:c r="J6" s="147" t="str">
        <x:v>Score the complete state-plan-tool-call-observation-update-branch-verification-stop trajectory. Correct serial transfer is central; a guessed final setting is not sufficient.</x:v>
      </x:c>
      <x:c r="K6" s="147" t="str">
        <x:v>Score the complete state-plan-tool-call-observation-update-branch-verification-stop trajectory. Correct serial transfer is central; a guessed final setting is not sufficient.</x:v>
      </x:c>
      <x:c r="L6" s="147" t="str">
        <x:v>Score the complete state-plan-tool-call-observation-update-branch-verification-stop trajectory. Correct serial transfer is central; a guessed final setting is not sufficient.</x:v>
      </x:c>
      <x:c r="M6" s="147" t="str">
        <x:v>Score the complete state-plan-tool-call-observation-update-branch-verification-stop trajectory. Correct serial transfer is central; a guessed final setting is not sufficient.</x:v>
      </x:c>
      <x:c r="N6" s="147" t="str">
        <x:v>Score the complete state-plan-tool-call-observation-update-branch-verification-stop trajectory. Correct serial transfer is central; a guessed final setting is not sufficient.</x:v>
      </x:c>
    </x:row>
    <x:row r="7">
      <x:c r="A7" s="1"/>
      <x:c r="B7" s="1"/>
      <x:c r="C7" s="1"/>
      <x:c r="D7" s="1"/>
      <x:c r="E7" s="1"/>
      <x:c r="F7" s="1"/>
      <x:c r="G7" s="1"/>
      <x:c r="H7" s="1"/>
      <x:c r="I7" s="1"/>
      <x:c r="J7" s="1"/>
      <x:c r="K7" s="1"/>
      <x:c r="L7" s="1"/>
      <x:c r="M7" s="1"/>
      <x:c r="N7" s="1"/>
    </x:row>
    <x:row r="8">
      <x:c r="A8" s="183" t="str">
        <x:v>Dimension</x:v>
      </x:c>
      <x:c r="B8" s="183" t="str">
        <x:v>Focus</x:v>
      </x:c>
      <x:c r="C8" s="183" t="str">
        <x:v>Full-credit evidence</x:v>
      </x:c>
      <x:c r="D8" s="183" t="str">
        <x:v>Partial</x:v>
      </x:c>
      <x:c r="E8" s="183" t="str">
        <x:v>Critical failure</x:v>
      </x:c>
      <x:c r="F8" s="183" t="str">
        <x:v>Weight</x:v>
      </x:c>
      <x:c r="G8" s="183" t="str"/>
      <x:c r="H8" s="183" t="str"/>
      <x:c r="I8" s="183" t="str"/>
      <x:c r="J8" s="183" t="str"/>
      <x:c r="K8" s="183" t="str"/>
      <x:c r="L8" s="183" t="str"/>
      <x:c r="M8" s="183" t="str"/>
      <x:c r="N8" s="183" t="str"/>
    </x:row>
    <x:row r="9" ht="54" customHeight="1">
      <x:c r="A9" s="187" t="str">
        <x:v>TQ1 Formulation</x:v>
      </x:c>
      <x:c r="B9" s="187" t="str">
        <x:v>Recognizes two-stage constraints</x:v>
      </x:c>
      <x:c r="C9" s="187" t="str">
        <x:v>States stage order, units and objective.</x:v>
      </x:c>
      <x:c r="D9" s="187" t="str">
        <x:v>One secondary omission.</x:v>
      </x:c>
      <x:c r="E9" s="187" t="str">
        <x:v>Treats the two models as independent.</x:v>
      </x:c>
      <x:c r="F9" s="187" t="n">
        <x:v>15</x:v>
      </x:c>
      <x:c r="G9" s="187" t="str"/>
      <x:c r="H9" s="187" t="str"/>
      <x:c r="I9" s="187" t="str"/>
      <x:c r="J9" s="187" t="str"/>
      <x:c r="K9" s="187" t="str"/>
      <x:c r="L9" s="187" t="str"/>
      <x:c r="M9" s="187" t="str"/>
      <x:c r="N9" s="187" t="str"/>
    </x:row>
    <x:row r="10" ht="54" customHeight="1">
      <x:c r="A10" s="187" t="str">
        <x:v>TQ2 Stage-1 fidelity</x:v>
      </x:c>
      <x:c r="B10" s="187" t="str">
        <x:v>ro</x:v>
      </x:c>
      <x:c r="C10" s="187" t="str">
        <x:v>Runs the full Stage-1 grid with consistent inputs.</x:v>
      </x:c>
      <x:c r="D10" s="187" t="str">
        <x:v>Minor transcription issue.</x:v>
      </x:c>
      <x:c r="E10" s="187" t="str">
        <x:v>Changes non-target variables silently.</x:v>
      </x:c>
      <x:c r="F10" s="187" t="n">
        <x:v>15</x:v>
      </x:c>
      <x:c r="G10" s="187" t="str"/>
      <x:c r="H10" s="187" t="str"/>
      <x:c r="I10" s="187" t="str"/>
      <x:c r="J10" s="187" t="str"/>
      <x:c r="K10" s="187" t="str"/>
      <x:c r="L10" s="187" t="str"/>
      <x:c r="M10" s="187" t="str"/>
      <x:c r="N10" s="187" t="str"/>
    </x:row>
    <x:row r="11" ht="54" customHeight="1">
      <x:c r="A11" s="187" t="str">
        <x:v>TQ3 Boundary logic</x:v>
      </x:c>
      <x:c r="B11" s="187" t="str">
        <x:v>Pass/fail boundary</x:v>
      </x:c>
      <x:c r="C11" s="187" t="str">
        <x:v>Shows adjacent failure and first/last feasible point.</x:v>
      </x:c>
      <x:c r="D11" s="187" t="str">
        <x:v>Limited boundary evidence.</x:v>
      </x:c>
      <x:c r="E11" s="187" t="str">
        <x:v>Selects by one metric only.</x:v>
      </x:c>
      <x:c r="F11" s="187" t="n">
        <x:v>15</x:v>
      </x:c>
      <x:c r="G11" s="187" t="str"/>
      <x:c r="H11" s="187" t="str"/>
      <x:c r="I11" s="187" t="str"/>
      <x:c r="J11" s="187" t="str"/>
      <x:c r="K11" s="187" t="str"/>
      <x:c r="L11" s="187" t="str"/>
      <x:c r="M11" s="187" t="str"/>
      <x:c r="N11" s="187" t="str"/>
    </x:row>
    <x:row r="12" ht="54" customHeight="1">
      <x:c r="A12" s="187" t="str">
        <x:v>TQ4 Serial coupling</x:v>
      </x:c>
      <x:c r="B12" s="187" t="str">
        <x:v>Lineage transfer</x:v>
      </x:c>
      <x:c r="C12" s="187" t="str">
        <x:v>Transfers actual recovery or survivor configuration exactly.</x:v>
      </x:c>
      <x:c r="D12" s="187" t="str">
        <x:v>Rounded but non-decisive transfer.</x:v>
      </x:c>
      <x:c r="E12" s="187" t="str">
        <x:v>Uses target recovery or resets configuration.</x:v>
      </x:c>
      <x:c r="F12" s="187" t="n">
        <x:v>20</x:v>
      </x:c>
      <x:c r="G12" s="187" t="str"/>
      <x:c r="H12" s="187" t="str"/>
      <x:c r="I12" s="187" t="str"/>
      <x:c r="J12" s="187" t="str"/>
      <x:c r="K12" s="187" t="str"/>
      <x:c r="L12" s="187" t="str"/>
      <x:c r="M12" s="187" t="str"/>
      <x:c r="N12" s="187" t="str"/>
    </x:row>
    <x:row r="13" ht="54" customHeight="1">
      <x:c r="A13" s="187" t="str">
        <x:v>TQ5 Stage-2 verification</x:v>
      </x:c>
      <x:c r="B13" s="187" t="str">
        <x:v>eq</x:v>
      </x:c>
      <x:c r="C13" s="187" t="str">
        <x:v>Evaluates every required dose/state/finalist and all constraints.</x:v>
      </x:c>
      <x:c r="D13" s="187" t="str">
        <x:v>One non-decisive omission.</x:v>
      </x:c>
      <x:c r="E13" s="187" t="str">
        <x:v>Averages away a failed state.</x:v>
      </x:c>
      <x:c r="F13" s="187" t="n">
        <x:v>20</x:v>
      </x:c>
      <x:c r="G13" s="187" t="str"/>
      <x:c r="H13" s="187" t="str"/>
      <x:c r="I13" s="187" t="str"/>
      <x:c r="J13" s="187" t="str"/>
      <x:c r="K13" s="187" t="str"/>
      <x:c r="L13" s="187" t="str"/>
      <x:c r="M13" s="187" t="str"/>
      <x:c r="N13" s="187" t="str"/>
    </x:row>
    <x:row r="14" ht="54" customHeight="1">
      <x:c r="A14" s="187" t="str">
        <x:v>TQ6 Decision and scope</x:v>
      </x:c>
      <x:c r="B14" s="187" t="str">
        <x:v>Final recommendation</x:v>
      </x:c>
      <x:c r="C14" s="187" t="str">
        <x:v>Reports final setting, decisive numbers and model limits.</x:v>
      </x:c>
      <x:c r="D14" s="187" t="str">
        <x:v>Correct setting with weak explanation.</x:v>
      </x:c>
      <x:c r="E14" s="187" t="str">
        <x:v>Wrong setting or unsupported certainty.</x:v>
      </x:c>
      <x:c r="F14" s="187" t="n">
        <x:v>15</x:v>
      </x:c>
      <x:c r="G14" s="187" t="str"/>
      <x:c r="H14" s="187" t="str"/>
      <x:c r="I14" s="187" t="str"/>
      <x:c r="J14" s="187" t="str"/>
      <x:c r="K14" s="187" t="str"/>
      <x:c r="L14" s="187" t="str"/>
      <x:c r="M14" s="187" t="str"/>
      <x:c r="N14" s="187" t="str"/>
    </x:row>
    <x:row r="15">
      <x:c r="A15" s="1"/>
      <x:c r="B15" s="1"/>
      <x:c r="C15" s="1"/>
      <x:c r="D15" s="1"/>
      <x:c r="E15" s="1"/>
      <x:c r="F15" s="1"/>
      <x:c r="G15" s="1"/>
      <x:c r="H15" s="1"/>
      <x:c r="I15" s="1"/>
      <x:c r="J15" s="1"/>
      <x:c r="K15" s="1"/>
      <x:c r="L15" s="1"/>
      <x:c r="M15" s="1"/>
      <x:c r="N15" s="1"/>
    </x:row>
    <x:row r="16">
      <x:c r="A16" s="37" t="str">
        <x:v>Gold Answer anchors</x:v>
      </x:c>
      <x:c r="B16" s="37" t="str">
        <x:v>Gold Answer anchors</x:v>
      </x:c>
      <x:c r="C16" s="37" t="str">
        <x:v>Gold Answer anchors</x:v>
      </x:c>
      <x:c r="D16" s="37" t="str">
        <x:v>Gold Answer anchors</x:v>
      </x:c>
      <x:c r="E16" s="37" t="str">
        <x:v>Gold Answer anchors</x:v>
      </x:c>
      <x:c r="F16" s="37" t="str">
        <x:v>Gold Answer anchors</x:v>
      </x:c>
      <x:c r="G16" s="37" t="str">
        <x:v>Gold Answer anchors</x:v>
      </x:c>
      <x:c r="H16" s="37" t="str">
        <x:v>Gold Answer anchors</x:v>
      </x:c>
      <x:c r="I16" s="37" t="str">
        <x:v>Gold Answer anchors</x:v>
      </x:c>
      <x:c r="J16" s="37" t="str">
        <x:v>Gold Answer anchors</x:v>
      </x:c>
      <x:c r="K16" s="37" t="str">
        <x:v>Gold Answer anchors</x:v>
      </x:c>
      <x:c r="L16" s="37" t="str">
        <x:v>Gold Answer anchors</x:v>
      </x:c>
      <x:c r="M16" s="37" t="str">
        <x:v>Gold Answer anchors</x:v>
      </x:c>
      <x:c r="N16" s="37" t="str">
        <x:v>Gold Answer anchors</x:v>
      </x:c>
    </x:row>
    <x:row r="17">
      <x:c r="A17" s="125" t="str">
        <x:v>Stage-1 recommendation</x:v>
      </x:c>
      <x:c r="B17" s="125" t="str">
        <x:v>P26</x:v>
      </x:c>
      <x:c r="C17" s="125" t="str"/>
      <x:c r="D17" s="125" t="str"/>
      <x:c r="E17" s="125" t="str"/>
      <x:c r="F17" s="125" t="str"/>
      <x:c r="G17" s="125" t="str"/>
      <x:c r="H17" s="125" t="str"/>
      <x:c r="I17" s="125" t="str"/>
      <x:c r="J17" s="125" t="str"/>
      <x:c r="K17" s="125" t="str"/>
      <x:c r="L17" s="125" t="str"/>
      <x:c r="M17" s="125" t="str"/>
      <x:c r="N17" s="125" t="str"/>
    </x:row>
    <x:row r="18">
      <x:c r="A18" s="125" t="str">
        <x:v>Stage-2 recommendation</x:v>
      </x:c>
      <x:c r="B18" s="125" t="str">
        <x:v>P26_midSO4</x:v>
      </x:c>
      <x:c r="C18" s="125" t="str"/>
      <x:c r="D18" s="125" t="str"/>
      <x:c r="E18" s="125" t="str"/>
      <x:c r="F18" s="125" t="str"/>
      <x:c r="G18" s="125" t="str"/>
      <x:c r="H18" s="125" t="str"/>
      <x:c r="I18" s="125" t="str"/>
      <x:c r="J18" s="125" t="str"/>
      <x:c r="K18" s="125" t="str"/>
      <x:c r="L18" s="125" t="str"/>
      <x:c r="M18" s="125" t="str"/>
      <x:c r="N18" s="125" t="str"/>
    </x:row>
    <x:row r="19">
      <x:c r="A19" s="125" t="str">
        <x:v>Simulator pair</x:v>
      </x:c>
      <x:c r="B19" s="125" t="str">
        <x:v>simulate_ro → equilibrate_feed</x:v>
      </x:c>
      <x:c r="C19" s="125" t="str"/>
      <x:c r="D19" s="125" t="str"/>
      <x:c r="E19" s="125" t="str"/>
      <x:c r="F19" s="125" t="str"/>
      <x:c r="G19" s="125" t="str"/>
      <x:c r="H19" s="125" t="str"/>
      <x:c r="I19" s="125" t="str"/>
      <x:c r="J19" s="125" t="str"/>
      <x:c r="K19" s="125" t="str"/>
      <x:c r="L19" s="125" t="str"/>
      <x:c r="M19" s="125" t="str"/>
      <x:c r="N19" s="125" t="str"/>
    </x:row>
    <x:row r="20">
      <x:c r="A20" s="125" t="str">
        <x:v>Stage-1 calls</x:v>
      </x:c>
      <x:c r="B20" s="125" t="n">
        <x:v>5</x:v>
      </x:c>
      <x:c r="C20" s="125" t="str"/>
      <x:c r="D20" s="125" t="str"/>
      <x:c r="E20" s="125" t="str"/>
      <x:c r="F20" s="125" t="str"/>
      <x:c r="G20" s="125" t="str"/>
      <x:c r="H20" s="125" t="str"/>
      <x:c r="I20" s="125" t="str"/>
      <x:c r="J20" s="125" t="str"/>
      <x:c r="K20" s="125" t="str"/>
      <x:c r="L20" s="125" t="str"/>
      <x:c r="M20" s="125" t="str"/>
      <x:c r="N20" s="125" t="str"/>
    </x:row>
    <x:row r="21">
      <x:c r="A21" s="125" t="str">
        <x:v>Stage-2 calls</x:v>
      </x:c>
      <x:c r="B21" s="125" t="n">
        <x:v>5</x:v>
      </x:c>
      <x:c r="C21" s="125" t="str"/>
      <x:c r="D21" s="125" t="str"/>
      <x:c r="E21" s="125" t="str"/>
      <x:c r="F21" s="125" t="str"/>
      <x:c r="G21" s="125" t="str"/>
      <x:c r="H21" s="125" t="str"/>
      <x:c r="I21" s="125" t="str"/>
      <x:c r="J21" s="125" t="str"/>
      <x:c r="K21" s="125" t="str"/>
      <x:c r="L21" s="125" t="str"/>
      <x:c r="M21" s="125" t="str"/>
      <x:c r="N21" s="125"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D6_6b-N03 | Tool efficiency (100 points)</x:v>
      </x:c>
      <x:c r="B1" s="6" t="str">
        <x:v>D6_6b-N03 | Tool efficiency (100 points)</x:v>
      </x:c>
      <x:c r="C1" s="6" t="str">
        <x:v>D6_6b-N03 | Tool efficiency (100 points)</x:v>
      </x:c>
      <x:c r="D1" s="6" t="str">
        <x:v>D6_6b-N03 | Tool efficiency (100 points)</x:v>
      </x:c>
      <x:c r="E1" s="6" t="str">
        <x:v>D6_6b-N03 | Tool efficiency (100 points)</x:v>
      </x:c>
      <x:c r="F1" s="6" t="str">
        <x:v>D6_6b-N03 | Tool efficiency (100 points)</x:v>
      </x:c>
      <x:c r="G1" s="6" t="str">
        <x:v>D6_6b-N03 | Tool efficiency (100 points)</x:v>
      </x:c>
      <x:c r="H1" s="6" t="str">
        <x:v>D6_6b-N03 | Tool efficiency (100 points)</x:v>
      </x:c>
      <x:c r="I1" s="6" t="str">
        <x:v>D6_6b-N03 | Tool efficiency (100 points)</x:v>
      </x:c>
      <x:c r="J1" s="6" t="str">
        <x:v>D6_6b-N03 | Tool efficiency (100 points)</x:v>
      </x:c>
      <x:c r="K1" s="6" t="str">
        <x:v>D6_6b-N03 | Tool efficiency (100 points)</x:v>
      </x:c>
      <x:c r="L1" s="6" t="str">
        <x:v>D6_6b-N03 | Tool efficiency (100 points)</x:v>
      </x:c>
      <x:c r="M1" s="6" t="str">
        <x:v>D6_6b-N03 | Tool efficiency (100 points)</x:v>
      </x:c>
      <x:c r="N1" s="6" t="str">
        <x:v>D6_6b-N03 | Tool efficiency (100 points)</x:v>
      </x:c>
    </x:row>
    <x:row r="2" ht="28" customHeight="1">
      <x:c r="A2" s="6" t="str">
        <x:v>D6_6b-N03 | Tool efficiency (100 points)</x:v>
      </x:c>
      <x:c r="B2" s="6" t="str">
        <x:v>D6_6b-N03 | Tool efficiency (100 points)</x:v>
      </x:c>
      <x:c r="C2" s="6" t="str">
        <x:v>D6_6b-N03 | Tool efficiency (100 points)</x:v>
      </x:c>
      <x:c r="D2" s="6" t="str">
        <x:v>D6_6b-N03 | Tool efficiency (100 points)</x:v>
      </x:c>
      <x:c r="E2" s="6" t="str">
        <x:v>D6_6b-N03 | Tool efficiency (100 points)</x:v>
      </x:c>
      <x:c r="F2" s="6" t="str">
        <x:v>D6_6b-N03 | Tool efficiency (100 points)</x:v>
      </x:c>
      <x:c r="G2" s="6" t="str">
        <x:v>D6_6b-N03 | Tool efficiency (100 points)</x:v>
      </x:c>
      <x:c r="H2" s="6" t="str">
        <x:v>D6_6b-N03 | Tool efficiency (100 points)</x:v>
      </x:c>
      <x:c r="I2" s="6" t="str">
        <x:v>D6_6b-N03 | Tool efficiency (100 points)</x:v>
      </x:c>
      <x:c r="J2" s="6" t="str">
        <x:v>D6_6b-N03 | Tool efficiency (100 points)</x:v>
      </x:c>
      <x:c r="K2" s="6" t="str">
        <x:v>D6_6b-N03 | Tool efficiency (100 points)</x:v>
      </x:c>
      <x:c r="L2" s="6" t="str">
        <x:v>D6_6b-N03 | Tool efficiency (100 points)</x:v>
      </x:c>
      <x:c r="M2" s="6" t="str">
        <x:v>D6_6b-N03 | Tool efficiency (100 points)</x:v>
      </x:c>
      <x:c r="N2" s="6" t="str">
        <x:v>D6_6b-N03 | Tool efficiency (100 points)</x:v>
      </x:c>
    </x:row>
    <x:row r="3">
      <x:c r="A3" s="1"/>
      <x:c r="B3" s="1"/>
      <x:c r="C3" s="1"/>
      <x:c r="D3" s="1"/>
      <x:c r="E3" s="1"/>
      <x:c r="F3" s="1"/>
      <x:c r="G3" s="1"/>
      <x:c r="H3" s="1"/>
      <x:c r="I3" s="1"/>
      <x:c r="J3" s="1"/>
      <x:c r="K3" s="1"/>
      <x:c r="L3" s="1"/>
      <x:c r="M3" s="1"/>
      <x:c r="N3" s="1"/>
    </x:row>
    <x:row r="4">
      <x:c r="A4" s="147" t="str">
        <x:v>Reference trajectory: 5 Stage-1 calls + 5 Stage-2 calls. Efficiency means every call changes the next decision boundary, not merely fewer calls.</x:v>
      </x:c>
      <x:c r="B4" s="147" t="str">
        <x:v>Reference trajectory: 5 Stage-1 calls + 5 Stage-2 calls. Efficiency means every call changes the next decision boundary, not merely fewer calls.</x:v>
      </x:c>
      <x:c r="C4" s="147" t="str">
        <x:v>Reference trajectory: 5 Stage-1 calls + 5 Stage-2 calls. Efficiency means every call changes the next decision boundary, not merely fewer calls.</x:v>
      </x:c>
      <x:c r="D4" s="147" t="str">
        <x:v>Reference trajectory: 5 Stage-1 calls + 5 Stage-2 calls. Efficiency means every call changes the next decision boundary, not merely fewer calls.</x:v>
      </x:c>
      <x:c r="E4" s="147" t="str">
        <x:v>Reference trajectory: 5 Stage-1 calls + 5 Stage-2 calls. Efficiency means every call changes the next decision boundary, not merely fewer calls.</x:v>
      </x:c>
      <x:c r="F4" s="147" t="str">
        <x:v>Reference trajectory: 5 Stage-1 calls + 5 Stage-2 calls. Efficiency means every call changes the next decision boundary, not merely fewer calls.</x:v>
      </x:c>
      <x:c r="G4" s="147" t="str">
        <x:v>Reference trajectory: 5 Stage-1 calls + 5 Stage-2 calls. Efficiency means every call changes the next decision boundary, not merely fewer calls.</x:v>
      </x:c>
      <x:c r="H4" s="147" t="str">
        <x:v>Reference trajectory: 5 Stage-1 calls + 5 Stage-2 calls. Efficiency means every call changes the next decision boundary, not merely fewer calls.</x:v>
      </x:c>
      <x:c r="I4" s="147" t="str">
        <x:v>Reference trajectory: 5 Stage-1 calls + 5 Stage-2 calls. Efficiency means every call changes the next decision boundary, not merely fewer calls.</x:v>
      </x:c>
      <x:c r="J4" s="147" t="str">
        <x:v>Reference trajectory: 5 Stage-1 calls + 5 Stage-2 calls. Efficiency means every call changes the next decision boundary, not merely fewer calls.</x:v>
      </x:c>
      <x:c r="K4" s="147" t="str">
        <x:v>Reference trajectory: 5 Stage-1 calls + 5 Stage-2 calls. Efficiency means every call changes the next decision boundary, not merely fewer calls.</x:v>
      </x:c>
      <x:c r="L4" s="147" t="str">
        <x:v>Reference trajectory: 5 Stage-1 calls + 5 Stage-2 calls. Efficiency means every call changes the next decision boundary, not merely fewer calls.</x:v>
      </x:c>
      <x:c r="M4" s="147" t="str">
        <x:v>Reference trajectory: 5 Stage-1 calls + 5 Stage-2 calls. Efficiency means every call changes the next decision boundary, not merely fewer calls.</x:v>
      </x:c>
      <x:c r="N4" s="147" t="str">
        <x:v>Reference trajectory: 5 Stage-1 calls + 5 Stage-2 calls. Efficiency means every call changes the next decision boundary, not merely fewer calls.</x:v>
      </x:c>
    </x:row>
    <x:row r="5">
      <x:c r="A5" s="147" t="str">
        <x:v>Reference trajectory: 5 Stage-1 calls + 5 Stage-2 calls. Efficiency means every call changes the next decision boundary, not merely fewer calls.</x:v>
      </x:c>
      <x:c r="B5" s="147" t="str">
        <x:v>Reference trajectory: 5 Stage-1 calls + 5 Stage-2 calls. Efficiency means every call changes the next decision boundary, not merely fewer calls.</x:v>
      </x:c>
      <x:c r="C5" s="147" t="str">
        <x:v>Reference trajectory: 5 Stage-1 calls + 5 Stage-2 calls. Efficiency means every call changes the next decision boundary, not merely fewer calls.</x:v>
      </x:c>
      <x:c r="D5" s="147" t="str">
        <x:v>Reference trajectory: 5 Stage-1 calls + 5 Stage-2 calls. Efficiency means every call changes the next decision boundary, not merely fewer calls.</x:v>
      </x:c>
      <x:c r="E5" s="147" t="str">
        <x:v>Reference trajectory: 5 Stage-1 calls + 5 Stage-2 calls. Efficiency means every call changes the next decision boundary, not merely fewer calls.</x:v>
      </x:c>
      <x:c r="F5" s="147" t="str">
        <x:v>Reference trajectory: 5 Stage-1 calls + 5 Stage-2 calls. Efficiency means every call changes the next decision boundary, not merely fewer calls.</x:v>
      </x:c>
      <x:c r="G5" s="147" t="str">
        <x:v>Reference trajectory: 5 Stage-1 calls + 5 Stage-2 calls. Efficiency means every call changes the next decision boundary, not merely fewer calls.</x:v>
      </x:c>
      <x:c r="H5" s="147" t="str">
        <x:v>Reference trajectory: 5 Stage-1 calls + 5 Stage-2 calls. Efficiency means every call changes the next decision boundary, not merely fewer calls.</x:v>
      </x:c>
      <x:c r="I5" s="147" t="str">
        <x:v>Reference trajectory: 5 Stage-1 calls + 5 Stage-2 calls. Efficiency means every call changes the next decision boundary, not merely fewer calls.</x:v>
      </x:c>
      <x:c r="J5" s="147" t="str">
        <x:v>Reference trajectory: 5 Stage-1 calls + 5 Stage-2 calls. Efficiency means every call changes the next decision boundary, not merely fewer calls.</x:v>
      </x:c>
      <x:c r="K5" s="147" t="str">
        <x:v>Reference trajectory: 5 Stage-1 calls + 5 Stage-2 calls. Efficiency means every call changes the next decision boundary, not merely fewer calls.</x:v>
      </x:c>
      <x:c r="L5" s="147" t="str">
        <x:v>Reference trajectory: 5 Stage-1 calls + 5 Stage-2 calls. Efficiency means every call changes the next decision boundary, not merely fewer calls.</x:v>
      </x:c>
      <x:c r="M5" s="147" t="str">
        <x:v>Reference trajectory: 5 Stage-1 calls + 5 Stage-2 calls. Efficiency means every call changes the next decision boundary, not merely fewer calls.</x:v>
      </x:c>
      <x:c r="N5" s="147" t="str">
        <x:v>Reference trajectory: 5 Stage-1 calls + 5 Stage-2 calls. Efficiency means every call changes the next decision boundary, not merely fewer calls.</x:v>
      </x:c>
    </x:row>
    <x:row r="6">
      <x:c r="A6" s="147" t="str">
        <x:v>Reference trajectory: 5 Stage-1 calls + 5 Stage-2 calls. Efficiency means every call changes the next decision boundary, not merely fewer calls.</x:v>
      </x:c>
      <x:c r="B6" s="147" t="str">
        <x:v>Reference trajectory: 5 Stage-1 calls + 5 Stage-2 calls. Efficiency means every call changes the next decision boundary, not merely fewer calls.</x:v>
      </x:c>
      <x:c r="C6" s="147" t="str">
        <x:v>Reference trajectory: 5 Stage-1 calls + 5 Stage-2 calls. Efficiency means every call changes the next decision boundary, not merely fewer calls.</x:v>
      </x:c>
      <x:c r="D6" s="147" t="str">
        <x:v>Reference trajectory: 5 Stage-1 calls + 5 Stage-2 calls. Efficiency means every call changes the next decision boundary, not merely fewer calls.</x:v>
      </x:c>
      <x:c r="E6" s="147" t="str">
        <x:v>Reference trajectory: 5 Stage-1 calls + 5 Stage-2 calls. Efficiency means every call changes the next decision boundary, not merely fewer calls.</x:v>
      </x:c>
      <x:c r="F6" s="147" t="str">
        <x:v>Reference trajectory: 5 Stage-1 calls + 5 Stage-2 calls. Efficiency means every call changes the next decision boundary, not merely fewer calls.</x:v>
      </x:c>
      <x:c r="G6" s="147" t="str">
        <x:v>Reference trajectory: 5 Stage-1 calls + 5 Stage-2 calls. Efficiency means every call changes the next decision boundary, not merely fewer calls.</x:v>
      </x:c>
      <x:c r="H6" s="147" t="str">
        <x:v>Reference trajectory: 5 Stage-1 calls + 5 Stage-2 calls. Efficiency means every call changes the next decision boundary, not merely fewer calls.</x:v>
      </x:c>
      <x:c r="I6" s="147" t="str">
        <x:v>Reference trajectory: 5 Stage-1 calls + 5 Stage-2 calls. Efficiency means every call changes the next decision boundary, not merely fewer calls.</x:v>
      </x:c>
      <x:c r="J6" s="147" t="str">
        <x:v>Reference trajectory: 5 Stage-1 calls + 5 Stage-2 calls. Efficiency means every call changes the next decision boundary, not merely fewer calls.</x:v>
      </x:c>
      <x:c r="K6" s="147" t="str">
        <x:v>Reference trajectory: 5 Stage-1 calls + 5 Stage-2 calls. Efficiency means every call changes the next decision boundary, not merely fewer calls.</x:v>
      </x:c>
      <x:c r="L6" s="147" t="str">
        <x:v>Reference trajectory: 5 Stage-1 calls + 5 Stage-2 calls. Efficiency means every call changes the next decision boundary, not merely fewer calls.</x:v>
      </x:c>
      <x:c r="M6" s="147" t="str">
        <x:v>Reference trajectory: 5 Stage-1 calls + 5 Stage-2 calls. Efficiency means every call changes the next decision boundary, not merely fewer calls.</x:v>
      </x:c>
      <x:c r="N6" s="147" t="str">
        <x:v>Reference trajectory: 5 Stage-1 calls + 5 Stage-2 calls. Efficiency means every call changes the next decision boundary, not merely fewer calls.</x:v>
      </x:c>
    </x:row>
    <x:row r="7">
      <x:c r="A7" s="1"/>
      <x:c r="B7" s="1"/>
      <x:c r="C7" s="1"/>
      <x:c r="D7" s="1"/>
      <x:c r="E7" s="1"/>
      <x:c r="F7" s="1"/>
      <x:c r="G7" s="1"/>
      <x:c r="H7" s="1"/>
      <x:c r="I7" s="1"/>
      <x:c r="J7" s="1"/>
      <x:c r="K7" s="1"/>
      <x:c r="L7" s="1"/>
      <x:c r="M7" s="1"/>
      <x:c r="N7" s="1"/>
    </x:row>
    <x:row r="8">
      <x:c r="A8" s="183" t="str">
        <x:v>Stage</x:v>
      </x:c>
      <x:c r="B8" s="183" t="str">
        <x:v>Tool</x:v>
      </x:c>
      <x:c r="C8" s="183" t="str">
        <x:v>Calls</x:v>
      </x:c>
      <x:c r="D8" s="183" t="str">
        <x:v>Key input</x:v>
      </x:c>
      <x:c r="E8" s="183" t="str">
        <x:v>Key observation</x:v>
      </x:c>
      <x:c r="F8" s="183" t="str">
        <x:v>State update</x:v>
      </x:c>
      <x:c r="G8" s="183" t="str">
        <x:v>Next step</x:v>
      </x:c>
      <x:c r="H8" s="183" t="str"/>
      <x:c r="I8" s="183" t="str"/>
      <x:c r="J8" s="183" t="str"/>
      <x:c r="K8" s="183" t="str"/>
      <x:c r="L8" s="183" t="str"/>
      <x:c r="M8" s="183" t="str"/>
      <x:c r="N8" s="183" t="str"/>
    </x:row>
    <x:row r="9" ht="52" customHeight="1">
      <x:c r="A9" s="187" t="str">
        <x:v>1 Metadata</x:v>
      </x:c>
      <x:c r="B9" s="187" t="str">
        <x:v>describe_*</x:v>
      </x:c>
      <x:c r="C9" s="187" t="n">
        <x:v>0</x:v>
      </x:c>
      <x:c r="D9" s="187" t="str">
        <x:v>Units, species and parameter scope</x:v>
      </x:c>
      <x:c r="E9" s="187" t="str">
        <x:v>Confirm valid inputs</x:v>
      </x:c>
      <x:c r="F9" s="187" t="str">
        <x:v>Lock the candidate table</x:v>
      </x:c>
      <x:c r="G9" s="187" t="str">
        <x:v>Run Stage 1</x:v>
      </x:c>
      <x:c r="H9" s="187" t="str"/>
      <x:c r="I9" s="187" t="str"/>
      <x:c r="J9" s="187" t="str"/>
      <x:c r="K9" s="187" t="str"/>
      <x:c r="L9" s="187" t="str"/>
      <x:c r="M9" s="187" t="str"/>
      <x:c r="N9" s="187" t="str"/>
    </x:row>
    <x:row r="10" ht="52" customHeight="1">
      <x:c r="A10" s="187" t="str">
        <x:v>2 Stage 1</x:v>
      </x:c>
      <x:c r="B10" s="187" t="str">
        <x:v>simulate_ro</x:v>
      </x:c>
      <x:c r="C10" s="187" t="n">
        <x:v>5</x:v>
      </x:c>
      <x:c r="D10" s="187" t="str">
        <x:v>Vary only declared design variables</x:v>
      </x:c>
      <x:c r="E10" s="187" t="str">
        <x:v>Locate pass/fail boundary</x:v>
      </x:c>
      <x:c r="F10" s="187" t="str">
        <x:v>Keep survivors or actual recovery</x:v>
      </x:c>
      <x:c r="G10" s="187" t="str">
        <x:v>Transfer lineage</x:v>
      </x:c>
      <x:c r="H10" s="187" t="str"/>
      <x:c r="I10" s="187" t="str"/>
      <x:c r="J10" s="187" t="str"/>
      <x:c r="K10" s="187" t="str"/>
      <x:c r="L10" s="187" t="str"/>
      <x:c r="M10" s="187" t="str"/>
      <x:c r="N10" s="187" t="str"/>
    </x:row>
    <x:row r="11" ht="52" customHeight="1">
      <x:c r="A11" s="187" t="str">
        <x:v>3 Coupling</x:v>
      </x:c>
      <x:c r="B11" s="187" t="str">
        <x:v>—</x:v>
      </x:c>
      <x:c r="C11" s="187" t="n">
        <x:v>0</x:v>
      </x:c>
      <x:c r="D11" s="187" t="str">
        <x:v>Stage-1 IDs and exact outputs</x:v>
      </x:c>
      <x:c r="E11" s="187" t="str">
        <x:v>No target-value substitution</x:v>
      </x:c>
      <x:c r="F11" s="187" t="str">
        <x:v>Create Stage-2 inputs</x:v>
      </x:c>
      <x:c r="G11" s="187" t="str">
        <x:v>Run Stage 2</x:v>
      </x:c>
      <x:c r="H11" s="187" t="str"/>
      <x:c r="I11" s="187" t="str"/>
      <x:c r="J11" s="187" t="str"/>
      <x:c r="K11" s="187" t="str"/>
      <x:c r="L11" s="187" t="str"/>
      <x:c r="M11" s="187" t="str"/>
      <x:c r="N11" s="187" t="str"/>
    </x:row>
    <x:row r="12" ht="52" customHeight="1">
      <x:c r="A12" s="187" t="str">
        <x:v>4 Stage 2</x:v>
      </x:c>
      <x:c r="B12" s="187" t="str">
        <x:v>equilibrate_feed</x:v>
      </x:c>
      <x:c r="C12" s="187" t="n">
        <x:v>5</x:v>
      </x:c>
      <x:c r="D12" s="187" t="str">
        <x:v>Inherited recovery/configuration</x:v>
      </x:c>
      <x:c r="E12" s="187" t="str">
        <x:v>Evaluate all second-stage constraints</x:v>
      </x:c>
      <x:c r="F12" s="187" t="str">
        <x:v>Lock final feasible set</x:v>
      </x:c>
      <x:c r="G12" s="187" t="str">
        <x:v>Check adjacent failures</x:v>
      </x:c>
      <x:c r="H12" s="187" t="str"/>
      <x:c r="I12" s="187" t="str"/>
      <x:c r="J12" s="187" t="str"/>
      <x:c r="K12" s="187" t="str"/>
      <x:c r="L12" s="187" t="str"/>
      <x:c r="M12" s="187" t="str"/>
      <x:c r="N12" s="187" t="str"/>
    </x:row>
    <x:row r="13" ht="52" customHeight="1">
      <x:c r="A13" s="187" t="str">
        <x:v>5 Stop</x:v>
      </x:c>
      <x:c r="B13" s="187" t="str">
        <x:v>—</x:v>
      </x:c>
      <x:c r="C13" s="187" t="n">
        <x:v>0</x:v>
      </x:c>
      <x:c r="D13" s="187" t="str">
        <x:v>Winner plus failure evidence</x:v>
      </x:c>
      <x:c r="E13" s="187" t="str">
        <x:v>No unresolved boundary</x:v>
      </x:c>
      <x:c r="F13" s="187" t="str">
        <x:v>Report recommendation and limits</x:v>
      </x:c>
      <x:c r="G13" s="187" t="str">
        <x:v>Stop</x:v>
      </x:c>
      <x:c r="H13" s="187" t="str"/>
      <x:c r="I13" s="187" t="str"/>
      <x:c r="J13" s="187" t="str"/>
      <x:c r="K13" s="187" t="str"/>
      <x:c r="L13" s="187" t="str"/>
      <x:c r="M13" s="187" t="str"/>
      <x:c r="N13" s="187" t="str"/>
    </x:row>
    <x:row r="14">
      <x:c r="A14" s="1"/>
      <x:c r="B14" s="1"/>
      <x:c r="C14" s="1"/>
      <x:c r="D14" s="1"/>
      <x:c r="E14" s="1"/>
      <x:c r="F14" s="1"/>
      <x:c r="G14" s="1"/>
      <x:c r="H14" s="1"/>
      <x:c r="I14" s="1"/>
      <x:c r="J14" s="1"/>
      <x:c r="K14" s="1"/>
      <x:c r="L14" s="1"/>
      <x:c r="M14" s="1"/>
      <x:c r="N14" s="1"/>
    </x:row>
    <x:row r="15">
      <x:c r="A15" s="1"/>
      <x:c r="B15" s="1"/>
      <x:c r="C15" s="1"/>
      <x:c r="D15" s="1"/>
      <x:c r="E15" s="1"/>
      <x:c r="F15" s="1"/>
      <x:c r="G15" s="1"/>
      <x:c r="H15" s="1"/>
      <x:c r="I15" s="1"/>
      <x:c r="J15" s="1"/>
      <x:c r="K15" s="1"/>
      <x:c r="L15" s="1"/>
      <x:c r="M15" s="1"/>
      <x:c r="N15" s="1"/>
    </x:row>
    <x:row r="16">
      <x:c r="A16" s="37" t="str">
        <x:v>Serial trajectory audit</x:v>
      </x:c>
      <x:c r="B16" s="37" t="str">
        <x:v>Serial trajectory audit</x:v>
      </x:c>
      <x:c r="C16" s="37" t="str">
        <x:v>Serial trajectory audit</x:v>
      </x:c>
      <x:c r="D16" s="37" t="str">
        <x:v>Serial trajectory audit</x:v>
      </x:c>
      <x:c r="E16" s="37" t="str">
        <x:v>Serial trajectory audit</x:v>
      </x:c>
      <x:c r="F16" s="37" t="str">
        <x:v>Serial trajectory audit</x:v>
      </x:c>
      <x:c r="G16" s="37" t="str">
        <x:v>Serial trajectory audit</x:v>
      </x:c>
      <x:c r="H16" s="37" t="str">
        <x:v>Serial trajectory audit</x:v>
      </x:c>
      <x:c r="I16" s="37" t="str">
        <x:v>Serial trajectory audit</x:v>
      </x:c>
      <x:c r="J16" s="37" t="str">
        <x:v>Serial trajectory audit</x:v>
      </x:c>
      <x:c r="K16" s="37" t="str">
        <x:v>Serial trajectory audit</x:v>
      </x:c>
      <x:c r="L16" s="37" t="str">
        <x:v>Serial trajectory audit</x:v>
      </x:c>
      <x:c r="M16" s="37" t="str">
        <x:v>Serial trajectory audit</x:v>
      </x:c>
      <x:c r="N16" s="37" t="str">
        <x:v>Serial trajectory audit</x:v>
      </x:c>
    </x:row>
    <x:row r="17">
      <x:c r="A17" s="84"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7" s="86"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8">
      <x:c r="A18"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8"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9">
      <x:c r="A19"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9"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0">
      <x:c r="A20" s="90"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20" s="92"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1">
      <x:c r="A21" s="1"/>
      <x:c r="B21" s="1"/>
      <x:c r="C21" s="1"/>
      <x:c r="D21" s="1"/>
      <x:c r="E21" s="1"/>
      <x:c r="F21" s="1"/>
      <x:c r="G21" s="1"/>
      <x:c r="H21" s="1"/>
      <x:c r="I21" s="1"/>
      <x:c r="J21" s="1"/>
      <x:c r="K21" s="1"/>
      <x:c r="L21" s="1"/>
      <x:c r="M21" s="1"/>
      <x:c r="N21" s="1"/>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A16:N16"/>
    <x:mergeCell ref="A17:N20"/>
  </x:mergeCells>
  <x:pageMargins left="0.7" right="0.7" top="0.75" bottom="0.75" header="0.3" footer="0.3"/>
</x:worksheet>
</file>