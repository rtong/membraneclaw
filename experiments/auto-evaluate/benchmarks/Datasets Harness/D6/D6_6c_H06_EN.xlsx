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dd3c0587cff4cbe" /></Relationships>
</file>

<file path=xl/workbook.xml><?xml version="1.0" encoding="utf-8"?>
<x:workbook xmlns:x="http://schemas.openxmlformats.org/spreadsheetml/2006/main">
  <x:sheets>
    <x:sheet xmlns:r="http://schemas.openxmlformats.org/officeDocument/2006/relationships" name="Question_Q" sheetId="1" r:id="R5147e99f60934f9d"/>
    <x:sheet xmlns:r="http://schemas.openxmlformats.org/officeDocument/2006/relationships" name="Gold_Answer_A" sheetId="2" r:id="R5194928ce9644f35"/>
    <x:sheet xmlns:r="http://schemas.openxmlformats.org/officeDocument/2006/relationships" name="Trajectory_Rubric" sheetId="3" r:id="R192555a30dd94960"/>
    <x:sheet xmlns:r="http://schemas.openxmlformats.org/officeDocument/2006/relationships" name="Tool_Efficiency" sheetId="4" r:id="Rc9e62c4a77334bd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0.00E+00"/>
    <x:numFmt numFmtId="203" formatCode="0.0%"/>
  </x:numFmts>
  <x:fonts count="12">
    <x:font>
      <x:sz val="11"/>
      <x:name val="Carlito"/>
    </x:font>
    <x:font>
      <x:sz val="9"/>
      <x:color rgb="FF1F2937"/>
      <x:name val="Aptos"/>
    </x:font>
    <x:font>
      <x:b/>
      <x:sz val="18"/>
      <x:color rgb="FFFFFFFF"/>
      <x:name val="Aptos"/>
    </x:font>
    <x:font>
      <x:i/>
      <x:sz val="10"/>
      <x:color rgb="FF1F2937"/>
      <x:name val="Aptos"/>
    </x:font>
    <x:font>
      <x:b/>
      <x:sz val="11"/>
      <x:color rgb="FFFFFFFF"/>
      <x:name val="Aptos"/>
    </x:font>
    <x:font>
      <x:sz val="10"/>
      <x:color rgb="FF1F2937"/>
      <x:name val="Aptos"/>
    </x:font>
    <x:font>
      <x:b/>
      <x:sz val="9"/>
      <x:color rgb="FFFFFFFF"/>
      <x:name val="Aptos"/>
    </x:font>
    <x:font>
      <x:b/>
      <x:sz val="10"/>
      <x:color rgb="FF1F2937"/>
      <x:name val="Aptos"/>
    </x:font>
    <x:font>
      <x:b/>
      <x:sz val="9"/>
      <x:color rgb="FF16324F"/>
      <x:name val="Aptos"/>
    </x:font>
    <x:font>
      <x:b/>
      <x:sz val="9"/>
      <x:color rgb="FF1F2937"/>
      <x:name val="Aptos"/>
    </x:font>
    <x:font>
      <x:b/>
      <x:sz val="10"/>
      <x:color rgb="FF16324F"/>
      <x:name val="Aptos"/>
    </x:font>
    <x:font>
      <x:i/>
      <x:sz val="9"/>
      <x:color rgb="FF1F2937"/>
      <x:name val="Aptos"/>
    </x:font>
  </x:fonts>
  <x:fills count="27">
    <x:fill>
      <x:patternFill patternType="none"/>
    </x:fill>
    <x:fill>
      <x:patternFill patternType="gray125"/>
    </x:fill>
    <x:fill>
      <x:patternFill patternType="solid">
        <x:fgColor rgb="FF16324F"/>
      </x:patternFill>
    </x:fill>
    <x:fill>
      <x:patternFill patternType="solid">
        <x:fgColor rgb="FFDCEAF7"/>
      </x:patternFill>
    </x:fill>
    <x:fill>
      <x:patternFill patternType="solid">
        <x:fgColor rgb="FF087E8B"/>
      </x:patternFill>
    </x:fill>
    <x:fill>
      <x:patternFill patternType="solid">
        <x:fgColor rgb="FFF5F8FB"/>
      </x:patternFill>
    </x:fill>
    <x:fill>
      <x:patternFill patternType="solid">
        <x:fgColor rgb="FFFFFFFF"/>
      </x:patternFill>
    </x:fill>
    <x:fill>
      <x:patternFill patternType="solid">
        <x:fgColor rgb="FFDDF3EC"/>
      </x:patternFill>
    </x:fill>
    <x:fill>
      <x:patternFill patternType="solid">
        <x:fgColor rgb="FFF4C95D"/>
      </x:patternFill>
    </x:fill>
    <x:fill>
      <x:patternFill patternType="solid">
        <x:fgColor rgb="FFD9F2E6"/>
      </x:patternFill>
    </x:fill>
    <x:fill>
      <x:patternFill patternType="solid">
        <x:fgColor rgb="FFFDE2E1"/>
      </x:patternFill>
    </x:fill>
    <x:fill>
      <x:patternFill patternType="solid">
        <x:fgColor rgb="FF16324F"/>
      </x:patternFill>
    </x:fill>
    <x:fill>
      <x:patternFill patternType="solid">
        <x:fgColor rgb="FFDCEAF7"/>
      </x:patternFill>
    </x:fill>
    <x:fill>
      <x:patternFill patternType="solid">
        <x:fgColor rgb="FF087E8B"/>
      </x:patternFill>
    </x:fill>
    <x:fill>
      <x:patternFill patternType="solid">
        <x:fgColor rgb="FFF5F8FB"/>
      </x:patternFill>
    </x:fill>
    <x:fill>
      <x:patternFill patternType="solid">
        <x:fgColor rgb="FFFFFFFF"/>
      </x:patternFill>
    </x:fill>
    <x:fill>
      <x:patternFill patternType="solid">
        <x:fgColor rgb="FFF4C95D"/>
      </x:patternFill>
    </x:fill>
    <x:fill>
      <x:patternFill patternType="solid">
        <x:fgColor rgb="FFDDF3EC"/>
      </x:patternFill>
    </x:fill>
    <x:fill>
      <x:patternFill patternType="solid">
        <x:fgColor rgb="FFFFF6D9"/>
      </x:patternFill>
    </x:fill>
    <x:fill>
      <x:patternFill patternType="solid">
        <x:fgColor rgb="FF16324F"/>
      </x:patternFill>
    </x:fill>
    <x:fill>
      <x:patternFill patternType="solid">
        <x:fgColor rgb="FFDCEAF7"/>
      </x:patternFill>
    </x:fill>
    <x:fill>
      <x:patternFill patternType="solid">
        <x:fgColor rgb="FF087E8B"/>
      </x:patternFill>
    </x:fill>
    <x:fill>
      <x:patternFill patternType="solid">
        <x:fgColor rgb="FFF5F8FB"/>
      </x:patternFill>
    </x:fill>
    <x:fill>
      <x:patternFill patternType="solid">
        <x:fgColor rgb="FFFFFFFF"/>
      </x:patternFill>
    </x:fill>
    <x:fill>
      <x:patternFill patternType="solid">
        <x:fgColor rgb="FFF4C95D"/>
      </x:patternFill>
    </x:fill>
    <x:fill>
      <x:patternFill patternType="solid">
        <x:fgColor rgb="FFDDF3EC"/>
      </x:patternFill>
    </x:fill>
    <x:fill>
      <x:patternFill patternType="solid">
        <x:fgColor rgb="FFFFF6D9"/>
      </x:patternFill>
    </x:fill>
  </x:fills>
  <x:borders count="10">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381">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0" fontId="1"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1"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vertical="center"/>
    </x:xf>
    <x:xf numFmtId="0" fontId="1" fillId="5" borderId="0" xfId="0" applyNumberFormat="1" applyFont="1" applyFill="1" applyBorder="1"/>
    <x:xf numFmtId="0" fontId="5" fillId="5" borderId="0" xfId="0" applyNumberFormat="1" applyFont="1" applyFill="1" applyBorder="1"/>
    <x:xf numFmtId="0" fontId="5" fillId="5" borderId="1" xfId="0" applyNumberFormat="1" applyFont="1" applyFill="1" applyBorder="1"/>
    <x:xf numFmtId="0" fontId="5" fillId="5" borderId="2" xfId="0" applyNumberFormat="1" applyFont="1" applyFill="1" applyBorder="1"/>
    <x:xf numFmtId="0" fontId="5" fillId="5" borderId="3" xfId="0" applyNumberFormat="1" applyFont="1" applyFill="1" applyBorder="1"/>
    <x:xf numFmtId="0" fontId="5" fillId="5" borderId="4" xfId="0" applyNumberFormat="1" applyFont="1" applyFill="1" applyBorder="1"/>
    <x:xf numFmtId="0" fontId="5" fillId="5" borderId="5" xfId="0" applyNumberFormat="1" applyFont="1" applyFill="1" applyBorder="1"/>
    <x:xf numFmtId="0" fontId="5" fillId="5" borderId="6" xfId="0" applyNumberFormat="1" applyFont="1" applyFill="1" applyBorder="1"/>
    <x:xf numFmtId="0" fontId="5" fillId="5" borderId="7" xfId="0" applyNumberFormat="1" applyFont="1" applyFill="1" applyBorder="1"/>
    <x:xf numFmtId="0" fontId="5" fillId="5" borderId="8" xfId="0" applyNumberFormat="1" applyFont="1" applyFill="1" applyBorder="1"/>
    <x:xf numFmtId="0" fontId="5" fillId="5" borderId="1" xfId="0" applyNumberFormat="1" applyFont="1" applyFill="1" applyBorder="1" applyAlignment="1">
      <x:alignment wrapText="1"/>
    </x:xf>
    <x:xf numFmtId="0" fontId="5" fillId="5" borderId="2" xfId="0" applyNumberFormat="1" applyFont="1" applyFill="1" applyBorder="1" applyAlignment="1">
      <x:alignment wrapText="1"/>
    </x:xf>
    <x:xf numFmtId="0" fontId="5" fillId="5" borderId="3" xfId="0" applyNumberFormat="1" applyFont="1" applyFill="1" applyBorder="1" applyAlignment="1">
      <x:alignment wrapText="1"/>
    </x:xf>
    <x:xf numFmtId="0" fontId="5" fillId="5" borderId="4" xfId="0" applyNumberFormat="1" applyFont="1" applyFill="1" applyBorder="1" applyAlignment="1">
      <x:alignment wrapText="1"/>
    </x:xf>
    <x:xf numFmtId="0" fontId="5" fillId="5" borderId="0" xfId="0" applyNumberFormat="1" applyFont="1" applyFill="1" applyBorder="1" applyAlignment="1">
      <x:alignment wrapText="1"/>
    </x:xf>
    <x:xf numFmtId="0" fontId="5" fillId="5" borderId="5" xfId="0" applyNumberFormat="1" applyFont="1" applyFill="1" applyBorder="1" applyAlignment="1">
      <x:alignment wrapText="1"/>
    </x:xf>
    <x:xf numFmtId="0" fontId="5" fillId="5" borderId="6" xfId="0" applyNumberFormat="1" applyFont="1" applyFill="1" applyBorder="1" applyAlignment="1">
      <x:alignment wrapText="1"/>
    </x:xf>
    <x:xf numFmtId="0" fontId="5" fillId="5" borderId="7" xfId="0" applyNumberFormat="1" applyFont="1" applyFill="1" applyBorder="1" applyAlignment="1">
      <x:alignment wrapText="1"/>
    </x:xf>
    <x:xf numFmtId="0" fontId="5" fillId="5" borderId="8" xfId="0" applyNumberFormat="1" applyFont="1" applyFill="1" applyBorder="1" applyAlignment="1">
      <x:alignment wrapText="1"/>
    </x:xf>
    <x:xf numFmtId="0" fontId="5" fillId="5" borderId="1" xfId="0" applyNumberFormat="1" applyFont="1" applyFill="1" applyBorder="1" applyAlignment="1">
      <x:alignment vertical="top" wrapText="1"/>
    </x:xf>
    <x:xf numFmtId="0" fontId="5" fillId="5" borderId="2" xfId="0" applyNumberFormat="1" applyFont="1" applyFill="1" applyBorder="1" applyAlignment="1">
      <x:alignment vertical="top" wrapText="1"/>
    </x:xf>
    <x:xf numFmtId="0" fontId="5" fillId="5" borderId="3" xfId="0" applyNumberFormat="1" applyFont="1" applyFill="1" applyBorder="1" applyAlignment="1">
      <x:alignment vertical="top" wrapText="1"/>
    </x:xf>
    <x:xf numFmtId="0" fontId="5" fillId="5" borderId="4" xfId="0" applyNumberFormat="1" applyFont="1" applyFill="1" applyBorder="1" applyAlignment="1">
      <x:alignment vertical="top" wrapText="1"/>
    </x:xf>
    <x:xf numFmtId="0" fontId="5" fillId="5" borderId="0" xfId="0" applyNumberFormat="1" applyFont="1" applyFill="1" applyBorder="1" applyAlignment="1">
      <x:alignment vertical="top" wrapText="1"/>
    </x:xf>
    <x:xf numFmtId="0" fontId="5" fillId="5" borderId="5" xfId="0" applyNumberFormat="1" applyFont="1" applyFill="1" applyBorder="1" applyAlignment="1">
      <x:alignment vertical="top" wrapText="1"/>
    </x:xf>
    <x:xf numFmtId="0" fontId="5" fillId="5" borderId="6" xfId="0" applyNumberFormat="1" applyFont="1" applyFill="1" applyBorder="1" applyAlignment="1">
      <x:alignment vertical="top" wrapText="1"/>
    </x:xf>
    <x:xf numFmtId="0" fontId="5" fillId="5" borderId="7" xfId="0" applyNumberFormat="1" applyFont="1" applyFill="1" applyBorder="1" applyAlignment="1">
      <x:alignment vertical="top" wrapText="1"/>
    </x:xf>
    <x:xf numFmtId="0" fontId="5" fillId="5" borderId="8" xfId="0" applyNumberFormat="1" applyFont="1" applyFill="1" applyBorder="1" applyAlignment="1">
      <x:alignment vertical="top" wrapText="1"/>
    </x:xf>
    <x:xf numFmtId="0" fontId="6" fillId="2" borderId="0" xfId="0" applyNumberFormat="1" applyFont="1" applyFill="1" applyBorder="1"/>
    <x:xf numFmtId="0" fontId="6" fillId="2" borderId="9" xfId="0" applyNumberFormat="1" applyFont="1" applyFill="1" applyBorder="1"/>
    <x:xf numFmtId="0" fontId="6" fillId="2" borderId="9" xfId="0" applyNumberFormat="1" applyFont="1" applyFill="1" applyBorder="1" applyAlignment="1">
      <x:alignment wrapText="1"/>
    </x:xf>
    <x:xf numFmtId="0" fontId="6" fillId="2" borderId="9" xfId="0" applyNumberFormat="1" applyFont="1" applyFill="1" applyBorder="1" applyAlignment="1">
      <x:alignment horizontal="center" wrapText="1"/>
    </x:xf>
    <x:xf numFmtId="0" fontId="6" fillId="2" borderId="9" xfId="0" applyNumberFormat="1" applyFont="1" applyFill="1" applyBorder="1" applyAlignment="1">
      <x:alignment horizontal="center" vertical="center" wrapText="1"/>
    </x:xf>
    <x:xf numFmtId="0" fontId="1" fillId="6" borderId="0" xfId="0" applyNumberFormat="1" applyFont="1" applyFill="1" applyBorder="1"/>
    <x:xf numFmtId="0" fontId="1" fillId="6" borderId="9" xfId="0" applyNumberFormat="1" applyFont="1" applyFill="1" applyBorder="1"/>
    <x:xf numFmtId="0" fontId="1" fillId="6" borderId="9" xfId="0" applyNumberFormat="1" applyFont="1" applyFill="1" applyBorder="1" applyAlignment="1">
      <x:alignment wrapText="1"/>
    </x:xf>
    <x:xf numFmtId="0" fontId="1" fillId="6" borderId="9" xfId="0" applyNumberFormat="1" applyFont="1" applyFill="1" applyBorder="1" applyAlignment="1">
      <x:alignment vertical="center" wrapText="1"/>
    </x:xf>
    <x:xf numFmtId="200" fontId="1" fillId="6" borderId="9" xfId="0" applyNumberFormat="1" applyFont="1" applyFill="1" applyBorder="1" applyAlignment="1">
      <x:alignment vertical="center" wrapText="1"/>
    </x:xf>
    <x:xf numFmtId="201" fontId="1" fillId="6" borderId="9" xfId="0" applyNumberFormat="1" applyFont="1" applyFill="1" applyBorder="1" applyAlignment="1">
      <x:alignment vertical="center" wrapText="1"/>
    </x:xf>
    <x:xf numFmtId="202" fontId="1" fillId="6" borderId="9" xfId="0" applyNumberFormat="1" applyFont="1" applyFill="1" applyBorder="1" applyAlignment="1">
      <x:alignment vertical="center" wrapText="1"/>
    </x:xf>
    <x:xf numFmtId="203" fontId="1" fillId="6" borderId="9" xfId="0" applyNumberFormat="1" applyFont="1" applyFill="1" applyBorder="1" applyAlignment="1">
      <x:alignment vertical="center" wrapText="1"/>
    </x:xf>
    <x:xf numFmtId="0" fontId="1" fillId="7" borderId="0" xfId="0" applyNumberFormat="1" applyFont="1" applyFill="1" applyBorder="1"/>
    <x:xf numFmtId="0" fontId="7" fillId="7" borderId="0" xfId="0" applyNumberFormat="1" applyFont="1" applyFill="1" applyBorder="1"/>
    <x:xf numFmtId="0" fontId="7" fillId="7" borderId="1" xfId="0" applyNumberFormat="1" applyFont="1" applyFill="1" applyBorder="1"/>
    <x:xf numFmtId="0" fontId="7" fillId="7" borderId="2" xfId="0" applyNumberFormat="1" applyFont="1" applyFill="1" applyBorder="1"/>
    <x:xf numFmtId="0" fontId="7" fillId="7" borderId="3" xfId="0" applyNumberFormat="1" applyFont="1" applyFill="1" applyBorder="1"/>
    <x:xf numFmtId="0" fontId="7" fillId="7" borderId="4" xfId="0" applyNumberFormat="1" applyFont="1" applyFill="1" applyBorder="1"/>
    <x:xf numFmtId="0" fontId="7" fillId="7" borderId="5" xfId="0" applyNumberFormat="1" applyFont="1" applyFill="1" applyBorder="1"/>
    <x:xf numFmtId="0" fontId="7" fillId="7" borderId="6" xfId="0" applyNumberFormat="1" applyFont="1" applyFill="1" applyBorder="1"/>
    <x:xf numFmtId="0" fontId="7" fillId="7" borderId="7" xfId="0" applyNumberFormat="1" applyFont="1" applyFill="1" applyBorder="1"/>
    <x:xf numFmtId="0" fontId="7" fillId="7" borderId="8" xfId="0" applyNumberFormat="1" applyFont="1" applyFill="1" applyBorder="1"/>
    <x:xf numFmtId="0" fontId="7" fillId="7" borderId="1" xfId="0" applyNumberFormat="1" applyFont="1" applyFill="1" applyBorder="1" applyAlignment="1">
      <x:alignment wrapText="1"/>
    </x:xf>
    <x:xf numFmtId="0" fontId="7" fillId="7" borderId="2" xfId="0" applyNumberFormat="1" applyFont="1" applyFill="1" applyBorder="1" applyAlignment="1">
      <x:alignment wrapText="1"/>
    </x:xf>
    <x:xf numFmtId="0" fontId="7" fillId="7" borderId="3" xfId="0" applyNumberFormat="1" applyFont="1" applyFill="1" applyBorder="1" applyAlignment="1">
      <x:alignment wrapText="1"/>
    </x:xf>
    <x:xf numFmtId="0" fontId="7" fillId="7" borderId="4" xfId="0" applyNumberFormat="1" applyFont="1" applyFill="1" applyBorder="1" applyAlignment="1">
      <x:alignment wrapText="1"/>
    </x:xf>
    <x:xf numFmtId="0" fontId="7" fillId="7" borderId="0" xfId="0" applyNumberFormat="1" applyFont="1" applyFill="1" applyBorder="1" applyAlignment="1">
      <x:alignment wrapText="1"/>
    </x:xf>
    <x:xf numFmtId="0" fontId="7" fillId="7" borderId="5" xfId="0" applyNumberFormat="1" applyFont="1" applyFill="1" applyBorder="1" applyAlignment="1">
      <x:alignment wrapText="1"/>
    </x:xf>
    <x:xf numFmtId="0" fontId="7" fillId="7" borderId="6" xfId="0" applyNumberFormat="1" applyFont="1" applyFill="1" applyBorder="1" applyAlignment="1">
      <x:alignment wrapText="1"/>
    </x:xf>
    <x:xf numFmtId="0" fontId="7" fillId="7" borderId="7" xfId="0" applyNumberFormat="1" applyFont="1" applyFill="1" applyBorder="1" applyAlignment="1">
      <x:alignment wrapText="1"/>
    </x:xf>
    <x:xf numFmtId="0" fontId="7" fillId="7" borderId="8" xfId="0" applyNumberFormat="1" applyFont="1" applyFill="1" applyBorder="1" applyAlignment="1">
      <x:alignment wrapText="1"/>
    </x:xf>
    <x:xf numFmtId="0" fontId="7" fillId="7" borderId="1" xfId="0" applyNumberFormat="1" applyFont="1" applyFill="1" applyBorder="1" applyAlignment="1">
      <x:alignment vertical="top" wrapText="1"/>
    </x:xf>
    <x:xf numFmtId="0" fontId="7" fillId="7" borderId="2" xfId="0" applyNumberFormat="1" applyFont="1" applyFill="1" applyBorder="1" applyAlignment="1">
      <x:alignment vertical="top" wrapText="1"/>
    </x:xf>
    <x:xf numFmtId="0" fontId="7" fillId="7" borderId="3" xfId="0" applyNumberFormat="1" applyFont="1" applyFill="1" applyBorder="1" applyAlignment="1">
      <x:alignment vertical="top" wrapText="1"/>
    </x:xf>
    <x:xf numFmtId="0" fontId="7" fillId="7" borderId="4" xfId="0" applyNumberFormat="1" applyFont="1" applyFill="1" applyBorder="1" applyAlignment="1">
      <x:alignment vertical="top" wrapText="1"/>
    </x:xf>
    <x:xf numFmtId="0" fontId="7" fillId="7" borderId="0" xfId="0" applyNumberFormat="1" applyFont="1" applyFill="1" applyBorder="1" applyAlignment="1">
      <x:alignment vertical="top" wrapText="1"/>
    </x:xf>
    <x:xf numFmtId="0" fontId="7" fillId="7" borderId="5" xfId="0" applyNumberFormat="1" applyFont="1" applyFill="1" applyBorder="1" applyAlignment="1">
      <x:alignment vertical="top" wrapText="1"/>
    </x:xf>
    <x:xf numFmtId="0" fontId="7" fillId="7" borderId="6" xfId="0" applyNumberFormat="1" applyFont="1" applyFill="1" applyBorder="1" applyAlignment="1">
      <x:alignment vertical="top" wrapText="1"/>
    </x:xf>
    <x:xf numFmtId="0" fontId="7" fillId="7" borderId="7" xfId="0" applyNumberFormat="1" applyFont="1" applyFill="1" applyBorder="1" applyAlignment="1">
      <x:alignment vertical="top" wrapText="1"/>
    </x:xf>
    <x:xf numFmtId="0" fontId="7" fillId="7" borderId="8" xfId="0" applyNumberFormat="1" applyFont="1" applyFill="1" applyBorder="1" applyAlignment="1">
      <x:alignment vertical="top" wrapText="1"/>
    </x:xf>
    <x:xf numFmtId="0" fontId="1" fillId="0" borderId="9" xfId="0" applyNumberFormat="1" applyFont="1" applyFill="1" applyBorder="1"/>
    <x:xf numFmtId="0" fontId="1" fillId="0" borderId="9" xfId="0" applyNumberFormat="1" applyFont="1" applyFill="1" applyBorder="1" applyAlignment="1">
      <x:alignment wrapText="1"/>
    </x:xf>
    <x:xf numFmtId="0" fontId="1" fillId="8" borderId="9"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9" xfId="0" applyNumberFormat="1" applyFont="1" applyFill="1" applyBorder="1" applyAlignment="1">
      <x:alignment horizontal="center" wrapText="1"/>
    </x:xf>
    <x:xf numFmtId="0" fontId="1" fillId="9" borderId="0" xfId="0" applyNumberFormat="1" applyFont="1" applyFill="1" applyBorder="1"/>
    <x:xf numFmtId="0" fontId="7" fillId="9" borderId="0" xfId="0" applyNumberFormat="1" applyFont="1" applyFill="1" applyBorder="1"/>
    <x:xf numFmtId="0" fontId="7" fillId="9" borderId="1" xfId="0" applyNumberFormat="1" applyFont="1" applyFill="1" applyBorder="1"/>
    <x:xf numFmtId="0" fontId="7" fillId="9" borderId="2" xfId="0" applyNumberFormat="1" applyFont="1" applyFill="1" applyBorder="1"/>
    <x:xf numFmtId="0" fontId="7" fillId="9" borderId="3" xfId="0" applyNumberFormat="1" applyFont="1" applyFill="1" applyBorder="1"/>
    <x:xf numFmtId="0" fontId="7" fillId="9" borderId="4" xfId="0" applyNumberFormat="1" applyFont="1" applyFill="1" applyBorder="1"/>
    <x:xf numFmtId="0" fontId="7" fillId="9" borderId="5" xfId="0" applyNumberFormat="1" applyFont="1" applyFill="1" applyBorder="1"/>
    <x:xf numFmtId="0" fontId="7" fillId="9" borderId="6" xfId="0" applyNumberFormat="1" applyFont="1" applyFill="1" applyBorder="1"/>
    <x:xf numFmtId="0" fontId="7" fillId="9" borderId="7" xfId="0" applyNumberFormat="1" applyFont="1" applyFill="1" applyBorder="1"/>
    <x:xf numFmtId="0" fontId="7" fillId="9" borderId="8" xfId="0" applyNumberFormat="1" applyFont="1" applyFill="1" applyBorder="1"/>
    <x:xf numFmtId="0" fontId="7" fillId="9" borderId="1" xfId="0" applyNumberFormat="1" applyFont="1" applyFill="1" applyBorder="1" applyAlignment="1">
      <x:alignment wrapText="1"/>
    </x:xf>
    <x:xf numFmtId="0" fontId="7" fillId="9" borderId="2" xfId="0" applyNumberFormat="1" applyFont="1" applyFill="1" applyBorder="1" applyAlignment="1">
      <x:alignment wrapText="1"/>
    </x:xf>
    <x:xf numFmtId="0" fontId="7" fillId="9" borderId="3" xfId="0" applyNumberFormat="1" applyFont="1" applyFill="1" applyBorder="1" applyAlignment="1">
      <x:alignment wrapText="1"/>
    </x:xf>
    <x:xf numFmtId="0" fontId="7" fillId="9" borderId="4" xfId="0" applyNumberFormat="1" applyFont="1" applyFill="1" applyBorder="1" applyAlignment="1">
      <x:alignment wrapText="1"/>
    </x:xf>
    <x:xf numFmtId="0" fontId="7" fillId="9" borderId="0" xfId="0" applyNumberFormat="1" applyFont="1" applyFill="1" applyBorder="1" applyAlignment="1">
      <x:alignment wrapText="1"/>
    </x:xf>
    <x:xf numFmtId="0" fontId="7" fillId="9" borderId="5" xfId="0" applyNumberFormat="1" applyFont="1" applyFill="1" applyBorder="1" applyAlignment="1">
      <x:alignment wrapText="1"/>
    </x:xf>
    <x:xf numFmtId="0" fontId="7" fillId="9" borderId="6" xfId="0" applyNumberFormat="1" applyFont="1" applyFill="1" applyBorder="1" applyAlignment="1">
      <x:alignment wrapText="1"/>
    </x:xf>
    <x:xf numFmtId="0" fontId="7" fillId="9" borderId="7" xfId="0" applyNumberFormat="1" applyFont="1" applyFill="1" applyBorder="1" applyAlignment="1">
      <x:alignment wrapText="1"/>
    </x:xf>
    <x:xf numFmtId="0" fontId="7" fillId="9" borderId="8" xfId="0" applyNumberFormat="1" applyFont="1" applyFill="1" applyBorder="1" applyAlignment="1">
      <x:alignment wrapText="1"/>
    </x:xf>
    <x:xf numFmtId="0" fontId="7" fillId="9" borderId="1" xfId="0" applyNumberFormat="1" applyFont="1" applyFill="1" applyBorder="1" applyAlignment="1">
      <x:alignment vertical="top" wrapText="1"/>
    </x:xf>
    <x:xf numFmtId="0" fontId="7" fillId="9" borderId="2" xfId="0" applyNumberFormat="1" applyFont="1" applyFill="1" applyBorder="1" applyAlignment="1">
      <x:alignment vertical="top" wrapText="1"/>
    </x:xf>
    <x:xf numFmtId="0" fontId="7" fillId="9" borderId="3" xfId="0" applyNumberFormat="1" applyFont="1" applyFill="1" applyBorder="1" applyAlignment="1">
      <x:alignment vertical="top" wrapText="1"/>
    </x:xf>
    <x:xf numFmtId="0" fontId="7" fillId="9" borderId="4" xfId="0" applyNumberFormat="1" applyFont="1" applyFill="1" applyBorder="1" applyAlignment="1">
      <x:alignment vertical="top" wrapText="1"/>
    </x:xf>
    <x:xf numFmtId="0" fontId="7" fillId="9" borderId="0" xfId="0" applyNumberFormat="1" applyFont="1" applyFill="1" applyBorder="1" applyAlignment="1">
      <x:alignment vertical="top" wrapText="1"/>
    </x:xf>
    <x:xf numFmtId="0" fontId="7" fillId="9" borderId="5" xfId="0" applyNumberFormat="1" applyFont="1" applyFill="1" applyBorder="1" applyAlignment="1">
      <x:alignment vertical="top" wrapText="1"/>
    </x:xf>
    <x:xf numFmtId="0" fontId="7" fillId="9" borderId="6" xfId="0" applyNumberFormat="1" applyFont="1" applyFill="1" applyBorder="1" applyAlignment="1">
      <x:alignment vertical="top" wrapText="1"/>
    </x:xf>
    <x:xf numFmtId="0" fontId="7" fillId="9" borderId="7" xfId="0" applyNumberFormat="1" applyFont="1" applyFill="1" applyBorder="1" applyAlignment="1">
      <x:alignment vertical="top" wrapText="1"/>
    </x:xf>
    <x:xf numFmtId="0" fontId="7" fillId="9" borderId="8" xfId="0" applyNumberFormat="1" applyFont="1" applyFill="1" applyBorder="1" applyAlignment="1">
      <x:alignment vertical="top" wrapText="1"/>
    </x:xf>
    <x:xf numFmtId="0" fontId="1" fillId="9" borderId="9" xfId="0" applyNumberFormat="1" applyFont="1" applyFill="1" applyBorder="1" applyAlignment="1">
      <x:alignment vertical="center" wrapText="1"/>
    </x:xf>
    <x:xf numFmtId="201" fontId="1" fillId="9" borderId="9" xfId="0" applyNumberFormat="1" applyFont="1" applyFill="1" applyBorder="1" applyAlignment="1">
      <x:alignment vertical="center" wrapText="1"/>
    </x:xf>
    <x:xf numFmtId="0" fontId="4" fillId="2" borderId="0" xfId="0" applyNumberFormat="1" applyFont="1" applyFill="1" applyBorder="1" applyAlignment="1">
      <x:alignment vertical="center"/>
    </x:xf>
    <x:xf numFmtId="0" fontId="6" fillId="2" borderId="0" xfId="0" applyNumberFormat="1" applyFont="1" applyFill="1" applyBorder="1" applyAlignment="1">
      <x:alignment vertical="center"/>
    </x:xf>
    <x:xf numFmtId="0" fontId="6" fillId="2" borderId="9" xfId="0" applyNumberFormat="1" applyFont="1" applyFill="1" applyBorder="1" applyAlignment="1">
      <x:alignment vertical="center"/>
    </x:xf>
    <x:xf numFmtId="0" fontId="6" fillId="2" borderId="9" xfId="0" applyNumberFormat="1" applyFont="1" applyFill="1" applyBorder="1" applyAlignment="1">
      <x:alignment vertical="center" wrapText="1"/>
    </x:xf>
    <x:xf numFmtId="0" fontId="1" fillId="5" borderId="1" xfId="0" applyNumberFormat="1" applyFont="1" applyFill="1" applyBorder="1"/>
    <x:xf numFmtId="0" fontId="1" fillId="5" borderId="2" xfId="0" applyNumberFormat="1" applyFont="1" applyFill="1" applyBorder="1"/>
    <x:xf numFmtId="0" fontId="1" fillId="5" borderId="3" xfId="0" applyNumberFormat="1" applyFont="1" applyFill="1" applyBorder="1"/>
    <x:xf numFmtId="0" fontId="1" fillId="5" borderId="4" xfId="0" applyNumberFormat="1" applyFont="1" applyFill="1" applyBorder="1"/>
    <x:xf numFmtId="0" fontId="1" fillId="5" borderId="5" xfId="0" applyNumberFormat="1" applyFont="1" applyFill="1" applyBorder="1"/>
    <x:xf numFmtId="0" fontId="1" fillId="5" borderId="6" xfId="0" applyNumberFormat="1" applyFont="1" applyFill="1" applyBorder="1"/>
    <x:xf numFmtId="0" fontId="1" fillId="5" borderId="7" xfId="0" applyNumberFormat="1" applyFont="1" applyFill="1" applyBorder="1"/>
    <x:xf numFmtId="0" fontId="1" fillId="5" borderId="8" xfId="0" applyNumberFormat="1" applyFont="1" applyFill="1" applyBorder="1"/>
    <x:xf numFmtId="0" fontId="1" fillId="5" borderId="1" xfId="0" applyNumberFormat="1" applyFont="1" applyFill="1" applyBorder="1" applyAlignment="1">
      <x:alignment wrapText="1"/>
    </x:xf>
    <x:xf numFmtId="0" fontId="1" fillId="5" borderId="2" xfId="0" applyNumberFormat="1" applyFont="1" applyFill="1" applyBorder="1" applyAlignment="1">
      <x:alignment wrapText="1"/>
    </x:xf>
    <x:xf numFmtId="0" fontId="1" fillId="5" borderId="3" xfId="0" applyNumberFormat="1" applyFont="1" applyFill="1" applyBorder="1" applyAlignment="1">
      <x:alignment wrapText="1"/>
    </x:xf>
    <x:xf numFmtId="0" fontId="1" fillId="5" borderId="4" xfId="0" applyNumberFormat="1" applyFont="1" applyFill="1" applyBorder="1" applyAlignment="1">
      <x:alignment wrapText="1"/>
    </x:xf>
    <x:xf numFmtId="0" fontId="1" fillId="5" borderId="0" xfId="0" applyNumberFormat="1" applyFont="1" applyFill="1" applyBorder="1" applyAlignment="1">
      <x:alignment wrapText="1"/>
    </x:xf>
    <x:xf numFmtId="0" fontId="1" fillId="5" borderId="5" xfId="0" applyNumberFormat="1" applyFont="1" applyFill="1" applyBorder="1" applyAlignment="1">
      <x:alignment wrapText="1"/>
    </x:xf>
    <x:xf numFmtId="0" fontId="1" fillId="5" borderId="6" xfId="0" applyNumberFormat="1" applyFont="1" applyFill="1" applyBorder="1" applyAlignment="1">
      <x:alignment wrapText="1"/>
    </x:xf>
    <x:xf numFmtId="0" fontId="1" fillId="5" borderId="7" xfId="0" applyNumberFormat="1" applyFont="1" applyFill="1" applyBorder="1" applyAlignment="1">
      <x:alignment wrapText="1"/>
    </x:xf>
    <x:xf numFmtId="0" fontId="1" fillId="5" borderId="8" xfId="0" applyNumberFormat="1" applyFont="1" applyFill="1" applyBorder="1" applyAlignment="1">
      <x:alignment wrapText="1"/>
    </x:xf>
    <x:xf numFmtId="0" fontId="1" fillId="5" borderId="1" xfId="0" applyNumberFormat="1" applyFont="1" applyFill="1" applyBorder="1" applyAlignment="1">
      <x:alignment vertical="top" wrapText="1"/>
    </x:xf>
    <x:xf numFmtId="0" fontId="1" fillId="5" borderId="2" xfId="0" applyNumberFormat="1" applyFont="1" applyFill="1" applyBorder="1" applyAlignment="1">
      <x:alignment vertical="top" wrapText="1"/>
    </x:xf>
    <x:xf numFmtId="0" fontId="1" fillId="5" borderId="3" xfId="0" applyNumberFormat="1" applyFont="1" applyFill="1" applyBorder="1" applyAlignment="1">
      <x:alignment vertical="top" wrapText="1"/>
    </x:xf>
    <x:xf numFmtId="0" fontId="1" fillId="5" borderId="4"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5" borderId="5" xfId="0" applyNumberFormat="1" applyFont="1" applyFill="1" applyBorder="1" applyAlignment="1">
      <x:alignment vertical="top" wrapText="1"/>
    </x:xf>
    <x:xf numFmtId="0" fontId="1" fillId="5" borderId="6" xfId="0" applyNumberFormat="1" applyFont="1" applyFill="1" applyBorder="1" applyAlignment="1">
      <x:alignment vertical="top" wrapText="1"/>
    </x:xf>
    <x:xf numFmtId="0" fontId="1" fillId="5" borderId="7" xfId="0" applyNumberFormat="1" applyFont="1" applyFill="1" applyBorder="1" applyAlignment="1">
      <x:alignment vertical="top" wrapText="1"/>
    </x:xf>
    <x:xf numFmtId="0" fontId="1" fillId="5" borderId="8" xfId="0" applyNumberFormat="1" applyFont="1" applyFill="1" applyBorder="1" applyAlignment="1">
      <x:alignment vertical="top" wrapText="1"/>
    </x:xf>
    <x:xf numFmtId="0" fontId="1" fillId="10" borderId="0" xfId="0" applyNumberFormat="1" applyFont="1" applyFill="1" applyBorder="1"/>
    <x:xf numFmtId="0" fontId="9" fillId="10" borderId="0" xfId="0" applyNumberFormat="1" applyFont="1" applyFill="1" applyBorder="1"/>
    <x:xf numFmtId="0" fontId="9" fillId="10" borderId="1" xfId="0" applyNumberFormat="1" applyFont="1" applyFill="1" applyBorder="1"/>
    <x:xf numFmtId="0" fontId="9" fillId="10" borderId="2" xfId="0" applyNumberFormat="1" applyFont="1" applyFill="1" applyBorder="1"/>
    <x:xf numFmtId="0" fontId="9" fillId="10" borderId="3"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8" xfId="0" applyNumberFormat="1" applyFont="1" applyFill="1" applyBorder="1"/>
    <x:xf numFmtId="0" fontId="9" fillId="10" borderId="1" xfId="0" applyNumberFormat="1" applyFont="1" applyFill="1" applyBorder="1" applyAlignment="1">
      <x:alignment wrapText="1"/>
    </x:xf>
    <x:xf numFmtId="0" fontId="9" fillId="10" borderId="2" xfId="0" applyNumberFormat="1" applyFont="1" applyFill="1" applyBorder="1" applyAlignment="1">
      <x:alignment wrapText="1"/>
    </x:xf>
    <x:xf numFmtId="0" fontId="9" fillId="10" borderId="3"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borderId="8" xfId="0" applyNumberFormat="1" applyFont="1" applyFill="1" applyBorder="1" applyAlignment="1">
      <x:alignment wrapText="1"/>
    </x:xf>
    <x:xf numFmtId="0" fontId="5" fillId="0" borderId="0" xfId="0" applyNumberFormat="1" applyFont="1" applyFill="1" applyBorder="1"/>
    <x:xf numFmtId="0" fontId="5"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vertical="center" wrapText="1"/>
    </x:xf>
    <x:xf numFmtId="0" fontId="5" fillId="12" borderId="0" xfId="0" applyNumberFormat="1" applyFont="1" applyFill="1" applyBorder="1"/>
    <x:xf numFmtId="0" fontId="3" fillId="12" borderId="0" xfId="0" applyNumberFormat="1" applyFont="1" applyFill="1" applyBorder="1"/>
    <x:xf numFmtId="0" fontId="3" fillId="12" borderId="0" xfId="0" applyNumberFormat="1" applyFont="1" applyFill="1" applyBorder="1" applyAlignment="1">
      <x:alignment wrapText="1"/>
    </x:xf>
    <x:xf numFmtId="0" fontId="5" fillId="13" borderId="0" xfId="0" applyNumberFormat="1" applyFont="1" applyFill="1" applyBorder="1"/>
    <x:xf numFmtId="0" fontId="4" fillId="13" borderId="0" xfId="0" applyNumberFormat="1" applyFont="1" applyFill="1" applyBorder="1"/>
    <x:xf numFmtId="0" fontId="4" fillId="13" borderId="0" xfId="0" applyNumberFormat="1" applyFont="1" applyFill="1" applyBorder="1" applyAlignment="1">
      <x:alignment vertical="center"/>
    </x:xf>
    <x:xf numFmtId="0" fontId="5" fillId="14" borderId="0" xfId="0" applyNumberFormat="1" applyFont="1" applyFill="1" applyBorder="1"/>
    <x:xf numFmtId="0" fontId="5" fillId="14" borderId="1" xfId="0" applyNumberFormat="1" applyFont="1" applyFill="1" applyBorder="1"/>
    <x:xf numFmtId="0" fontId="5" fillId="14" borderId="2" xfId="0" applyNumberFormat="1" applyFont="1" applyFill="1" applyBorder="1"/>
    <x:xf numFmtId="0" fontId="5" fillId="14" borderId="3" xfId="0" applyNumberFormat="1" applyFont="1" applyFill="1" applyBorder="1"/>
    <x:xf numFmtId="0" fontId="5" fillId="14" borderId="4" xfId="0" applyNumberFormat="1" applyFont="1" applyFill="1" applyBorder="1"/>
    <x:xf numFmtId="0" fontId="5" fillId="14" xfId="0" applyNumberFormat="1" applyFont="1" applyFill="1" applyBorder="0"/>
    <x:xf numFmtId="0" fontId="5" fillId="14" borderId="5" xfId="0" applyNumberFormat="1" applyFont="1" applyFill="1" applyBorder="1"/>
    <x:xf numFmtId="0" fontId="5" fillId="14" borderId="6" xfId="0" applyNumberFormat="1" applyFont="1" applyFill="1" applyBorder="1"/>
    <x:xf numFmtId="0" fontId="5" fillId="14" borderId="7" xfId="0" applyNumberFormat="1" applyFont="1" applyFill="1" applyBorder="1"/>
    <x:xf numFmtId="0" fontId="5" fillId="14" borderId="8" xfId="0" applyNumberFormat="1" applyFont="1" applyFill="1" applyBorder="1"/>
    <x:xf numFmtId="0" fontId="5" fillId="14" borderId="1" xfId="0" applyNumberFormat="1" applyFont="1" applyFill="1" applyBorder="1" applyAlignment="1">
      <x:alignment wrapText="1"/>
    </x:xf>
    <x:xf numFmtId="0" fontId="5" fillId="14" borderId="2" xfId="0" applyNumberFormat="1" applyFont="1" applyFill="1" applyBorder="1" applyAlignment="1">
      <x:alignment wrapText="1"/>
    </x:xf>
    <x:xf numFmtId="0" fontId="5" fillId="14" borderId="3" xfId="0" applyNumberFormat="1" applyFont="1" applyFill="1" applyBorder="1" applyAlignment="1">
      <x:alignment wrapText="1"/>
    </x:xf>
    <x:xf numFmtId="0" fontId="5" fillId="14" borderId="4" xfId="0" applyNumberFormat="1" applyFont="1" applyFill="1" applyBorder="1" applyAlignment="1">
      <x:alignment wrapText="1"/>
    </x:xf>
    <x:xf numFmtId="0" fontId="5" fillId="14" xfId="0" applyNumberFormat="1" applyFont="1" applyFill="1" applyBorder="0" applyAlignment="1">
      <x:alignment wrapText="1"/>
    </x:xf>
    <x:xf numFmtId="0" fontId="5" fillId="14" borderId="5" xfId="0" applyNumberFormat="1" applyFont="1" applyFill="1" applyBorder="1" applyAlignment="1">
      <x:alignment wrapText="1"/>
    </x:xf>
    <x:xf numFmtId="0" fontId="5" fillId="14" borderId="6" xfId="0" applyNumberFormat="1" applyFont="1" applyFill="1" applyBorder="1" applyAlignment="1">
      <x:alignment wrapText="1"/>
    </x:xf>
    <x:xf numFmtId="0" fontId="5" fillId="14" borderId="7" xfId="0" applyNumberFormat="1" applyFont="1" applyFill="1" applyBorder="1" applyAlignment="1">
      <x:alignment wrapText="1"/>
    </x:xf>
    <x:xf numFmtId="0" fontId="5" fillId="14" borderId="8" xfId="0" applyNumberFormat="1" applyFont="1" applyFill="1" applyBorder="1" applyAlignment="1">
      <x:alignment wrapText="1"/>
    </x:xf>
    <x:xf numFmtId="0" fontId="5" fillId="14" borderId="1" xfId="0" applyNumberFormat="1" applyFont="1" applyFill="1" applyBorder="1" applyAlignment="1">
      <x:alignment vertical="top" wrapText="1"/>
    </x:xf>
    <x:xf numFmtId="0" fontId="5" fillId="14" borderId="2" xfId="0" applyNumberFormat="1" applyFont="1" applyFill="1" applyBorder="1" applyAlignment="1">
      <x:alignment vertical="top" wrapText="1"/>
    </x:xf>
    <x:xf numFmtId="0" fontId="5" fillId="14" borderId="3" xfId="0" applyNumberFormat="1" applyFont="1" applyFill="1" applyBorder="1" applyAlignment="1">
      <x:alignment vertical="top" wrapText="1"/>
    </x:xf>
    <x:xf numFmtId="0" fontId="5" fillId="14" borderId="4" xfId="0" applyNumberFormat="1" applyFont="1" applyFill="1" applyBorder="1" applyAlignment="1">
      <x:alignment vertical="top" wrapText="1"/>
    </x:xf>
    <x:xf numFmtId="0" fontId="5" fillId="14" xfId="0" applyNumberFormat="1" applyFont="1" applyFill="1" applyBorder="0" applyAlignment="1">
      <x:alignment vertical="top" wrapText="1"/>
    </x:xf>
    <x:xf numFmtId="0" fontId="5" fillId="14" borderId="5" xfId="0" applyNumberFormat="1" applyFont="1" applyFill="1" applyBorder="1" applyAlignment="1">
      <x:alignment vertical="top" wrapText="1"/>
    </x:xf>
    <x:xf numFmtId="0" fontId="5" fillId="14" borderId="6" xfId="0" applyNumberFormat="1" applyFont="1" applyFill="1" applyBorder="1" applyAlignment="1">
      <x:alignment vertical="top" wrapText="1"/>
    </x:xf>
    <x:xf numFmtId="0" fontId="5" fillId="14" borderId="7" xfId="0" applyNumberFormat="1" applyFont="1" applyFill="1" applyBorder="1" applyAlignment="1">
      <x:alignment vertical="top" wrapText="1"/>
    </x:xf>
    <x:xf numFmtId="0" fontId="5" fillId="14" borderId="8" xfId="0" applyNumberFormat="1" applyFont="1" applyFill="1" applyBorder="1" applyAlignment="1">
      <x:alignment vertical="top" wrapText="1"/>
    </x:xf>
    <x:xf numFmtId="0" fontId="6" fillId="11" borderId="0" xfId="0" applyNumberFormat="1" applyFont="1" applyFill="1" applyBorder="1"/>
    <x:xf numFmtId="0" fontId="6" fillId="11" borderId="9" xfId="0" applyNumberFormat="1" applyFont="1" applyFill="1" applyBorder="1"/>
    <x:xf numFmtId="0" fontId="6" fillId="11" borderId="9" xfId="0" applyNumberFormat="1" applyFont="1" applyFill="1" applyBorder="1" applyAlignment="1">
      <x:alignment wrapText="1"/>
    </x:xf>
    <x:xf numFmtId="0" fontId="6" fillId="11" borderId="9" xfId="0" applyNumberFormat="1" applyFont="1" applyFill="1" applyBorder="1" applyAlignment="1">
      <x:alignment horizontal="center" wrapText="1"/>
    </x:xf>
    <x:xf numFmtId="0" fontId="6" fillId="11" borderId="9" xfId="0" applyNumberFormat="1" applyFont="1" applyFill="1" applyBorder="1" applyAlignment="1">
      <x:alignment horizontal="center" vertical="center" wrapText="1"/>
    </x:xf>
    <x:xf numFmtId="0" fontId="5" fillId="15" borderId="0" xfId="0" applyNumberFormat="1" applyFont="1" applyFill="1" applyBorder="1"/>
    <x:xf numFmtId="0" fontId="1" fillId="15" borderId="0" xfId="0" applyNumberFormat="1" applyFont="1" applyFill="1" applyBorder="1"/>
    <x:xf numFmtId="0" fontId="1" fillId="15" borderId="9" xfId="0" applyNumberFormat="1" applyFont="1" applyFill="1" applyBorder="1"/>
    <x:xf numFmtId="0" fontId="1" fillId="15" borderId="9" xfId="0" applyNumberFormat="1" applyFont="1" applyFill="1" applyBorder="1" applyAlignment="1">
      <x:alignment wrapText="1"/>
    </x:xf>
    <x:xf numFmtId="0" fontId="1" fillId="15" borderId="9" xfId="0" applyNumberFormat="1" applyFont="1" applyFill="1" applyBorder="1" applyAlignment="1">
      <x:alignment vertical="center" wrapText="1"/>
    </x:xf>
    <x:xf numFmtId="200" fontId="1" fillId="15" borderId="9" xfId="0" applyNumberFormat="1" applyFont="1" applyFill="1" applyBorder="1" applyAlignment="1">
      <x:alignment vertical="center" wrapText="1"/>
    </x:xf>
    <x:xf numFmtId="0" fontId="5" fillId="16" borderId="0" xfId="0" applyNumberFormat="1" applyFont="1" applyFill="1" applyBorder="1"/>
    <x:xf numFmtId="0" fontId="8" fillId="16" borderId="0" xfId="0" applyNumberFormat="1" applyFont="1" applyFill="1" applyBorder="1"/>
    <x:xf numFmtId="0" fontId="8" fillId="16" borderId="9" xfId="0" applyNumberFormat="1" applyFont="1" applyFill="1" applyBorder="1"/>
    <x:xf numFmtId="0" fontId="8" fillId="16" borderId="9" xfId="0" applyNumberFormat="1" applyFont="1" applyFill="1" applyBorder="1" applyAlignment="1">
      <x:alignment wrapText="1"/>
    </x:xf>
    <x:xf numFmtId="0" fontId="8" fillId="16" borderId="9" xfId="0" applyNumberFormat="1" applyFont="1" applyFill="1" applyBorder="1" applyAlignment="1">
      <x:alignment vertical="center" wrapText="1"/>
    </x:xf>
    <x:xf numFmtId="0" fontId="5" fillId="17" borderId="0" xfId="0" applyNumberFormat="1" applyFont="1" applyFill="1" applyBorder="1"/>
    <x:xf numFmtId="0" fontId="7" fillId="17" borderId="0" xfId="0" applyNumberFormat="1" applyFont="1" applyFill="1" applyBorder="1"/>
    <x:xf numFmtId="0" fontId="7" fillId="17" borderId="1" xfId="0" applyNumberFormat="1" applyFont="1" applyFill="1" applyBorder="1"/>
    <x:xf numFmtId="0" fontId="7" fillId="17" borderId="2" xfId="0" applyNumberFormat="1" applyFont="1" applyFill="1" applyBorder="1"/>
    <x:xf numFmtId="0" fontId="7" fillId="17" borderId="3" xfId="0" applyNumberFormat="1" applyFont="1" applyFill="1" applyBorder="1"/>
    <x:xf numFmtId="0" fontId="7" fillId="17" borderId="4" xfId="0" applyNumberFormat="1" applyFont="1" applyFill="1" applyBorder="1"/>
    <x:xf numFmtId="0" fontId="7" fillId="17" xfId="0" applyNumberFormat="1" applyFont="1" applyFill="1" applyBorder="0"/>
    <x:xf numFmtId="0" fontId="7" fillId="17" borderId="5" xfId="0" applyNumberFormat="1" applyFont="1" applyFill="1" applyBorder="1"/>
    <x:xf numFmtId="0" fontId="7" fillId="17" borderId="6" xfId="0" applyNumberFormat="1" applyFont="1" applyFill="1" applyBorder="1"/>
    <x:xf numFmtId="0" fontId="7" fillId="17" borderId="7" xfId="0" applyNumberFormat="1" applyFont="1" applyFill="1" applyBorder="1"/>
    <x:xf numFmtId="0" fontId="7" fillId="17" borderId="8" xfId="0" applyNumberFormat="1" applyFont="1" applyFill="1" applyBorder="1"/>
    <x:xf numFmtId="0" fontId="7" fillId="17" borderId="1" xfId="0" applyNumberFormat="1" applyFont="1" applyFill="1" applyBorder="1" applyAlignment="1">
      <x:alignment wrapText="1"/>
    </x:xf>
    <x:xf numFmtId="0" fontId="7" fillId="17" borderId="2" xfId="0" applyNumberFormat="1" applyFont="1" applyFill="1" applyBorder="1" applyAlignment="1">
      <x:alignment wrapText="1"/>
    </x:xf>
    <x:xf numFmtId="0" fontId="7" fillId="17" borderId="3" xfId="0" applyNumberFormat="1" applyFont="1" applyFill="1" applyBorder="1" applyAlignment="1">
      <x:alignment wrapText="1"/>
    </x:xf>
    <x:xf numFmtId="0" fontId="7" fillId="17" borderId="4" xfId="0" applyNumberFormat="1" applyFont="1" applyFill="1" applyBorder="1" applyAlignment="1">
      <x:alignment wrapText="1"/>
    </x:xf>
    <x:xf numFmtId="0" fontId="7" fillId="17" xfId="0" applyNumberFormat="1" applyFont="1" applyFill="1" applyBorder="0" applyAlignment="1">
      <x:alignment wrapText="1"/>
    </x:xf>
    <x:xf numFmtId="0" fontId="7" fillId="17" borderId="5" xfId="0" applyNumberFormat="1" applyFont="1" applyFill="1" applyBorder="1" applyAlignment="1">
      <x:alignment wrapText="1"/>
    </x:xf>
    <x:xf numFmtId="0" fontId="7" fillId="17" borderId="6" xfId="0" applyNumberFormat="1" applyFont="1" applyFill="1" applyBorder="1" applyAlignment="1">
      <x:alignment wrapText="1"/>
    </x:xf>
    <x:xf numFmtId="0" fontId="7" fillId="17" borderId="7" xfId="0" applyNumberFormat="1" applyFont="1" applyFill="1" applyBorder="1" applyAlignment="1">
      <x:alignment wrapText="1"/>
    </x:xf>
    <x:xf numFmtId="0" fontId="7" fillId="17" borderId="8" xfId="0" applyNumberFormat="1" applyFont="1" applyFill="1" applyBorder="1" applyAlignment="1">
      <x:alignment wrapText="1"/>
    </x:xf>
    <x:xf numFmtId="0" fontId="7" fillId="17" borderId="1" xfId="0" applyNumberFormat="1" applyFont="1" applyFill="1" applyBorder="1" applyAlignment="1">
      <x:alignment vertical="top" wrapText="1"/>
    </x:xf>
    <x:xf numFmtId="0" fontId="7" fillId="17" borderId="2" xfId="0" applyNumberFormat="1" applyFont="1" applyFill="1" applyBorder="1" applyAlignment="1">
      <x:alignment vertical="top" wrapText="1"/>
    </x:xf>
    <x:xf numFmtId="0" fontId="7" fillId="17" borderId="3" xfId="0" applyNumberFormat="1" applyFont="1" applyFill="1" applyBorder="1" applyAlignment="1">
      <x:alignment vertical="top" wrapText="1"/>
    </x:xf>
    <x:xf numFmtId="0" fontId="7" fillId="17" borderId="4" xfId="0" applyNumberFormat="1" applyFont="1" applyFill="1" applyBorder="1" applyAlignment="1">
      <x:alignment vertical="top" wrapText="1"/>
    </x:xf>
    <x:xf numFmtId="0" fontId="7" fillId="17" xfId="0" applyNumberFormat="1" applyFont="1" applyFill="1" applyBorder="0" applyAlignment="1">
      <x:alignment vertical="top" wrapText="1"/>
    </x:xf>
    <x:xf numFmtId="0" fontId="7" fillId="17" borderId="5" xfId="0" applyNumberFormat="1" applyFont="1" applyFill="1" applyBorder="1" applyAlignment="1">
      <x:alignment vertical="top" wrapText="1"/>
    </x:xf>
    <x:xf numFmtId="0" fontId="7" fillId="17" borderId="6" xfId="0" applyNumberFormat="1" applyFont="1" applyFill="1" applyBorder="1" applyAlignment="1">
      <x:alignment vertical="top" wrapText="1"/>
    </x:xf>
    <x:xf numFmtId="0" fontId="7" fillId="17" borderId="7" xfId="0" applyNumberFormat="1" applyFont="1" applyFill="1" applyBorder="1" applyAlignment="1">
      <x:alignment vertical="top" wrapText="1"/>
    </x:xf>
    <x:xf numFmtId="0" fontId="7" fillId="17" borderId="8" xfId="0" applyNumberFormat="1" applyFont="1" applyFill="1" applyBorder="1" applyAlignment="1">
      <x:alignment vertical="top" wrapText="1"/>
    </x:xf>
    <x:xf numFmtId="0" fontId="10" fillId="16" borderId="0" xfId="0" applyNumberFormat="1" applyFont="1" applyFill="1" applyBorder="1"/>
    <x:xf numFmtId="0" fontId="10" fillId="16" borderId="9" xfId="0" applyNumberFormat="1" applyFont="1" applyFill="1" applyBorder="1"/>
    <x:xf numFmtId="0" fontId="10" fillId="16" borderId="9" xfId="0" applyNumberFormat="1" applyFont="1" applyFill="1" applyBorder="1" applyAlignment="1">
      <x:alignment horizontal="center"/>
    </x:xf>
    <x:xf numFmtId="0" fontId="10" fillId="16" borderId="9" xfId="0" applyNumberFormat="1" applyFont="1" applyFill="1" applyBorder="1" applyAlignment="1">
      <x:alignment horizontal="center" vertical="center"/>
    </x:xf>
    <x:xf numFmtId="0" fontId="5" fillId="15" borderId="9" xfId="0" applyNumberFormat="1" applyFont="1" applyFill="1" applyBorder="1"/>
    <x:xf numFmtId="0" fontId="5" fillId="15" borderId="9" xfId="0" applyNumberFormat="1" applyFont="1" applyFill="1" applyBorder="1" applyAlignment="1">
      <x:alignment wrapText="1"/>
    </x:xf>
    <x:xf numFmtId="0" fontId="5" fillId="15" borderId="9" xfId="0" applyNumberFormat="1" applyFont="1" applyFill="1" applyBorder="1" applyAlignment="1">
      <x:alignment vertical="center" wrapText="1"/>
    </x:xf>
    <x:xf numFmtId="0" fontId="5" fillId="18" borderId="0" xfId="0" applyNumberFormat="1" applyFont="1" applyFill="1" applyBorder="1"/>
    <x:xf numFmtId="0" fontId="11" fillId="18" borderId="0" xfId="0" applyNumberFormat="1" applyFont="1" applyFill="1" applyBorder="1"/>
    <x:xf numFmtId="0" fontId="11" fillId="18" borderId="1" xfId="0" applyNumberFormat="1" applyFont="1" applyFill="1" applyBorder="1"/>
    <x:xf numFmtId="0" fontId="11" fillId="18" borderId="2" xfId="0" applyNumberFormat="1" applyFont="1" applyFill="1" applyBorder="1"/>
    <x:xf numFmtId="0" fontId="11" fillId="18" borderId="3" xfId="0" applyNumberFormat="1" applyFont="1" applyFill="1" applyBorder="1"/>
    <x:xf numFmtId="0" fontId="11" fillId="18" borderId="6" xfId="0" applyNumberFormat="1" applyFont="1" applyFill="1" applyBorder="1"/>
    <x:xf numFmtId="0" fontId="11" fillId="18" borderId="7" xfId="0" applyNumberFormat="1" applyFont="1" applyFill="1" applyBorder="1"/>
    <x:xf numFmtId="0" fontId="11" fillId="18" borderId="8" xfId="0" applyNumberFormat="1" applyFont="1" applyFill="1" applyBorder="1"/>
    <x:xf numFmtId="0" fontId="11" fillId="18" borderId="1" xfId="0" applyNumberFormat="1" applyFont="1" applyFill="1" applyBorder="1" applyAlignment="1">
      <x:alignment wrapText="1"/>
    </x:xf>
    <x:xf numFmtId="0" fontId="11" fillId="18" borderId="2" xfId="0" applyNumberFormat="1" applyFont="1" applyFill="1" applyBorder="1" applyAlignment="1">
      <x:alignment wrapText="1"/>
    </x:xf>
    <x:xf numFmtId="0" fontId="11" fillId="18" borderId="3" xfId="0" applyNumberFormat="1" applyFont="1" applyFill="1" applyBorder="1" applyAlignment="1">
      <x:alignment wrapText="1"/>
    </x:xf>
    <x:xf numFmtId="0" fontId="11" fillId="18" borderId="6" xfId="0" applyNumberFormat="1" applyFont="1" applyFill="1" applyBorder="1" applyAlignment="1">
      <x:alignment wrapText="1"/>
    </x:xf>
    <x:xf numFmtId="0" fontId="11" fillId="18" borderId="7" xfId="0" applyNumberFormat="1" applyFont="1" applyFill="1" applyBorder="1" applyAlignment="1">
      <x:alignment wrapText="1"/>
    </x:xf>
    <x:xf numFmtId="0" fontId="11" fillId="18" borderId="8" xfId="0" applyNumberFormat="1" applyFont="1" applyFill="1" applyBorder="1" applyAlignment="1">
      <x:alignment wrapText="1"/>
    </x:xf>
    <x:xf numFmtId="0" fontId="11" fillId="18" borderId="1" xfId="0" applyNumberFormat="1" applyFont="1" applyFill="1" applyBorder="1" applyAlignment="1">
      <x:alignment vertical="center" wrapText="1"/>
    </x:xf>
    <x:xf numFmtId="0" fontId="11" fillId="18" borderId="2" xfId="0" applyNumberFormat="1" applyFont="1" applyFill="1" applyBorder="1" applyAlignment="1">
      <x:alignment vertical="center" wrapText="1"/>
    </x:xf>
    <x:xf numFmtId="0" fontId="11" fillId="18" borderId="3" xfId="0" applyNumberFormat="1" applyFont="1" applyFill="1" applyBorder="1" applyAlignment="1">
      <x:alignment vertical="center" wrapText="1"/>
    </x:xf>
    <x:xf numFmtId="0" fontId="11" fillId="18" borderId="6" xfId="0" applyNumberFormat="1" applyFont="1" applyFill="1" applyBorder="1" applyAlignment="1">
      <x:alignment vertical="center" wrapText="1"/>
    </x:xf>
    <x:xf numFmtId="0" fontId="11" fillId="18" borderId="7" xfId="0" applyNumberFormat="1" applyFont="1" applyFill="1" applyBorder="1" applyAlignment="1">
      <x:alignment vertical="center" wrapText="1"/>
    </x:xf>
    <x:xf numFmtId="0" fontId="11" fillId="18" borderId="8" xfId="0" applyNumberFormat="1" applyFont="1" applyFill="1" applyBorder="1" applyAlignment="1">
      <x:alignment vertical="center" wrapText="1"/>
    </x:xf>
    <x:xf numFmtId="0" fontId="5"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vertical="center" wrapText="1"/>
    </x:xf>
    <x:xf numFmtId="0" fontId="5" fillId="20" borderId="0" xfId="0" applyNumberFormat="1" applyFont="1" applyFill="1" applyBorder="1"/>
    <x:xf numFmtId="0" fontId="3" fillId="20" borderId="0" xfId="0" applyNumberFormat="1" applyFont="1" applyFill="1" applyBorder="1"/>
    <x:xf numFmtId="0" fontId="3" fillId="20" borderId="0" xfId="0" applyNumberFormat="1" applyFont="1" applyFill="1" applyBorder="1" applyAlignment="1">
      <x:alignment wrapText="1"/>
    </x:xf>
    <x:xf numFmtId="0" fontId="5" fillId="21" borderId="0" xfId="0" applyNumberFormat="1" applyFont="1" applyFill="1" applyBorder="1"/>
    <x:xf numFmtId="0" fontId="4" fillId="21" borderId="0" xfId="0" applyNumberFormat="1" applyFont="1" applyFill="1" applyBorder="1"/>
    <x:xf numFmtId="0" fontId="4" fillId="21" borderId="0" xfId="0" applyNumberFormat="1" applyFont="1" applyFill="1" applyBorder="1" applyAlignment="1">
      <x:alignment vertical="center"/>
    </x:xf>
    <x:xf numFmtId="0" fontId="5" fillId="22" borderId="0" xfId="0" applyNumberFormat="1" applyFont="1" applyFill="1" applyBorder="1"/>
    <x:xf numFmtId="0" fontId="5" fillId="22" borderId="1" xfId="0" applyNumberFormat="1" applyFont="1" applyFill="1" applyBorder="1"/>
    <x:xf numFmtId="0" fontId="5" fillId="22" borderId="2" xfId="0" applyNumberFormat="1" applyFont="1" applyFill="1" applyBorder="1"/>
    <x:xf numFmtId="0" fontId="5" fillId="22" borderId="3" xfId="0" applyNumberFormat="1" applyFont="1" applyFill="1" applyBorder="1"/>
    <x:xf numFmtId="0" fontId="5" fillId="22" borderId="4" xfId="0" applyNumberFormat="1" applyFont="1" applyFill="1" applyBorder="1"/>
    <x:xf numFmtId="0" fontId="5" fillId="22" xfId="0" applyNumberFormat="1" applyFont="1" applyFill="1" applyBorder="0"/>
    <x:xf numFmtId="0" fontId="5" fillId="22" borderId="5" xfId="0" applyNumberFormat="1" applyFont="1" applyFill="1" applyBorder="1"/>
    <x:xf numFmtId="0" fontId="5" fillId="22" borderId="6" xfId="0" applyNumberFormat="1" applyFont="1" applyFill="1" applyBorder="1"/>
    <x:xf numFmtId="0" fontId="5" fillId="22" borderId="7" xfId="0" applyNumberFormat="1" applyFont="1" applyFill="1" applyBorder="1"/>
    <x:xf numFmtId="0" fontId="5" fillId="22" borderId="8" xfId="0" applyNumberFormat="1" applyFont="1" applyFill="1" applyBorder="1"/>
    <x:xf numFmtId="0" fontId="5" fillId="22" borderId="1" xfId="0" applyNumberFormat="1" applyFont="1" applyFill="1" applyBorder="1" applyAlignment="1">
      <x:alignment wrapText="1"/>
    </x:xf>
    <x:xf numFmtId="0" fontId="5" fillId="22" borderId="2" xfId="0" applyNumberFormat="1" applyFont="1" applyFill="1" applyBorder="1" applyAlignment="1">
      <x:alignment wrapText="1"/>
    </x:xf>
    <x:xf numFmtId="0" fontId="5" fillId="22" borderId="3" xfId="0" applyNumberFormat="1" applyFont="1" applyFill="1" applyBorder="1" applyAlignment="1">
      <x:alignment wrapText="1"/>
    </x:xf>
    <x:xf numFmtId="0" fontId="5" fillId="22" borderId="4" xfId="0" applyNumberFormat="1" applyFont="1" applyFill="1" applyBorder="1" applyAlignment="1">
      <x:alignment wrapText="1"/>
    </x:xf>
    <x:xf numFmtId="0" fontId="5" fillId="22" xfId="0" applyNumberFormat="1" applyFont="1" applyFill="1" applyBorder="0" applyAlignment="1">
      <x:alignment wrapText="1"/>
    </x:xf>
    <x:xf numFmtId="0" fontId="5" fillId="22" borderId="5" xfId="0" applyNumberFormat="1" applyFont="1" applyFill="1" applyBorder="1" applyAlignment="1">
      <x:alignment wrapText="1"/>
    </x:xf>
    <x:xf numFmtId="0" fontId="5" fillId="22" borderId="6" xfId="0" applyNumberFormat="1" applyFont="1" applyFill="1" applyBorder="1" applyAlignment="1">
      <x:alignment wrapText="1"/>
    </x:xf>
    <x:xf numFmtId="0" fontId="5" fillId="22" borderId="7" xfId="0" applyNumberFormat="1" applyFont="1" applyFill="1" applyBorder="1" applyAlignment="1">
      <x:alignment wrapText="1"/>
    </x:xf>
    <x:xf numFmtId="0" fontId="5" fillId="22" borderId="8" xfId="0" applyNumberFormat="1" applyFont="1" applyFill="1" applyBorder="1" applyAlignment="1">
      <x:alignment wrapText="1"/>
    </x:xf>
    <x:xf numFmtId="0" fontId="5" fillId="22" borderId="1" xfId="0" applyNumberFormat="1" applyFont="1" applyFill="1" applyBorder="1" applyAlignment="1">
      <x:alignment vertical="top" wrapText="1"/>
    </x:xf>
    <x:xf numFmtId="0" fontId="5" fillId="22" borderId="2" xfId="0" applyNumberFormat="1" applyFont="1" applyFill="1" applyBorder="1" applyAlignment="1">
      <x:alignment vertical="top" wrapText="1"/>
    </x:xf>
    <x:xf numFmtId="0" fontId="5" fillId="22" borderId="3" xfId="0" applyNumberFormat="1" applyFont="1" applyFill="1" applyBorder="1" applyAlignment="1">
      <x:alignment vertical="top" wrapText="1"/>
    </x:xf>
    <x:xf numFmtId="0" fontId="5" fillId="22" borderId="4" xfId="0" applyNumberFormat="1" applyFont="1" applyFill="1" applyBorder="1" applyAlignment="1">
      <x:alignment vertical="top" wrapText="1"/>
    </x:xf>
    <x:xf numFmtId="0" fontId="5" fillId="22" xfId="0" applyNumberFormat="1" applyFont="1" applyFill="1" applyBorder="0" applyAlignment="1">
      <x:alignment vertical="top" wrapText="1"/>
    </x:xf>
    <x:xf numFmtId="0" fontId="5" fillId="22" borderId="5" xfId="0" applyNumberFormat="1" applyFont="1" applyFill="1" applyBorder="1" applyAlignment="1">
      <x:alignment vertical="top" wrapText="1"/>
    </x:xf>
    <x:xf numFmtId="0" fontId="5" fillId="22" borderId="6" xfId="0" applyNumberFormat="1" applyFont="1" applyFill="1" applyBorder="1" applyAlignment="1">
      <x:alignment vertical="top" wrapText="1"/>
    </x:xf>
    <x:xf numFmtId="0" fontId="5" fillId="22" borderId="7" xfId="0" applyNumberFormat="1" applyFont="1" applyFill="1" applyBorder="1" applyAlignment="1">
      <x:alignment vertical="top" wrapText="1"/>
    </x:xf>
    <x:xf numFmtId="0" fontId="5" fillId="22" borderId="8" xfId="0" applyNumberFormat="1" applyFont="1" applyFill="1" applyBorder="1" applyAlignment="1">
      <x:alignment vertical="top" wrapText="1"/>
    </x:xf>
    <x:xf numFmtId="0" fontId="6" fillId="19" borderId="0" xfId="0" applyNumberFormat="1" applyFont="1" applyFill="1" applyBorder="1"/>
    <x:xf numFmtId="0" fontId="6" fillId="19" borderId="9" xfId="0" applyNumberFormat="1" applyFont="1" applyFill="1" applyBorder="1"/>
    <x:xf numFmtId="0" fontId="6" fillId="19" borderId="9" xfId="0" applyNumberFormat="1" applyFont="1" applyFill="1" applyBorder="1" applyAlignment="1">
      <x:alignment wrapText="1"/>
    </x:xf>
    <x:xf numFmtId="0" fontId="6" fillId="19" borderId="9" xfId="0" applyNumberFormat="1" applyFont="1" applyFill="1" applyBorder="1" applyAlignment="1">
      <x:alignment horizontal="center" wrapText="1"/>
    </x:xf>
    <x:xf numFmtId="0" fontId="6" fillId="19" borderId="9" xfId="0" applyNumberFormat="1" applyFont="1" applyFill="1" applyBorder="1" applyAlignment="1">
      <x:alignment horizontal="center" vertical="center" wrapText="1"/>
    </x:xf>
    <x:xf numFmtId="0" fontId="5" fillId="23" borderId="0" xfId="0" applyNumberFormat="1" applyFont="1" applyFill="1" applyBorder="1"/>
    <x:xf numFmtId="0" fontId="1" fillId="23" borderId="0" xfId="0" applyNumberFormat="1" applyFont="1" applyFill="1" applyBorder="1"/>
    <x:xf numFmtId="0" fontId="1" fillId="23" borderId="9" xfId="0" applyNumberFormat="1" applyFont="1" applyFill="1" applyBorder="1"/>
    <x:xf numFmtId="0" fontId="1" fillId="23" borderId="9" xfId="0" applyNumberFormat="1" applyFont="1" applyFill="1" applyBorder="1" applyAlignment="1">
      <x:alignment wrapText="1"/>
    </x:xf>
    <x:xf numFmtId="0" fontId="1" fillId="23" borderId="9" xfId="0" applyNumberFormat="1" applyFont="1" applyFill="1" applyBorder="1" applyAlignment="1">
      <x:alignment vertical="center" wrapText="1"/>
    </x:xf>
    <x:xf numFmtId="200" fontId="1" fillId="23" borderId="9" xfId="0" applyNumberFormat="1" applyFont="1" applyFill="1" applyBorder="1" applyAlignment="1">
      <x:alignment vertical="center" wrapText="1"/>
    </x:xf>
    <x:xf numFmtId="0" fontId="5" fillId="24" borderId="0" xfId="0" applyNumberFormat="1" applyFont="1" applyFill="1" applyBorder="1"/>
    <x:xf numFmtId="0" fontId="8" fillId="24" borderId="0" xfId="0" applyNumberFormat="1" applyFont="1" applyFill="1" applyBorder="1"/>
    <x:xf numFmtId="0" fontId="8" fillId="24" borderId="9" xfId="0" applyNumberFormat="1" applyFont="1" applyFill="1" applyBorder="1"/>
    <x:xf numFmtId="0" fontId="8" fillId="24" borderId="9" xfId="0" applyNumberFormat="1" applyFont="1" applyFill="1" applyBorder="1" applyAlignment="1">
      <x:alignment wrapText="1"/>
    </x:xf>
    <x:xf numFmtId="0" fontId="8" fillId="24" borderId="9" xfId="0" applyNumberFormat="1" applyFont="1" applyFill="1" applyBorder="1" applyAlignment="1">
      <x:alignment vertical="center" wrapText="1"/>
    </x:xf>
    <x:xf numFmtId="0" fontId="5" fillId="25" borderId="0" xfId="0" applyNumberFormat="1" applyFont="1" applyFill="1" applyBorder="1"/>
    <x:xf numFmtId="0" fontId="7" fillId="25" borderId="0" xfId="0" applyNumberFormat="1" applyFont="1" applyFill="1" applyBorder="1"/>
    <x:xf numFmtId="0" fontId="7" fillId="25" borderId="1" xfId="0" applyNumberFormat="1" applyFont="1" applyFill="1" applyBorder="1"/>
    <x:xf numFmtId="0" fontId="7" fillId="25" borderId="2" xfId="0" applyNumberFormat="1" applyFont="1" applyFill="1" applyBorder="1"/>
    <x:xf numFmtId="0" fontId="7" fillId="25" borderId="3" xfId="0" applyNumberFormat="1" applyFont="1" applyFill="1" applyBorder="1"/>
    <x:xf numFmtId="0" fontId="7" fillId="25" borderId="4" xfId="0" applyNumberFormat="1" applyFont="1" applyFill="1" applyBorder="1"/>
    <x:xf numFmtId="0" fontId="7" fillId="25" xfId="0" applyNumberFormat="1" applyFont="1" applyFill="1" applyBorder="0"/>
    <x:xf numFmtId="0" fontId="7" fillId="25" borderId="5" xfId="0" applyNumberFormat="1" applyFont="1" applyFill="1" applyBorder="1"/>
    <x:xf numFmtId="0" fontId="7" fillId="25" borderId="6" xfId="0" applyNumberFormat="1" applyFont="1" applyFill="1" applyBorder="1"/>
    <x:xf numFmtId="0" fontId="7" fillId="25" borderId="7" xfId="0" applyNumberFormat="1" applyFont="1" applyFill="1" applyBorder="1"/>
    <x:xf numFmtId="0" fontId="7" fillId="25" borderId="8" xfId="0" applyNumberFormat="1" applyFont="1" applyFill="1" applyBorder="1"/>
    <x:xf numFmtId="0" fontId="7" fillId="25" borderId="1" xfId="0" applyNumberFormat="1" applyFont="1" applyFill="1" applyBorder="1" applyAlignment="1">
      <x:alignment wrapText="1"/>
    </x:xf>
    <x:xf numFmtId="0" fontId="7" fillId="25" borderId="2" xfId="0" applyNumberFormat="1" applyFont="1" applyFill="1" applyBorder="1" applyAlignment="1">
      <x:alignment wrapText="1"/>
    </x:xf>
    <x:xf numFmtId="0" fontId="7" fillId="25" borderId="3" xfId="0" applyNumberFormat="1" applyFont="1" applyFill="1" applyBorder="1" applyAlignment="1">
      <x:alignment wrapText="1"/>
    </x:xf>
    <x:xf numFmtId="0" fontId="7" fillId="25" borderId="4" xfId="0" applyNumberFormat="1" applyFont="1" applyFill="1" applyBorder="1" applyAlignment="1">
      <x:alignment wrapText="1"/>
    </x:xf>
    <x:xf numFmtId="0" fontId="7" fillId="25" xfId="0" applyNumberFormat="1" applyFont="1" applyFill="1" applyBorder="0" applyAlignment="1">
      <x:alignment wrapText="1"/>
    </x:xf>
    <x:xf numFmtId="0" fontId="7" fillId="25" borderId="5" xfId="0" applyNumberFormat="1" applyFont="1" applyFill="1" applyBorder="1" applyAlignment="1">
      <x:alignment wrapText="1"/>
    </x:xf>
    <x:xf numFmtId="0" fontId="7" fillId="25" borderId="6" xfId="0" applyNumberFormat="1" applyFont="1" applyFill="1" applyBorder="1" applyAlignment="1">
      <x:alignment wrapText="1"/>
    </x:xf>
    <x:xf numFmtId="0" fontId="7" fillId="25" borderId="7" xfId="0" applyNumberFormat="1" applyFont="1" applyFill="1" applyBorder="1" applyAlignment="1">
      <x:alignment wrapText="1"/>
    </x:xf>
    <x:xf numFmtId="0" fontId="7" fillId="25" borderId="8" xfId="0" applyNumberFormat="1" applyFont="1" applyFill="1" applyBorder="1" applyAlignment="1">
      <x:alignment wrapText="1"/>
    </x:xf>
    <x:xf numFmtId="0" fontId="7" fillId="25" borderId="1" xfId="0" applyNumberFormat="1" applyFont="1" applyFill="1" applyBorder="1" applyAlignment="1">
      <x:alignment vertical="top" wrapText="1"/>
    </x:xf>
    <x:xf numFmtId="0" fontId="7" fillId="25" borderId="2" xfId="0" applyNumberFormat="1" applyFont="1" applyFill="1" applyBorder="1" applyAlignment="1">
      <x:alignment vertical="top" wrapText="1"/>
    </x:xf>
    <x:xf numFmtId="0" fontId="7" fillId="25" borderId="3" xfId="0" applyNumberFormat="1" applyFont="1" applyFill="1" applyBorder="1" applyAlignment="1">
      <x:alignment vertical="top" wrapText="1"/>
    </x:xf>
    <x:xf numFmtId="0" fontId="7" fillId="25" borderId="4" xfId="0" applyNumberFormat="1" applyFont="1" applyFill="1" applyBorder="1" applyAlignment="1">
      <x:alignment vertical="top" wrapText="1"/>
    </x:xf>
    <x:xf numFmtId="0" fontId="7" fillId="25" xfId="0" applyNumberFormat="1" applyFont="1" applyFill="1" applyBorder="0" applyAlignment="1">
      <x:alignment vertical="top" wrapText="1"/>
    </x:xf>
    <x:xf numFmtId="0" fontId="7" fillId="25" borderId="5" xfId="0" applyNumberFormat="1" applyFont="1" applyFill="1" applyBorder="1" applyAlignment="1">
      <x:alignment vertical="top" wrapText="1"/>
    </x:xf>
    <x:xf numFmtId="0" fontId="7" fillId="25" borderId="6" xfId="0" applyNumberFormat="1" applyFont="1" applyFill="1" applyBorder="1" applyAlignment="1">
      <x:alignment vertical="top" wrapText="1"/>
    </x:xf>
    <x:xf numFmtId="0" fontId="7" fillId="25" borderId="7" xfId="0" applyNumberFormat="1" applyFont="1" applyFill="1" applyBorder="1" applyAlignment="1">
      <x:alignment vertical="top" wrapText="1"/>
    </x:xf>
    <x:xf numFmtId="0" fontId="7" fillId="25" borderId="8" xfId="0" applyNumberFormat="1" applyFont="1" applyFill="1" applyBorder="1" applyAlignment="1">
      <x:alignment vertical="top" wrapText="1"/>
    </x:xf>
    <x:xf numFmtId="0" fontId="10" fillId="24" borderId="0" xfId="0" applyNumberFormat="1" applyFont="1" applyFill="1" applyBorder="1"/>
    <x:xf numFmtId="0" fontId="10" fillId="24" borderId="9" xfId="0" applyNumberFormat="1" applyFont="1" applyFill="1" applyBorder="1"/>
    <x:xf numFmtId="0" fontId="10" fillId="24" borderId="9" xfId="0" applyNumberFormat="1" applyFont="1" applyFill="1" applyBorder="1" applyAlignment="1">
      <x:alignment horizontal="center"/>
    </x:xf>
    <x:xf numFmtId="0" fontId="10" fillId="24" borderId="9" xfId="0" applyNumberFormat="1" applyFont="1" applyFill="1" applyBorder="1" applyAlignment="1">
      <x:alignment horizontal="center" vertical="center"/>
    </x:xf>
    <x:xf numFmtId="0" fontId="5" fillId="23" borderId="9" xfId="0" applyNumberFormat="1" applyFont="1" applyFill="1" applyBorder="1"/>
    <x:xf numFmtId="0" fontId="5" fillId="23" borderId="9" xfId="0" applyNumberFormat="1" applyFont="1" applyFill="1" applyBorder="1" applyAlignment="1">
      <x:alignment wrapText="1"/>
    </x:xf>
    <x:xf numFmtId="0" fontId="5" fillId="23" borderId="9" xfId="0" applyNumberFormat="1" applyFont="1" applyFill="1" applyBorder="1" applyAlignment="1">
      <x:alignment vertical="center" wrapText="1"/>
    </x:xf>
    <x:xf numFmtId="0" fontId="5" fillId="26" borderId="0" xfId="0" applyNumberFormat="1" applyFont="1" applyFill="1" applyBorder="1"/>
    <x:xf numFmtId="0" fontId="11" fillId="26" borderId="0" xfId="0" applyNumberFormat="1" applyFont="1" applyFill="1" applyBorder="1"/>
    <x:xf numFmtId="0" fontId="11" fillId="26" borderId="1" xfId="0" applyNumberFormat="1" applyFont="1" applyFill="1" applyBorder="1"/>
    <x:xf numFmtId="0" fontId="11" fillId="26" borderId="2" xfId="0" applyNumberFormat="1" applyFont="1" applyFill="1" applyBorder="1"/>
    <x:xf numFmtId="0" fontId="11" fillId="26" borderId="3" xfId="0" applyNumberFormat="1" applyFont="1" applyFill="1" applyBorder="1"/>
    <x:xf numFmtId="0" fontId="11" fillId="26" borderId="6" xfId="0" applyNumberFormat="1" applyFont="1" applyFill="1" applyBorder="1"/>
    <x:xf numFmtId="0" fontId="11" fillId="26" borderId="7" xfId="0" applyNumberFormat="1" applyFont="1" applyFill="1" applyBorder="1"/>
    <x:xf numFmtId="0" fontId="11" fillId="26" borderId="8" xfId="0" applyNumberFormat="1" applyFont="1" applyFill="1" applyBorder="1"/>
    <x:xf numFmtId="0" fontId="11" fillId="26" borderId="1" xfId="0" applyNumberFormat="1" applyFont="1" applyFill="1" applyBorder="1" applyAlignment="1">
      <x:alignment wrapText="1"/>
    </x:xf>
    <x:xf numFmtId="0" fontId="11" fillId="26" borderId="2" xfId="0" applyNumberFormat="1" applyFont="1" applyFill="1" applyBorder="1" applyAlignment="1">
      <x:alignment wrapText="1"/>
    </x:xf>
    <x:xf numFmtId="0" fontId="11" fillId="26" borderId="3" xfId="0" applyNumberFormat="1" applyFont="1" applyFill="1" applyBorder="1" applyAlignment="1">
      <x:alignment wrapText="1"/>
    </x:xf>
    <x:xf numFmtId="0" fontId="11" fillId="26" borderId="6" xfId="0" applyNumberFormat="1" applyFont="1" applyFill="1" applyBorder="1" applyAlignment="1">
      <x:alignment wrapText="1"/>
    </x:xf>
    <x:xf numFmtId="0" fontId="11" fillId="26" borderId="7" xfId="0" applyNumberFormat="1" applyFont="1" applyFill="1" applyBorder="1" applyAlignment="1">
      <x:alignment wrapText="1"/>
    </x:xf>
    <x:xf numFmtId="0" fontId="11" fillId="26" borderId="8" xfId="0" applyNumberFormat="1" applyFont="1" applyFill="1" applyBorder="1" applyAlignment="1">
      <x:alignment wrapText="1"/>
    </x:xf>
    <x:xf numFmtId="0" fontId="11" fillId="26" borderId="1" xfId="0" applyNumberFormat="1" applyFont="1" applyFill="1" applyBorder="1" applyAlignment="1">
      <x:alignment vertical="center" wrapText="1"/>
    </x:xf>
    <x:xf numFmtId="0" fontId="11" fillId="26" borderId="2" xfId="0" applyNumberFormat="1" applyFont="1" applyFill="1" applyBorder="1" applyAlignment="1">
      <x:alignment vertical="center" wrapText="1"/>
    </x:xf>
    <x:xf numFmtId="0" fontId="11" fillId="26" borderId="3" xfId="0" applyNumberFormat="1" applyFont="1" applyFill="1" applyBorder="1" applyAlignment="1">
      <x:alignment vertical="center" wrapText="1"/>
    </x:xf>
    <x:xf numFmtId="0" fontId="11" fillId="26" borderId="6" xfId="0" applyNumberFormat="1" applyFont="1" applyFill="1" applyBorder="1" applyAlignment="1">
      <x:alignment vertical="center" wrapText="1"/>
    </x:xf>
    <x:xf numFmtId="0" fontId="11" fillId="26" borderId="7" xfId="0" applyNumberFormat="1" applyFont="1" applyFill="1" applyBorder="1" applyAlignment="1">
      <x:alignment vertical="center" wrapText="1"/>
    </x:xf>
    <x:xf numFmtId="0" fontId="11" fillId="26" borderId="8"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65f525c9d1640df" /><Relationship Type="http://schemas.openxmlformats.org/officeDocument/2006/relationships/theme" Target="/xl/theme/theme1.xml" Id="R710b62c827b344e1" /><Relationship Type="http://schemas.openxmlformats.org/officeDocument/2006/relationships/sharedStrings" Target="/xl/sharedStrings.xml" Id="R6a228e3da3c24835" /><Relationship Type="http://schemas.openxmlformats.org/officeDocument/2006/relationships/worksheet" Target="/xl/worksheets/sheet1.xml" Id="R5147e99f60934f9d" /><Relationship Type="http://schemas.openxmlformats.org/officeDocument/2006/relationships/worksheet" Target="/xl/worksheets/sheet2.xml" Id="R5194928ce9644f35" /><Relationship Type="http://schemas.openxmlformats.org/officeDocument/2006/relationships/worksheet" Target="/xl/worksheets/sheet3.xml" Id="R192555a30dd94960" /><Relationship Type="http://schemas.openxmlformats.org/officeDocument/2006/relationships/worksheet" Target="/xl/worksheets/sheet4.xml" Id="Rc9e62c4a77334bd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23" hidden="0" customWidth="1"/>
    <x:col min="3" max="3" width="15" hidden="0" customWidth="1"/>
    <x:col min="4" max="4" width="14" hidden="0" customWidth="1"/>
    <x:col min="5" max="5" width="14" hidden="0" customWidth="1"/>
    <x:col min="6" max="6" width="24" hidden="0" customWidth="1"/>
    <x:col min="7" max="7" width="24"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s>
  <x:sheetData>
    <x:row r="1" ht="26" customHeight="1">
      <x:c r="A1" s="274" t="str">
        <x:v>D6_6c | Membrane and variable-pressure design for multiple product-water contracts</x:v>
      </x:c>
      <x:c r="B1" s="274" t="str">
        <x:v>D6_6c | Membrane and variable-pressure design for multiple product-water contracts</x:v>
      </x:c>
      <x:c r="C1" s="274" t="str">
        <x:v>D6_6c | Membrane and variable-pressure design for multiple product-water contracts</x:v>
      </x:c>
      <x:c r="D1" s="274" t="str">
        <x:v>D6_6c | Membrane and variable-pressure design for multiple product-water contracts</x:v>
      </x:c>
      <x:c r="E1" s="274" t="str">
        <x:v>D6_6c | Membrane and variable-pressure design for multiple product-water contracts</x:v>
      </x:c>
      <x:c r="F1" s="274" t="str">
        <x:v>D6_6c | Membrane and variable-pressure design for multiple product-water contracts</x:v>
      </x:c>
      <x:c r="G1" s="274" t="str">
        <x:v>D6_6c | Membrane and variable-pressure design for multiple product-water contracts</x:v>
      </x:c>
      <x:c r="H1" s="274" t="str">
        <x:v>D6_6c | Membrane and variable-pressure design for multiple product-water contracts</x:v>
      </x:c>
      <x:c r="I1" s="274" t="str">
        <x:v>D6_6c | Membrane and variable-pressure design for multiple product-water contracts</x:v>
      </x:c>
      <x:c r="J1" s="274" t="str">
        <x:v>D6_6c | Membrane and variable-pressure design for multiple product-water contracts</x:v>
      </x:c>
      <x:c r="K1" s="274" t="str">
        <x:v>D6_6c | Membrane and variable-pressure design for multiple product-water contracts</x:v>
      </x:c>
      <x:c r="L1" s="274" t="str">
        <x:v>D6_6c | Membrane and variable-pressure design for multiple product-water contracts</x:v>
      </x:c>
      <x:c r="M1" s="274" t="str">
        <x:v>D6_6c | Membrane and variable-pressure design for multiple product-water contracts</x:v>
      </x:c>
      <x:c r="N1" s="274" t="str">
        <x:v>D6_6c | Membrane and variable-pressure design for multiple product-water contracts</x:v>
      </x:c>
      <x:c r="O1" s="274" t="str">
        <x:v>D6_6c | Membrane and variable-pressure design for multiple product-water contracts</x:v>
      </x:c>
    </x:row>
    <x:row r="2" ht="26" customHeight="1">
      <x:c r="A2" s="274" t="str">
        <x:v>D6_6c | Membrane and variable-pressure design for multiple product-water contracts</x:v>
      </x:c>
      <x:c r="B2" s="274" t="str">
        <x:v>D6_6c | Membrane and variable-pressure design for multiple product-water contracts</x:v>
      </x:c>
      <x:c r="C2" s="274" t="str">
        <x:v>D6_6c | Membrane and variable-pressure design for multiple product-water contracts</x:v>
      </x:c>
      <x:c r="D2" s="274" t="str">
        <x:v>D6_6c | Membrane and variable-pressure design for multiple product-water contracts</x:v>
      </x:c>
      <x:c r="E2" s="274" t="str">
        <x:v>D6_6c | Membrane and variable-pressure design for multiple product-water contracts</x:v>
      </x:c>
      <x:c r="F2" s="274" t="str">
        <x:v>D6_6c | Membrane and variable-pressure design for multiple product-water contracts</x:v>
      </x:c>
      <x:c r="G2" s="274" t="str">
        <x:v>D6_6c | Membrane and variable-pressure design for multiple product-water contracts</x:v>
      </x:c>
      <x:c r="H2" s="274" t="str">
        <x:v>D6_6c | Membrane and variable-pressure design for multiple product-water contracts</x:v>
      </x:c>
      <x:c r="I2" s="274" t="str">
        <x:v>D6_6c | Membrane and variable-pressure design for multiple product-water contracts</x:v>
      </x:c>
      <x:c r="J2" s="274" t="str">
        <x:v>D6_6c | Membrane and variable-pressure design for multiple product-water contracts</x:v>
      </x:c>
      <x:c r="K2" s="274" t="str">
        <x:v>D6_6c | Membrane and variable-pressure design for multiple product-water contracts</x:v>
      </x:c>
      <x:c r="L2" s="274" t="str">
        <x:v>D6_6c | Membrane and variable-pressure design for multiple product-water contracts</x:v>
      </x:c>
      <x:c r="M2" s="274" t="str">
        <x:v>D6_6c | Membrane and variable-pressure design for multiple product-water contracts</x:v>
      </x:c>
      <x:c r="N2" s="274" t="str">
        <x:v>D6_6c | Membrane and variable-pressure design for multiple product-water contracts</x:v>
      </x:c>
      <x:c r="O2" s="274" t="str">
        <x:v>D6_6c | Membrane and variable-pressure design for multiple product-water contracts</x:v>
      </x:c>
    </x:row>
    <x:row r="3" ht="20" customHeight="1">
      <x:c r="A3" s="277" t="str">
        <x:v>Multi-product operating task | Meet batch-specific quality, output and energy contracts</x:v>
      </x:c>
      <x:c r="B3" s="277" t="str">
        <x:v>Multi-product operating task | Meet batch-specific quality, output and energy contracts</x:v>
      </x:c>
      <x:c r="C3" s="277" t="str">
        <x:v>Multi-product operating task | Meet batch-specific quality, output and energy contracts</x:v>
      </x:c>
      <x:c r="D3" s="277" t="str">
        <x:v>Multi-product operating task | Meet batch-specific quality, output and energy contracts</x:v>
      </x:c>
      <x:c r="E3" s="277" t="str">
        <x:v>Multi-product operating task | Meet batch-specific quality, output and energy contracts</x:v>
      </x:c>
      <x:c r="F3" s="277" t="str">
        <x:v>Multi-product operating task | Meet batch-specific quality, output and energy contracts</x:v>
      </x:c>
      <x:c r="G3" s="277" t="str">
        <x:v>Multi-product operating task | Meet batch-specific quality, output and energy contracts</x:v>
      </x:c>
      <x:c r="H3" s="277" t="str">
        <x:v>Multi-product operating task | Meet batch-specific quality, output and energy contracts</x:v>
      </x:c>
      <x:c r="I3" s="277" t="str">
        <x:v>Multi-product operating task | Meet batch-specific quality, output and energy contracts</x:v>
      </x:c>
      <x:c r="J3" s="277" t="str">
        <x:v>Multi-product operating task | Meet batch-specific quality, output and energy contracts</x:v>
      </x:c>
      <x:c r="K3" s="277" t="str">
        <x:v>Multi-product operating task | Meet batch-specific quality, output and energy contracts</x:v>
      </x:c>
      <x:c r="L3" s="277" t="str">
        <x:v>Multi-product operating task | Meet batch-specific quality, output and energy contracts</x:v>
      </x:c>
      <x:c r="M3" s="277" t="str">
        <x:v>Multi-product operating task | Meet batch-specific quality, output and energy contracts</x:v>
      </x:c>
      <x:c r="N3" s="277" t="str">
        <x:v>Multi-product operating task | Meet batch-specific quality, output and energy contracts</x:v>
      </x:c>
      <x:c r="O3" s="277" t="str">
        <x:v>Multi-product operating task | Meet batch-specific quality, output and energy contracts</x:v>
      </x:c>
    </x:row>
    <x:row r="4">
      <x:c r="A4" s="160"/>
      <x:c r="B4" s="160"/>
      <x:c r="C4" s="160"/>
      <x:c r="D4" s="160"/>
      <x:c r="E4" s="160"/>
      <x:c r="F4" s="160"/>
      <x:c r="G4" s="160"/>
      <x:c r="H4" s="160"/>
      <x:c r="I4" s="160"/>
      <x:c r="J4" s="160"/>
      <x:c r="K4" s="160"/>
      <x:c r="L4" s="160"/>
      <x:c r="M4" s="160"/>
      <x:c r="N4" s="160"/>
      <x:c r="O4" s="160"/>
    </x:row>
    <x:row r="5" ht="22" customHeight="1">
      <x:c r="A5" s="280" t="str">
        <x:v>Project brief</x:v>
      </x:c>
      <x:c r="B5" s="280" t="str">
        <x:v>Project brief</x:v>
      </x:c>
      <x:c r="C5" s="280" t="str">
        <x:v>Project brief</x:v>
      </x:c>
      <x:c r="D5" s="280" t="str">
        <x:v>Project brief</x:v>
      </x:c>
      <x:c r="E5" s="280" t="str">
        <x:v>Project brief</x:v>
      </x:c>
      <x:c r="F5" s="280" t="str">
        <x:v>Project brief</x:v>
      </x:c>
      <x:c r="G5" s="280" t="str">
        <x:v>Project brief</x:v>
      </x:c>
      <x:c r="H5" s="280" t="str">
        <x:v>Project brief</x:v>
      </x:c>
      <x:c r="I5" s="280" t="str">
        <x:v>Project brief</x:v>
      </x:c>
      <x:c r="J5" s="280" t="str">
        <x:v>Project brief</x:v>
      </x:c>
      <x:c r="K5" s="280" t="str">
        <x:v>Project brief</x:v>
      </x:c>
      <x:c r="L5" s="280" t="str">
        <x:v>Project brief</x:v>
      </x:c>
      <x:c r="M5" s="280" t="str">
        <x:v>Project brief</x:v>
      </x:c>
      <x:c r="N5" s="280" t="str">
        <x:v>Project brief</x:v>
      </x:c>
      <x:c r="O5" s="280" t="str">
        <x:v>Project brief</x:v>
      </x:c>
    </x:row>
    <x:row r="6" ht="24" customHeight="1">
      <x:c r="A6" s="300"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B6" s="301"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C6" s="301"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D6" s="301"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E6" s="301"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F6" s="301"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G6" s="301"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H6" s="301"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I6" s="301"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J6" s="301"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K6" s="301"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L6" s="301"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M6" s="301"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N6" s="301"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O6" s="302"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row>
    <x:row r="7" ht="24" customHeight="1">
      <x:c r="A7" s="303"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B7" s="304"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C7" s="304"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D7" s="304"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E7" s="304"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F7" s="304"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G7" s="304"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H7" s="304"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I7" s="304"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J7" s="304"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K7" s="304"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L7" s="304"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M7" s="304"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N7" s="304"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O7" s="305"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row>
    <x:row r="8" ht="24" customHeight="1">
      <x:c r="A8" s="303"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B8" s="304"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C8" s="304"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D8" s="304"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E8" s="304"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F8" s="304"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G8" s="304"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H8" s="304"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I8" s="304"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J8" s="304"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K8" s="304"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L8" s="304"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M8" s="304"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N8" s="304"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O8" s="305"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row>
    <x:row r="9" ht="24" customHeight="1">
      <x:c r="A9" s="306"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B9" s="307"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C9" s="307"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D9" s="307"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E9" s="307"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F9" s="307"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G9" s="307"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H9" s="307"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I9" s="307"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J9" s="307"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K9" s="307"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L9" s="307"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M9" s="307"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N9" s="307"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c r="O9" s="308" t="str">
        <x:v>One SWRO plant alternates among municipal water, high-purity pretreatment water and industrial reuse water. The batches have different feed conditions, minimum product flows and NaCl limits. The engineer must choose membrane performance, total area and whether pressure should change by product grade; annual average quality cannot replace batch acceptance.</x:v>
      </x:c>
    </x:row>
    <x:row r="10">
      <x:c r="A10" s="160"/>
      <x:c r="B10" s="160"/>
      <x:c r="C10" s="160"/>
      <x:c r="D10" s="160"/>
      <x:c r="E10" s="160"/>
      <x:c r="F10" s="160"/>
      <x:c r="G10" s="160"/>
      <x:c r="H10" s="160"/>
      <x:c r="I10" s="160"/>
      <x:c r="J10" s="160"/>
      <x:c r="K10" s="160"/>
      <x:c r="L10" s="160"/>
      <x:c r="M10" s="160"/>
      <x:c r="N10" s="160"/>
      <x:c r="O10" s="160"/>
    </x:row>
    <x:row r="11" ht="22" customHeight="1">
      <x:c r="A11" s="280" t="str">
        <x:v>Operating states and planning weights</x:v>
      </x:c>
      <x:c r="B11" s="280" t="str">
        <x:v>Operating states and planning weights</x:v>
      </x:c>
      <x:c r="C11" s="280" t="str">
        <x:v>Operating states and planning weights</x:v>
      </x:c>
      <x:c r="D11" s="280" t="str">
        <x:v>Operating states and planning weights</x:v>
      </x:c>
      <x:c r="E11" s="280" t="str">
        <x:v>Operating states and planning weights</x:v>
      </x:c>
      <x:c r="F11" s="280" t="str">
        <x:v>Operating states and planning weights</x:v>
      </x:c>
      <x:c r="G11" s="280" t="str">
        <x:v>Operating states and planning weights</x:v>
      </x:c>
      <x:c r="H11" s="280" t="str">
        <x:v>Operating states and planning weights</x:v>
      </x:c>
      <x:c r="I11" s="280" t="str">
        <x:v>Operating states and planning weights</x:v>
      </x:c>
      <x:c r="J11" s="280" t="str">
        <x:v>Operating states and planning weights</x:v>
      </x:c>
      <x:c r="K11" s="280" t="str">
        <x:v>Operating states and planning weights</x:v>
      </x:c>
      <x:c r="L11" s="280" t="str">
        <x:v>Operating states and planning weights</x:v>
      </x:c>
      <x:c r="M11" s="280" t="str">
        <x:v>Operating states and planning weights</x:v>
      </x:c>
      <x:c r="N11" s="280" t="str">
        <x:v>Operating states and planning weights</x:v>
      </x:c>
      <x:c r="O11" s="280" t="str">
        <x:v>Operating states and planning weights</x:v>
      </x:c>
    </x:row>
    <x:row r="12" ht="26" customHeight="1">
      <x:c r="A12" s="313" t="str">
        <x:v>State</x:v>
      </x:c>
      <x:c r="B12" s="313" t="str">
        <x:v>Description</x:v>
      </x:c>
      <x:c r="C12" s="313" t="str">
        <x:v>TDS (g/L)</x:v>
      </x:c>
      <x:c r="D12" s="313" t="str">
        <x:v>Temp. (°C)</x:v>
      </x:c>
      <x:c r="E12" s="313" t="str">
        <x:v>Weight</x:v>
      </x:c>
      <x:c r="F12" s="313" t="str">
        <x:v>Output requirement</x:v>
      </x:c>
      <x:c r="G12" s="313" t="str">
        <x:v>Quality / carbon input</x:v>
      </x:c>
      <x:c r="H12" s="160"/>
      <x:c r="I12" s="160"/>
      <x:c r="J12" s="160"/>
      <x:c r="K12" s="160"/>
      <x:c r="L12" s="160"/>
      <x:c r="M12" s="160"/>
      <x:c r="N12" s="160"/>
      <x:c r="O12" s="160"/>
    </x:row>
    <x:row r="13" ht="26" customHeight="1">
      <x:c r="A13" s="318" t="str">
        <x:v>M</x:v>
      </x:c>
      <x:c r="B13" s="318" t="str">
        <x:v>Municipal-water batch</x:v>
      </x:c>
      <x:c r="C13" s="318" t="n">
        <x:v>35</x:v>
      </x:c>
      <x:c r="D13" s="318" t="n">
        <x:v>25</x:v>
      </x:c>
      <x:c r="E13" s="319" t="n">
        <x:v>0.5</x:v>
      </x:c>
      <x:c r="F13" s="318" t="str">
        <x:v>Target 0.042 m³/s</x:v>
      </x:c>
      <x:c r="G13" s="318" t="str">
        <x:v>NaCl ≤300 mg/L</x:v>
      </x:c>
      <x:c r="H13" s="160"/>
      <x:c r="I13" s="160"/>
      <x:c r="J13" s="160"/>
      <x:c r="K13" s="160"/>
      <x:c r="L13" s="160"/>
      <x:c r="M13" s="160"/>
      <x:c r="N13" s="160"/>
      <x:c r="O13" s="160"/>
    </x:row>
    <x:row r="14" ht="26" customHeight="1">
      <x:c r="A14" s="318" t="str">
        <x:v>P</x:v>
      </x:c>
      <x:c r="B14" s="318" t="str">
        <x:v>High-purity pretreatment batch</x:v>
      </x:c>
      <x:c r="C14" s="318" t="n">
        <x:v>38</x:v>
      </x:c>
      <x:c r="D14" s="318" t="n">
        <x:v>25</x:v>
      </x:c>
      <x:c r="E14" s="319" t="n">
        <x:v>0.25</x:v>
      </x:c>
      <x:c r="F14" s="318" t="str">
        <x:v>Target 0.038 m³/s</x:v>
      </x:c>
      <x:c r="G14" s="318" t="str">
        <x:v>NaCl ≤220 mg/L</x:v>
      </x:c>
      <x:c r="H14" s="160"/>
      <x:c r="I14" s="160"/>
      <x:c r="J14" s="160"/>
      <x:c r="K14" s="160"/>
      <x:c r="L14" s="160"/>
      <x:c r="M14" s="160"/>
      <x:c r="N14" s="160"/>
      <x:c r="O14" s="160"/>
    </x:row>
    <x:row r="15" ht="26" customHeight="1">
      <x:c r="A15" s="318" t="str">
        <x:v>I</x:v>
      </x:c>
      <x:c r="B15" s="318" t="str">
        <x:v>Industrial-reuse batch</x:v>
      </x:c>
      <x:c r="C15" s="318" t="n">
        <x:v>40</x:v>
      </x:c>
      <x:c r="D15" s="318" t="n">
        <x:v>30</x:v>
      </x:c>
      <x:c r="E15" s="319" t="n">
        <x:v>0.25</x:v>
      </x:c>
      <x:c r="F15" s="318" t="str">
        <x:v>Target 0.040 m³/s</x:v>
      </x:c>
      <x:c r="G15" s="318" t="str">
        <x:v>NaCl ≤400 mg/L</x:v>
      </x:c>
      <x:c r="H15" s="160"/>
      <x:c r="I15" s="160"/>
      <x:c r="J15" s="160"/>
      <x:c r="K15" s="160"/>
      <x:c r="L15" s="160"/>
      <x:c r="M15" s="160"/>
      <x:c r="N15" s="160"/>
      <x:c r="O15" s="160"/>
    </x:row>
    <x:row r="16">
      <x:c r="A16" s="160"/>
      <x:c r="B16" s="160"/>
      <x:c r="C16" s="160"/>
      <x:c r="D16" s="160"/>
      <x:c r="E16" s="160"/>
      <x:c r="F16" s="160"/>
      <x:c r="G16" s="160"/>
      <x:c r="H16" s="160"/>
      <x:c r="I16" s="160"/>
      <x:c r="J16" s="160"/>
      <x:c r="K16" s="160"/>
      <x:c r="L16" s="160"/>
      <x:c r="M16" s="160"/>
      <x:c r="N16" s="160"/>
      <x:c r="O16" s="160"/>
    </x:row>
    <x:row r="17" ht="22" customHeight="1">
      <x:c r="A17" s="280" t="str">
        <x:v>Known data and design boundary</x:v>
      </x:c>
      <x:c r="B17" s="280" t="str">
        <x:v>Known data and design boundary</x:v>
      </x:c>
      <x:c r="C17" s="280" t="str">
        <x:v>Known data and design boundary</x:v>
      </x:c>
      <x:c r="D17" s="280" t="str">
        <x:v>Known data and design boundary</x:v>
      </x:c>
      <x:c r="E17" s="280" t="str">
        <x:v>Known data and design boundary</x:v>
      </x:c>
      <x:c r="F17" s="280" t="str">
        <x:v>Known data and design boundary</x:v>
      </x:c>
      <x:c r="G17" s="280" t="str">
        <x:v>Known data and design boundary</x:v>
      </x:c>
      <x:c r="H17" s="280" t="str">
        <x:v>Known data and design boundary</x:v>
      </x:c>
      <x:c r="I17" s="280" t="str">
        <x:v>Known data and design boundary</x:v>
      </x:c>
      <x:c r="J17" s="280" t="str">
        <x:v>Known data and design boundary</x:v>
      </x:c>
      <x:c r="K17" s="280" t="str">
        <x:v>Known data and design boundary</x:v>
      </x:c>
      <x:c r="L17" s="280" t="str">
        <x:v>Known data and design boundary</x:v>
      </x:c>
      <x:c r="M17" s="280" t="str">
        <x:v>Known data and design boundary</x:v>
      </x:c>
      <x:c r="N17" s="280" t="str">
        <x:v>Known data and design boundary</x:v>
      </x:c>
      <x:c r="O17" s="280" t="str">
        <x:v>Known data and design boundary</x:v>
      </x:c>
    </x:row>
    <x:row r="18" ht="28" customHeight="1">
      <x:c r="A18" s="324" t="str">
        <x:v>Design scale</x:v>
      </x:c>
      <x:c r="B18" s="318" t="str">
        <x:v>Plant feed 0.100 m³/s; module feed 1.00 kg/s; PX efficiency 95%.</x:v>
      </x:c>
      <x:c r="C18" s="318" t="str">
        <x:v>Plant feed 0.100 m³/s; module feed 1.00 kg/s; PX efficiency 95%.</x:v>
      </x:c>
      <x:c r="D18" s="318" t="str">
        <x:v>Plant feed 0.100 m³/s; module feed 1.00 kg/s; PX efficiency 95%.</x:v>
      </x:c>
      <x:c r="E18" s="318" t="str">
        <x:v>Plant feed 0.100 m³/s; module feed 1.00 kg/s; PX efficiency 95%.</x:v>
      </x:c>
      <x:c r="F18" s="318" t="str">
        <x:v>Plant feed 0.100 m³/s; module feed 1.00 kg/s; PX efficiency 95%.</x:v>
      </x:c>
      <x:c r="G18" s="318" t="str">
        <x:v>Plant feed 0.100 m³/s; module feed 1.00 kg/s; PX efficiency 95%.</x:v>
      </x:c>
      <x:c r="H18" s="318" t="str">
        <x:v>Plant feed 0.100 m³/s; module feed 1.00 kg/s; PX efficiency 95%.</x:v>
      </x:c>
      <x:c r="I18" s="318" t="str">
        <x:v>Plant feed 0.100 m³/s; module feed 1.00 kg/s; PX efficiency 95%.</x:v>
      </x:c>
      <x:c r="J18" s="318" t="str">
        <x:v>Plant feed 0.100 m³/s; module feed 1.00 kg/s; PX efficiency 95%.</x:v>
      </x:c>
      <x:c r="K18" s="318" t="str">
        <x:v>Plant feed 0.100 m³/s; module feed 1.00 kg/s; PX efficiency 95%.</x:v>
      </x:c>
      <x:c r="L18" s="318" t="str">
        <x:v>Plant feed 0.100 m³/s; module feed 1.00 kg/s; PX efficiency 95%.</x:v>
      </x:c>
      <x:c r="M18" s="318" t="str">
        <x:v>Plant feed 0.100 m³/s; module feed 1.00 kg/s; PX efficiency 95%.</x:v>
      </x:c>
      <x:c r="N18" s="318" t="str">
        <x:v>Plant feed 0.100 m³/s; module feed 1.00 kg/s; PX efficiency 95%.</x:v>
      </x:c>
      <x:c r="O18" s="318" t="str">
        <x:v>Plant feed 0.100 m³/s; module feed 1.00 kg/s; PX efficiency 95%.</x:v>
      </x:c>
    </x:row>
    <x:row r="19" ht="28" customHeight="1">
      <x:c r="A19" s="324" t="str">
        <x:v>Pressure range</x:v>
      </x:c>
      <x:c r="B19" s="318" t="str">
        <x:v>Set each batch independently within 62–70 bar, or adopt one common pressure.</x:v>
      </x:c>
      <x:c r="C19" s="318" t="str">
        <x:v>Set each batch independently within 62–70 bar, or adopt one common pressure.</x:v>
      </x:c>
      <x:c r="D19" s="318" t="str">
        <x:v>Set each batch independently within 62–70 bar, or adopt one common pressure.</x:v>
      </x:c>
      <x:c r="E19" s="318" t="str">
        <x:v>Set each batch independently within 62–70 bar, or adopt one common pressure.</x:v>
      </x:c>
      <x:c r="F19" s="318" t="str">
        <x:v>Set each batch independently within 62–70 bar, or adopt one common pressure.</x:v>
      </x:c>
      <x:c r="G19" s="318" t="str">
        <x:v>Set each batch independently within 62–70 bar, or adopt one common pressure.</x:v>
      </x:c>
      <x:c r="H19" s="318" t="str">
        <x:v>Set each batch independently within 62–70 bar, or adopt one common pressure.</x:v>
      </x:c>
      <x:c r="I19" s="318" t="str">
        <x:v>Set each batch independently within 62–70 bar, or adopt one common pressure.</x:v>
      </x:c>
      <x:c r="J19" s="318" t="str">
        <x:v>Set each batch independently within 62–70 bar, or adopt one common pressure.</x:v>
      </x:c>
      <x:c r="K19" s="318" t="str">
        <x:v>Set each batch independently within 62–70 bar, or adopt one common pressure.</x:v>
      </x:c>
      <x:c r="L19" s="318" t="str">
        <x:v>Set each batch independently within 62–70 bar, or adopt one common pressure.</x:v>
      </x:c>
      <x:c r="M19" s="318" t="str">
        <x:v>Set each batch independently within 62–70 bar, or adopt one common pressure.</x:v>
      </x:c>
      <x:c r="N19" s="318" t="str">
        <x:v>Set each batch independently within 62–70 bar, or adopt one common pressure.</x:v>
      </x:c>
      <x:c r="O19" s="318" t="str">
        <x:v>Set each batch independently within 62–70 bar, or adopt one common pressure.</x:v>
      </x:c>
    </x:row>
    <x:row r="20" ht="28" customHeight="1">
      <x:c r="A20" s="324" t="str">
        <x:v>Membrane area</x:v>
      </x:c>
      <x:c r="B20" s="318" t="str">
        <x:v>65–75 m² at module scale and 6,500–7,500 m² at plant scale.</x:v>
      </x:c>
      <x:c r="C20" s="318" t="str">
        <x:v>65–75 m² at module scale and 6,500–7,500 m² at plant scale.</x:v>
      </x:c>
      <x:c r="D20" s="318" t="str">
        <x:v>65–75 m² at module scale and 6,500–7,500 m² at plant scale.</x:v>
      </x:c>
      <x:c r="E20" s="318" t="str">
        <x:v>65–75 m² at module scale and 6,500–7,500 m² at plant scale.</x:v>
      </x:c>
      <x:c r="F20" s="318" t="str">
        <x:v>65–75 m² at module scale and 6,500–7,500 m² at plant scale.</x:v>
      </x:c>
      <x:c r="G20" s="318" t="str">
        <x:v>65–75 m² at module scale and 6,500–7,500 m² at plant scale.</x:v>
      </x:c>
      <x:c r="H20" s="318" t="str">
        <x:v>65–75 m² at module scale and 6,500–7,500 m² at plant scale.</x:v>
      </x:c>
      <x:c r="I20" s="318" t="str">
        <x:v>65–75 m² at module scale and 6,500–7,500 m² at plant scale.</x:v>
      </x:c>
      <x:c r="J20" s="318" t="str">
        <x:v>65–75 m² at module scale and 6,500–7,500 m² at plant scale.</x:v>
      </x:c>
      <x:c r="K20" s="318" t="str">
        <x:v>65–75 m² at module scale and 6,500–7,500 m² at plant scale.</x:v>
      </x:c>
      <x:c r="L20" s="318" t="str">
        <x:v>65–75 m² at module scale and 6,500–7,500 m² at plant scale.</x:v>
      </x:c>
      <x:c r="M20" s="318" t="str">
        <x:v>65–75 m² at module scale and 6,500–7,500 m² at plant scale.</x:v>
      </x:c>
      <x:c r="N20" s="318" t="str">
        <x:v>65–75 m² at module scale and 6,500–7,500 m² at plant scale.</x:v>
      </x:c>
      <x:c r="O20" s="318" t="str">
        <x:v>65–75 m² at module scale and 6,500–7,500 m² at plant scale.</x:v>
      </x:c>
    </x:row>
    <x:row r="21" ht="28" customHeight="1">
      <x:c r="A21" s="324" t="str">
        <x:v>Membrane range</x:v>
      </x:c>
      <x:c r="B21" s="318" t="str">
        <x:v>A = 3.2×10⁻¹²–5.0×10⁻¹² m/s/Pa; B = 1.6×10⁻⁸–5.5×10⁻⁸ m/s.</x:v>
      </x:c>
      <x:c r="C21" s="318" t="str">
        <x:v>A = 3.2×10⁻¹²–5.0×10⁻¹² m/s/Pa; B = 1.6×10⁻⁸–5.5×10⁻⁸ m/s.</x:v>
      </x:c>
      <x:c r="D21" s="318" t="str">
        <x:v>A = 3.2×10⁻¹²–5.0×10⁻¹² m/s/Pa; B = 1.6×10⁻⁸–5.5×10⁻⁸ m/s.</x:v>
      </x:c>
      <x:c r="E21" s="318" t="str">
        <x:v>A = 3.2×10⁻¹²–5.0×10⁻¹² m/s/Pa; B = 1.6×10⁻⁸–5.5×10⁻⁸ m/s.</x:v>
      </x:c>
      <x:c r="F21" s="318" t="str">
        <x:v>A = 3.2×10⁻¹²–5.0×10⁻¹² m/s/Pa; B = 1.6×10⁻⁸–5.5×10⁻⁸ m/s.</x:v>
      </x:c>
      <x:c r="G21" s="318" t="str">
        <x:v>A = 3.2×10⁻¹²–5.0×10⁻¹² m/s/Pa; B = 1.6×10⁻⁸–5.5×10⁻⁸ m/s.</x:v>
      </x:c>
      <x:c r="H21" s="318" t="str">
        <x:v>A = 3.2×10⁻¹²–5.0×10⁻¹² m/s/Pa; B = 1.6×10⁻⁸–5.5×10⁻⁸ m/s.</x:v>
      </x:c>
      <x:c r="I21" s="318" t="str">
        <x:v>A = 3.2×10⁻¹²–5.0×10⁻¹² m/s/Pa; B = 1.6×10⁻⁸–5.5×10⁻⁸ m/s.</x:v>
      </x:c>
      <x:c r="J21" s="318" t="str">
        <x:v>A = 3.2×10⁻¹²–5.0×10⁻¹² m/s/Pa; B = 1.6×10⁻⁸–5.5×10⁻⁸ m/s.</x:v>
      </x:c>
      <x:c r="K21" s="318" t="str">
        <x:v>A = 3.2×10⁻¹²–5.0×10⁻¹² m/s/Pa; B = 1.6×10⁻⁸–5.5×10⁻⁸ m/s.</x:v>
      </x:c>
      <x:c r="L21" s="318" t="str">
        <x:v>A = 3.2×10⁻¹²–5.0×10⁻¹² m/s/Pa; B = 1.6×10⁻⁸–5.5×10⁻⁸ m/s.</x:v>
      </x:c>
      <x:c r="M21" s="318" t="str">
        <x:v>A = 3.2×10⁻¹²–5.0×10⁻¹² m/s/Pa; B = 1.6×10⁻⁸–5.5×10⁻⁸ m/s.</x:v>
      </x:c>
      <x:c r="N21" s="318" t="str">
        <x:v>A = 3.2×10⁻¹²–5.0×10⁻¹² m/s/Pa; B = 1.6×10⁻⁸–5.5×10⁻⁸ m/s.</x:v>
      </x:c>
      <x:c r="O21" s="318" t="str">
        <x:v>A = 3.2×10⁻¹²–5.0×10⁻¹² m/s/Pa; B = 1.6×10⁻⁸–5.5×10⁻⁸ m/s.</x:v>
      </x:c>
    </x:row>
    <x:row r="22" ht="28" customHeight="1">
      <x:c r="A22" s="324" t="str">
        <x:v>Product changeover</x:v>
      </x:c>
      <x:c r="B22" s="318" t="str">
        <x:v>Operating settings may change, but the complete membrane inventory may not be replaced between batches.</x:v>
      </x:c>
      <x:c r="C22" s="318" t="str">
        <x:v>Operating settings may change, but the complete membrane inventory may not be replaced between batches.</x:v>
      </x:c>
      <x:c r="D22" s="318" t="str">
        <x:v>Operating settings may change, but the complete membrane inventory may not be replaced between batches.</x:v>
      </x:c>
      <x:c r="E22" s="318" t="str">
        <x:v>Operating settings may change, but the complete membrane inventory may not be replaced between batches.</x:v>
      </x:c>
      <x:c r="F22" s="318" t="str">
        <x:v>Operating settings may change, but the complete membrane inventory may not be replaced between batches.</x:v>
      </x:c>
      <x:c r="G22" s="318" t="str">
        <x:v>Operating settings may change, but the complete membrane inventory may not be replaced between batches.</x:v>
      </x:c>
      <x:c r="H22" s="318" t="str">
        <x:v>Operating settings may change, but the complete membrane inventory may not be replaced between batches.</x:v>
      </x:c>
      <x:c r="I22" s="318" t="str">
        <x:v>Operating settings may change, but the complete membrane inventory may not be replaced between batches.</x:v>
      </x:c>
      <x:c r="J22" s="318" t="str">
        <x:v>Operating settings may change, but the complete membrane inventory may not be replaced between batches.</x:v>
      </x:c>
      <x:c r="K22" s="318" t="str">
        <x:v>Operating settings may change, but the complete membrane inventory may not be replaced between batches.</x:v>
      </x:c>
      <x:c r="L22" s="318" t="str">
        <x:v>Operating settings may change, but the complete membrane inventory may not be replaced between batches.</x:v>
      </x:c>
      <x:c r="M22" s="318" t="str">
        <x:v>Operating settings may change, but the complete membrane inventory may not be replaced between batches.</x:v>
      </x:c>
      <x:c r="N22" s="318" t="str">
        <x:v>Operating settings may change, but the complete membrane inventory may not be replaced between batches.</x:v>
      </x:c>
      <x:c r="O22" s="318" t="str">
        <x:v>Operating settings may change, but the complete membrane inventory may not be replaced between batches.</x:v>
      </x:c>
    </x:row>
    <x:row r="23" ht="28" customHeight="1">
      <x:c r="A23" s="324" t="str">
        <x:v>Design development</x:v>
      </x:c>
      <x:c r="B23" s="318" t="str">
        <x:v>Develop several fixed- or variable-pressure designs and explain how each accommodates the contracts.</x:v>
      </x:c>
      <x:c r="C23" s="318" t="str">
        <x:v>Develop several fixed- or variable-pressure designs and explain how each accommodates the contracts.</x:v>
      </x:c>
      <x:c r="D23" s="318" t="str">
        <x:v>Develop several fixed- or variable-pressure designs and explain how each accommodates the contracts.</x:v>
      </x:c>
      <x:c r="E23" s="318" t="str">
        <x:v>Develop several fixed- or variable-pressure designs and explain how each accommodates the contracts.</x:v>
      </x:c>
      <x:c r="F23" s="318" t="str">
        <x:v>Develop several fixed- or variable-pressure designs and explain how each accommodates the contracts.</x:v>
      </x:c>
      <x:c r="G23" s="318" t="str">
        <x:v>Develop several fixed- or variable-pressure designs and explain how each accommodates the contracts.</x:v>
      </x:c>
      <x:c r="H23" s="318" t="str">
        <x:v>Develop several fixed- or variable-pressure designs and explain how each accommodates the contracts.</x:v>
      </x:c>
      <x:c r="I23" s="318" t="str">
        <x:v>Develop several fixed- or variable-pressure designs and explain how each accommodates the contracts.</x:v>
      </x:c>
      <x:c r="J23" s="318" t="str">
        <x:v>Develop several fixed- or variable-pressure designs and explain how each accommodates the contracts.</x:v>
      </x:c>
      <x:c r="K23" s="318" t="str">
        <x:v>Develop several fixed- or variable-pressure designs and explain how each accommodates the contracts.</x:v>
      </x:c>
      <x:c r="L23" s="318" t="str">
        <x:v>Develop several fixed- or variable-pressure designs and explain how each accommodates the contracts.</x:v>
      </x:c>
      <x:c r="M23" s="318" t="str">
        <x:v>Develop several fixed- or variable-pressure designs and explain how each accommodates the contracts.</x:v>
      </x:c>
      <x:c r="N23" s="318" t="str">
        <x:v>Develop several fixed- or variable-pressure designs and explain how each accommodates the contracts.</x:v>
      </x:c>
      <x:c r="O23" s="318" t="str">
        <x:v>Develop several fixed- or variable-pressure designs and explain how each accommodates the contracts.</x:v>
      </x:c>
    </x:row>
    <x:row r="24">
      <x:c r="A24" s="160"/>
      <x:c r="B24" s="160"/>
      <x:c r="C24" s="160"/>
      <x:c r="D24" s="160"/>
      <x:c r="E24" s="160"/>
      <x:c r="F24" s="160"/>
      <x:c r="G24" s="160"/>
      <x:c r="H24" s="160"/>
      <x:c r="I24" s="160"/>
      <x:c r="J24" s="160"/>
      <x:c r="K24" s="160"/>
      <x:c r="L24" s="160"/>
      <x:c r="M24" s="160"/>
      <x:c r="N24" s="160"/>
      <x:c r="O24" s="160"/>
    </x:row>
    <x:row r="25" ht="22" customHeight="1">
      <x:c r="A25" s="280" t="str">
        <x:v>Hard constraints and decision objective</x:v>
      </x:c>
      <x:c r="B25" s="280" t="str">
        <x:v>Hard constraints and decision objective</x:v>
      </x:c>
      <x:c r="C25" s="280" t="str">
        <x:v>Hard constraints and decision objective</x:v>
      </x:c>
      <x:c r="D25" s="280" t="str">
        <x:v>Hard constraints and decision objective</x:v>
      </x:c>
      <x:c r="E25" s="280" t="str">
        <x:v>Hard constraints and decision objective</x:v>
      </x:c>
      <x:c r="F25" s="280" t="str">
        <x:v>Hard constraints and decision objective</x:v>
      </x:c>
      <x:c r="G25" s="280" t="str">
        <x:v>Hard constraints and decision objective</x:v>
      </x:c>
      <x:c r="H25" s="280" t="str">
        <x:v>Hard constraints and decision objective</x:v>
      </x:c>
      <x:c r="I25" s="280" t="str">
        <x:v>Hard constraints and decision objective</x:v>
      </x:c>
      <x:c r="J25" s="280" t="str">
        <x:v>Hard constraints and decision objective</x:v>
      </x:c>
      <x:c r="K25" s="280" t="str">
        <x:v>Hard constraints and decision objective</x:v>
      </x:c>
      <x:c r="L25" s="280" t="str">
        <x:v>Hard constraints and decision objective</x:v>
      </x:c>
      <x:c r="M25" s="280" t="str">
        <x:v>Hard constraints and decision objective</x:v>
      </x:c>
      <x:c r="N25" s="280" t="str">
        <x:v>Hard constraints and decision objective</x:v>
      </x:c>
      <x:c r="O25" s="280" t="str">
        <x:v>Hard constraints and decision objective</x:v>
      </x:c>
    </x:row>
    <x:row r="26" ht="24" customHeight="1">
      <x:c r="A26" s="345" t="str">
        <x:v>In every batch: membrane water ≥0.330 kg/s, permeate NaCl meets the batch limit, inlet CP ≤1.35, plant product meets the batch target and SEC ≤3.10 kWh/m³. For designs compliant in every batch, calculate weighted LCOW and select the lowest.</x:v>
      </x:c>
      <x:c r="B26" s="346" t="str">
        <x:v>In every batch: membrane water ≥0.330 kg/s, permeate NaCl meets the batch limit, inlet CP ≤1.35, plant product meets the batch target and SEC ≤3.10 kWh/m³. For designs compliant in every batch, calculate weighted LCOW and select the lowest.</x:v>
      </x:c>
      <x:c r="C26" s="346" t="str">
        <x:v>In every batch: membrane water ≥0.330 kg/s, permeate NaCl meets the batch limit, inlet CP ≤1.35, plant product meets the batch target and SEC ≤3.10 kWh/m³. For designs compliant in every batch, calculate weighted LCOW and select the lowest.</x:v>
      </x:c>
      <x:c r="D26" s="346" t="str">
        <x:v>In every batch: membrane water ≥0.330 kg/s, permeate NaCl meets the batch limit, inlet CP ≤1.35, plant product meets the batch target and SEC ≤3.10 kWh/m³. For designs compliant in every batch, calculate weighted LCOW and select the lowest.</x:v>
      </x:c>
      <x:c r="E26" s="346" t="str">
        <x:v>In every batch: membrane water ≥0.330 kg/s, permeate NaCl meets the batch limit, inlet CP ≤1.35, plant product meets the batch target and SEC ≤3.10 kWh/m³. For designs compliant in every batch, calculate weighted LCOW and select the lowest.</x:v>
      </x:c>
      <x:c r="F26" s="346" t="str">
        <x:v>In every batch: membrane water ≥0.330 kg/s, permeate NaCl meets the batch limit, inlet CP ≤1.35, plant product meets the batch target and SEC ≤3.10 kWh/m³. For designs compliant in every batch, calculate weighted LCOW and select the lowest.</x:v>
      </x:c>
      <x:c r="G26" s="346" t="str">
        <x:v>In every batch: membrane water ≥0.330 kg/s, permeate NaCl meets the batch limit, inlet CP ≤1.35, plant product meets the batch target and SEC ≤3.10 kWh/m³. For designs compliant in every batch, calculate weighted LCOW and select the lowest.</x:v>
      </x:c>
      <x:c r="H26" s="346" t="str">
        <x:v>In every batch: membrane water ≥0.330 kg/s, permeate NaCl meets the batch limit, inlet CP ≤1.35, plant product meets the batch target and SEC ≤3.10 kWh/m³. For designs compliant in every batch, calculate weighted LCOW and select the lowest.</x:v>
      </x:c>
      <x:c r="I26" s="346" t="str">
        <x:v>In every batch: membrane water ≥0.330 kg/s, permeate NaCl meets the batch limit, inlet CP ≤1.35, plant product meets the batch target and SEC ≤3.10 kWh/m³. For designs compliant in every batch, calculate weighted LCOW and select the lowest.</x:v>
      </x:c>
      <x:c r="J26" s="346" t="str">
        <x:v>In every batch: membrane water ≥0.330 kg/s, permeate NaCl meets the batch limit, inlet CP ≤1.35, plant product meets the batch target and SEC ≤3.10 kWh/m³. For designs compliant in every batch, calculate weighted LCOW and select the lowest.</x:v>
      </x:c>
      <x:c r="K26" s="346" t="str">
        <x:v>In every batch: membrane water ≥0.330 kg/s, permeate NaCl meets the batch limit, inlet CP ≤1.35, plant product meets the batch target and SEC ≤3.10 kWh/m³. For designs compliant in every batch, calculate weighted LCOW and select the lowest.</x:v>
      </x:c>
      <x:c r="L26" s="346" t="str">
        <x:v>In every batch: membrane water ≥0.330 kg/s, permeate NaCl meets the batch limit, inlet CP ≤1.35, plant product meets the batch target and SEC ≤3.10 kWh/m³. For designs compliant in every batch, calculate weighted LCOW and select the lowest.</x:v>
      </x:c>
      <x:c r="M26" s="346" t="str">
        <x:v>In every batch: membrane water ≥0.330 kg/s, permeate NaCl meets the batch limit, inlet CP ≤1.35, plant product meets the batch target and SEC ≤3.10 kWh/m³. For designs compliant in every batch, calculate weighted LCOW and select the lowest.</x:v>
      </x:c>
      <x:c r="N26" s="346" t="str">
        <x:v>In every batch: membrane water ≥0.330 kg/s, permeate NaCl meets the batch limit, inlet CP ≤1.35, plant product meets the batch target and SEC ≤3.10 kWh/m³. For designs compliant in every batch, calculate weighted LCOW and select the lowest.</x:v>
      </x:c>
      <x:c r="O26" s="347" t="str">
        <x:v>In every batch: membrane water ≥0.330 kg/s, permeate NaCl meets the batch limit, inlet CP ≤1.35, plant product meets the batch target and SEC ≤3.10 kWh/m³. For designs compliant in every batch, calculate weighted LCOW and select the lowest.</x:v>
      </x:c>
    </x:row>
    <x:row r="27" ht="24" customHeight="1">
      <x:c r="A27" s="348" t="str">
        <x:v>In every batch: membrane water ≥0.330 kg/s, permeate NaCl meets the batch limit, inlet CP ≤1.35, plant product meets the batch target and SEC ≤3.10 kWh/m³. For designs compliant in every batch, calculate weighted LCOW and select the lowest.</x:v>
      </x:c>
      <x:c r="B27" s="349" t="str">
        <x:v>In every batch: membrane water ≥0.330 kg/s, permeate NaCl meets the batch limit, inlet CP ≤1.35, plant product meets the batch target and SEC ≤3.10 kWh/m³. For designs compliant in every batch, calculate weighted LCOW and select the lowest.</x:v>
      </x:c>
      <x:c r="C27" s="349" t="str">
        <x:v>In every batch: membrane water ≥0.330 kg/s, permeate NaCl meets the batch limit, inlet CP ≤1.35, plant product meets the batch target and SEC ≤3.10 kWh/m³. For designs compliant in every batch, calculate weighted LCOW and select the lowest.</x:v>
      </x:c>
      <x:c r="D27" s="349" t="str">
        <x:v>In every batch: membrane water ≥0.330 kg/s, permeate NaCl meets the batch limit, inlet CP ≤1.35, plant product meets the batch target and SEC ≤3.10 kWh/m³. For designs compliant in every batch, calculate weighted LCOW and select the lowest.</x:v>
      </x:c>
      <x:c r="E27" s="349" t="str">
        <x:v>In every batch: membrane water ≥0.330 kg/s, permeate NaCl meets the batch limit, inlet CP ≤1.35, plant product meets the batch target and SEC ≤3.10 kWh/m³. For designs compliant in every batch, calculate weighted LCOW and select the lowest.</x:v>
      </x:c>
      <x:c r="F27" s="349" t="str">
        <x:v>In every batch: membrane water ≥0.330 kg/s, permeate NaCl meets the batch limit, inlet CP ≤1.35, plant product meets the batch target and SEC ≤3.10 kWh/m³. For designs compliant in every batch, calculate weighted LCOW and select the lowest.</x:v>
      </x:c>
      <x:c r="G27" s="349" t="str">
        <x:v>In every batch: membrane water ≥0.330 kg/s, permeate NaCl meets the batch limit, inlet CP ≤1.35, plant product meets the batch target and SEC ≤3.10 kWh/m³. For designs compliant in every batch, calculate weighted LCOW and select the lowest.</x:v>
      </x:c>
      <x:c r="H27" s="349" t="str">
        <x:v>In every batch: membrane water ≥0.330 kg/s, permeate NaCl meets the batch limit, inlet CP ≤1.35, plant product meets the batch target and SEC ≤3.10 kWh/m³. For designs compliant in every batch, calculate weighted LCOW and select the lowest.</x:v>
      </x:c>
      <x:c r="I27" s="349" t="str">
        <x:v>In every batch: membrane water ≥0.330 kg/s, permeate NaCl meets the batch limit, inlet CP ≤1.35, plant product meets the batch target and SEC ≤3.10 kWh/m³. For designs compliant in every batch, calculate weighted LCOW and select the lowest.</x:v>
      </x:c>
      <x:c r="J27" s="349" t="str">
        <x:v>In every batch: membrane water ≥0.330 kg/s, permeate NaCl meets the batch limit, inlet CP ≤1.35, plant product meets the batch target and SEC ≤3.10 kWh/m³. For designs compliant in every batch, calculate weighted LCOW and select the lowest.</x:v>
      </x:c>
      <x:c r="K27" s="349" t="str">
        <x:v>In every batch: membrane water ≥0.330 kg/s, permeate NaCl meets the batch limit, inlet CP ≤1.35, plant product meets the batch target and SEC ≤3.10 kWh/m³. For designs compliant in every batch, calculate weighted LCOW and select the lowest.</x:v>
      </x:c>
      <x:c r="L27" s="349" t="str">
        <x:v>In every batch: membrane water ≥0.330 kg/s, permeate NaCl meets the batch limit, inlet CP ≤1.35, plant product meets the batch target and SEC ≤3.10 kWh/m³. For designs compliant in every batch, calculate weighted LCOW and select the lowest.</x:v>
      </x:c>
      <x:c r="M27" s="349" t="str">
        <x:v>In every batch: membrane water ≥0.330 kg/s, permeate NaCl meets the batch limit, inlet CP ≤1.35, plant product meets the batch target and SEC ≤3.10 kWh/m³. For designs compliant in every batch, calculate weighted LCOW and select the lowest.</x:v>
      </x:c>
      <x:c r="N27" s="349" t="str">
        <x:v>In every batch: membrane water ≥0.330 kg/s, permeate NaCl meets the batch limit, inlet CP ≤1.35, plant product meets the batch target and SEC ≤3.10 kWh/m³. For designs compliant in every batch, calculate weighted LCOW and select the lowest.</x:v>
      </x:c>
      <x:c r="O27" s="350" t="str">
        <x:v>In every batch: membrane water ≥0.330 kg/s, permeate NaCl meets the batch limit, inlet CP ≤1.35, plant product meets the batch target and SEC ≤3.10 kWh/m³. For designs compliant in every batch, calculate weighted LCOW and select the lowest.</x:v>
      </x:c>
    </x:row>
    <x:row r="28" ht="24" customHeight="1">
      <x:c r="A28" s="348" t="str">
        <x:v>In every batch: membrane water ≥0.330 kg/s, permeate NaCl meets the batch limit, inlet CP ≤1.35, plant product meets the batch target and SEC ≤3.10 kWh/m³. For designs compliant in every batch, calculate weighted LCOW and select the lowest.</x:v>
      </x:c>
      <x:c r="B28" s="349" t="str">
        <x:v>In every batch: membrane water ≥0.330 kg/s, permeate NaCl meets the batch limit, inlet CP ≤1.35, plant product meets the batch target and SEC ≤3.10 kWh/m³. For designs compliant in every batch, calculate weighted LCOW and select the lowest.</x:v>
      </x:c>
      <x:c r="C28" s="349" t="str">
        <x:v>In every batch: membrane water ≥0.330 kg/s, permeate NaCl meets the batch limit, inlet CP ≤1.35, plant product meets the batch target and SEC ≤3.10 kWh/m³. For designs compliant in every batch, calculate weighted LCOW and select the lowest.</x:v>
      </x:c>
      <x:c r="D28" s="349" t="str">
        <x:v>In every batch: membrane water ≥0.330 kg/s, permeate NaCl meets the batch limit, inlet CP ≤1.35, plant product meets the batch target and SEC ≤3.10 kWh/m³. For designs compliant in every batch, calculate weighted LCOW and select the lowest.</x:v>
      </x:c>
      <x:c r="E28" s="349" t="str">
        <x:v>In every batch: membrane water ≥0.330 kg/s, permeate NaCl meets the batch limit, inlet CP ≤1.35, plant product meets the batch target and SEC ≤3.10 kWh/m³. For designs compliant in every batch, calculate weighted LCOW and select the lowest.</x:v>
      </x:c>
      <x:c r="F28" s="349" t="str">
        <x:v>In every batch: membrane water ≥0.330 kg/s, permeate NaCl meets the batch limit, inlet CP ≤1.35, plant product meets the batch target and SEC ≤3.10 kWh/m³. For designs compliant in every batch, calculate weighted LCOW and select the lowest.</x:v>
      </x:c>
      <x:c r="G28" s="349" t="str">
        <x:v>In every batch: membrane water ≥0.330 kg/s, permeate NaCl meets the batch limit, inlet CP ≤1.35, plant product meets the batch target and SEC ≤3.10 kWh/m³. For designs compliant in every batch, calculate weighted LCOW and select the lowest.</x:v>
      </x:c>
      <x:c r="H28" s="349" t="str">
        <x:v>In every batch: membrane water ≥0.330 kg/s, permeate NaCl meets the batch limit, inlet CP ≤1.35, plant product meets the batch target and SEC ≤3.10 kWh/m³. For designs compliant in every batch, calculate weighted LCOW and select the lowest.</x:v>
      </x:c>
      <x:c r="I28" s="349" t="str">
        <x:v>In every batch: membrane water ≥0.330 kg/s, permeate NaCl meets the batch limit, inlet CP ≤1.35, plant product meets the batch target and SEC ≤3.10 kWh/m³. For designs compliant in every batch, calculate weighted LCOW and select the lowest.</x:v>
      </x:c>
      <x:c r="J28" s="349" t="str">
        <x:v>In every batch: membrane water ≥0.330 kg/s, permeate NaCl meets the batch limit, inlet CP ≤1.35, plant product meets the batch target and SEC ≤3.10 kWh/m³. For designs compliant in every batch, calculate weighted LCOW and select the lowest.</x:v>
      </x:c>
      <x:c r="K28" s="349" t="str">
        <x:v>In every batch: membrane water ≥0.330 kg/s, permeate NaCl meets the batch limit, inlet CP ≤1.35, plant product meets the batch target and SEC ≤3.10 kWh/m³. For designs compliant in every batch, calculate weighted LCOW and select the lowest.</x:v>
      </x:c>
      <x:c r="L28" s="349" t="str">
        <x:v>In every batch: membrane water ≥0.330 kg/s, permeate NaCl meets the batch limit, inlet CP ≤1.35, plant product meets the batch target and SEC ≤3.10 kWh/m³. For designs compliant in every batch, calculate weighted LCOW and select the lowest.</x:v>
      </x:c>
      <x:c r="M28" s="349" t="str">
        <x:v>In every batch: membrane water ≥0.330 kg/s, permeate NaCl meets the batch limit, inlet CP ≤1.35, plant product meets the batch target and SEC ≤3.10 kWh/m³. For designs compliant in every batch, calculate weighted LCOW and select the lowest.</x:v>
      </x:c>
      <x:c r="N28" s="349" t="str">
        <x:v>In every batch: membrane water ≥0.330 kg/s, permeate NaCl meets the batch limit, inlet CP ≤1.35, plant product meets the batch target and SEC ≤3.10 kWh/m³. For designs compliant in every batch, calculate weighted LCOW and select the lowest.</x:v>
      </x:c>
      <x:c r="O28" s="350" t="str">
        <x:v>In every batch: membrane water ≥0.330 kg/s, permeate NaCl meets the batch limit, inlet CP ≤1.35, plant product meets the batch target and SEC ≤3.10 kWh/m³. For designs compliant in every batch, calculate weighted LCOW and select the lowest.</x:v>
      </x:c>
    </x:row>
    <x:row r="29" ht="24" customHeight="1">
      <x:c r="A29" s="351" t="str">
        <x:v>In every batch: membrane water ≥0.330 kg/s, permeate NaCl meets the batch limit, inlet CP ≤1.35, plant product meets the batch target and SEC ≤3.10 kWh/m³. For designs compliant in every batch, calculate weighted LCOW and select the lowest.</x:v>
      </x:c>
      <x:c r="B29" s="352" t="str">
        <x:v>In every batch: membrane water ≥0.330 kg/s, permeate NaCl meets the batch limit, inlet CP ≤1.35, plant product meets the batch target and SEC ≤3.10 kWh/m³. For designs compliant in every batch, calculate weighted LCOW and select the lowest.</x:v>
      </x:c>
      <x:c r="C29" s="352" t="str">
        <x:v>In every batch: membrane water ≥0.330 kg/s, permeate NaCl meets the batch limit, inlet CP ≤1.35, plant product meets the batch target and SEC ≤3.10 kWh/m³. For designs compliant in every batch, calculate weighted LCOW and select the lowest.</x:v>
      </x:c>
      <x:c r="D29" s="352" t="str">
        <x:v>In every batch: membrane water ≥0.330 kg/s, permeate NaCl meets the batch limit, inlet CP ≤1.35, plant product meets the batch target and SEC ≤3.10 kWh/m³. For designs compliant in every batch, calculate weighted LCOW and select the lowest.</x:v>
      </x:c>
      <x:c r="E29" s="352" t="str">
        <x:v>In every batch: membrane water ≥0.330 kg/s, permeate NaCl meets the batch limit, inlet CP ≤1.35, plant product meets the batch target and SEC ≤3.10 kWh/m³. For designs compliant in every batch, calculate weighted LCOW and select the lowest.</x:v>
      </x:c>
      <x:c r="F29" s="352" t="str">
        <x:v>In every batch: membrane water ≥0.330 kg/s, permeate NaCl meets the batch limit, inlet CP ≤1.35, plant product meets the batch target and SEC ≤3.10 kWh/m³. For designs compliant in every batch, calculate weighted LCOW and select the lowest.</x:v>
      </x:c>
      <x:c r="G29" s="352" t="str">
        <x:v>In every batch: membrane water ≥0.330 kg/s, permeate NaCl meets the batch limit, inlet CP ≤1.35, plant product meets the batch target and SEC ≤3.10 kWh/m³. For designs compliant in every batch, calculate weighted LCOW and select the lowest.</x:v>
      </x:c>
      <x:c r="H29" s="352" t="str">
        <x:v>In every batch: membrane water ≥0.330 kg/s, permeate NaCl meets the batch limit, inlet CP ≤1.35, plant product meets the batch target and SEC ≤3.10 kWh/m³. For designs compliant in every batch, calculate weighted LCOW and select the lowest.</x:v>
      </x:c>
      <x:c r="I29" s="352" t="str">
        <x:v>In every batch: membrane water ≥0.330 kg/s, permeate NaCl meets the batch limit, inlet CP ≤1.35, plant product meets the batch target and SEC ≤3.10 kWh/m³. For designs compliant in every batch, calculate weighted LCOW and select the lowest.</x:v>
      </x:c>
      <x:c r="J29" s="352" t="str">
        <x:v>In every batch: membrane water ≥0.330 kg/s, permeate NaCl meets the batch limit, inlet CP ≤1.35, plant product meets the batch target and SEC ≤3.10 kWh/m³. For designs compliant in every batch, calculate weighted LCOW and select the lowest.</x:v>
      </x:c>
      <x:c r="K29" s="352" t="str">
        <x:v>In every batch: membrane water ≥0.330 kg/s, permeate NaCl meets the batch limit, inlet CP ≤1.35, plant product meets the batch target and SEC ≤3.10 kWh/m³. For designs compliant in every batch, calculate weighted LCOW and select the lowest.</x:v>
      </x:c>
      <x:c r="L29" s="352" t="str">
        <x:v>In every batch: membrane water ≥0.330 kg/s, permeate NaCl meets the batch limit, inlet CP ≤1.35, plant product meets the batch target and SEC ≤3.10 kWh/m³. For designs compliant in every batch, calculate weighted LCOW and select the lowest.</x:v>
      </x:c>
      <x:c r="M29" s="352" t="str">
        <x:v>In every batch: membrane water ≥0.330 kg/s, permeate NaCl meets the batch limit, inlet CP ≤1.35, plant product meets the batch target and SEC ≤3.10 kWh/m³. For designs compliant in every batch, calculate weighted LCOW and select the lowest.</x:v>
      </x:c>
      <x:c r="N29" s="352" t="str">
        <x:v>In every batch: membrane water ≥0.330 kg/s, permeate NaCl meets the batch limit, inlet CP ≤1.35, plant product meets the batch target and SEC ≤3.10 kWh/m³. For designs compliant in every batch, calculate weighted LCOW and select the lowest.</x:v>
      </x:c>
      <x:c r="O29" s="353" t="str">
        <x:v>In every batch: membrane water ≥0.330 kg/s, permeate NaCl meets the batch limit, inlet CP ≤1.35, plant product meets the batch target and SEC ≤3.10 kWh/m³. For designs compliant in every batch, calculate weighted LCOW and select the lowest.</x:v>
      </x:c>
    </x:row>
    <x:row r="30">
      <x:c r="A30" s="160"/>
      <x:c r="B30" s="160"/>
      <x:c r="C30" s="160"/>
      <x:c r="D30" s="160"/>
      <x:c r="E30" s="160"/>
      <x:c r="F30" s="160"/>
      <x:c r="G30" s="160"/>
      <x:c r="H30" s="160"/>
      <x:c r="I30" s="160"/>
      <x:c r="J30" s="160"/>
      <x:c r="K30" s="160"/>
      <x:c r="L30" s="160"/>
      <x:c r="M30" s="160"/>
      <x:c r="N30" s="160"/>
      <x:c r="O30" s="160"/>
    </x:row>
    <x:row r="31" ht="22" customHeight="1">
      <x:c r="A31" s="280" t="str">
        <x:v>What the engineering answer must contain</x:v>
      </x:c>
      <x:c r="B31" s="280" t="str">
        <x:v>What the engineering answer must contain</x:v>
      </x:c>
      <x:c r="C31" s="280" t="str">
        <x:v>What the engineering answer must contain</x:v>
      </x:c>
      <x:c r="D31" s="280" t="str">
        <x:v>What the engineering answer must contain</x:v>
      </x:c>
      <x:c r="E31" s="280" t="str">
        <x:v>What the engineering answer must contain</x:v>
      </x:c>
      <x:c r="F31" s="280" t="str">
        <x:v>What the engineering answer must contain</x:v>
      </x:c>
      <x:c r="G31" s="280" t="str">
        <x:v>What the engineering answer must contain</x:v>
      </x:c>
      <x:c r="H31" s="280" t="str">
        <x:v>What the engineering answer must contain</x:v>
      </x:c>
      <x:c r="I31" s="280" t="str">
        <x:v>What the engineering answer must contain</x:v>
      </x:c>
      <x:c r="J31" s="280" t="str">
        <x:v>What the engineering answer must contain</x:v>
      </x:c>
      <x:c r="K31" s="280" t="str">
        <x:v>What the engineering answer must contain</x:v>
      </x:c>
      <x:c r="L31" s="280" t="str">
        <x:v>What the engineering answer must contain</x:v>
      </x:c>
      <x:c r="M31" s="280" t="str">
        <x:v>What the engineering answer must contain</x:v>
      </x:c>
      <x:c r="N31" s="280" t="str">
        <x:v>What the engineering answer must contain</x:v>
      </x:c>
      <x:c r="O31" s="280" t="str">
        <x:v>What the engineering answer must contain</x:v>
      </x:c>
    </x:row>
    <x:row r="32" ht="28" customHeight="1">
      <x:c r="A32" s="357" t="n">
        <x:v>1</x:v>
      </x:c>
      <x:c r="B32" s="360" t="str">
        <x:v>Develop several membrane-area-pressure combinations without presuming fixed or variable pressure is required.</x:v>
      </x:c>
      <x:c r="C32" s="360" t="str">
        <x:v>Develop several membrane-area-pressure combinations without presuming fixed or variable pressure is required.</x:v>
      </x:c>
      <x:c r="D32" s="360" t="str">
        <x:v>Develop several membrane-area-pressure combinations without presuming fixed or variable pressure is required.</x:v>
      </x:c>
      <x:c r="E32" s="360" t="str">
        <x:v>Develop several membrane-area-pressure combinations without presuming fixed or variable pressure is required.</x:v>
      </x:c>
      <x:c r="F32" s="360" t="str">
        <x:v>Develop several membrane-area-pressure combinations without presuming fixed or variable pressure is required.</x:v>
      </x:c>
      <x:c r="G32" s="360" t="str">
        <x:v>Develop several membrane-area-pressure combinations without presuming fixed or variable pressure is required.</x:v>
      </x:c>
      <x:c r="H32" s="360" t="str">
        <x:v>Develop several membrane-area-pressure combinations without presuming fixed or variable pressure is required.</x:v>
      </x:c>
      <x:c r="I32" s="360" t="str">
        <x:v>Develop several membrane-area-pressure combinations without presuming fixed or variable pressure is required.</x:v>
      </x:c>
      <x:c r="J32" s="360" t="str">
        <x:v>Develop several membrane-area-pressure combinations without presuming fixed or variable pressure is required.</x:v>
      </x:c>
      <x:c r="K32" s="360" t="str">
        <x:v>Develop several membrane-area-pressure combinations without presuming fixed or variable pressure is required.</x:v>
      </x:c>
      <x:c r="L32" s="360" t="str">
        <x:v>Develop several membrane-area-pressure combinations without presuming fixed or variable pressure is required.</x:v>
      </x:c>
      <x:c r="M32" s="360" t="str">
        <x:v>Develop several membrane-area-pressure combinations without presuming fixed or variable pressure is required.</x:v>
      </x:c>
      <x:c r="N32" s="360" t="str">
        <x:v>Develop several membrane-area-pressure combinations without presuming fixed or variable pressure is required.</x:v>
      </x:c>
      <x:c r="O32" s="360" t="str">
        <x:v>Develop several membrane-area-pressure combinations without presuming fixed or variable pressure is required.</x:v>
      </x:c>
    </x:row>
    <x:row r="33" ht="28" customHeight="1">
      <x:c r="A33" s="357" t="n">
        <x:v>2</x:v>
      </x:c>
      <x:c r="B33" s="360" t="str">
        <x:v>Check membrane water, NaCl, CP, plant product and SEC for each batch.</x:v>
      </x:c>
      <x:c r="C33" s="360" t="str">
        <x:v>Check membrane water, NaCl, CP, plant product and SEC for each batch.</x:v>
      </x:c>
      <x:c r="D33" s="360" t="str">
        <x:v>Check membrane water, NaCl, CP, plant product and SEC for each batch.</x:v>
      </x:c>
      <x:c r="E33" s="360" t="str">
        <x:v>Check membrane water, NaCl, CP, plant product and SEC for each batch.</x:v>
      </x:c>
      <x:c r="F33" s="360" t="str">
        <x:v>Check membrane water, NaCl, CP, plant product and SEC for each batch.</x:v>
      </x:c>
      <x:c r="G33" s="360" t="str">
        <x:v>Check membrane water, NaCl, CP, plant product and SEC for each batch.</x:v>
      </x:c>
      <x:c r="H33" s="360" t="str">
        <x:v>Check membrane water, NaCl, CP, plant product and SEC for each batch.</x:v>
      </x:c>
      <x:c r="I33" s="360" t="str">
        <x:v>Check membrane water, NaCl, CP, plant product and SEC for each batch.</x:v>
      </x:c>
      <x:c r="J33" s="360" t="str">
        <x:v>Check membrane water, NaCl, CP, plant product and SEC for each batch.</x:v>
      </x:c>
      <x:c r="K33" s="360" t="str">
        <x:v>Check membrane water, NaCl, CP, plant product and SEC for each batch.</x:v>
      </x:c>
      <x:c r="L33" s="360" t="str">
        <x:v>Check membrane water, NaCl, CP, plant product and SEC for each batch.</x:v>
      </x:c>
      <x:c r="M33" s="360" t="str">
        <x:v>Check membrane water, NaCl, CP, plant product and SEC for each batch.</x:v>
      </x:c>
      <x:c r="N33" s="360" t="str">
        <x:v>Check membrane water, NaCl, CP, plant product and SEC for each batch.</x:v>
      </x:c>
      <x:c r="O33" s="360" t="str">
        <x:v>Check membrane water, NaCl, CP, plant product and SEC for each batch.</x:v>
      </x:c>
    </x:row>
    <x:row r="34" ht="28" customHeight="1">
      <x:c r="A34" s="357" t="n">
        <x:v>3</x:v>
      </x:c>
      <x:c r="B34" s="360" t="str">
        <x:v>Apply each batch's independent quality limit; do not hide high-purity failure with average NaCl.</x:v>
      </x:c>
      <x:c r="C34" s="360" t="str">
        <x:v>Apply each batch's independent quality limit; do not hide high-purity failure with average NaCl.</x:v>
      </x:c>
      <x:c r="D34" s="360" t="str">
        <x:v>Apply each batch's independent quality limit; do not hide high-purity failure with average NaCl.</x:v>
      </x:c>
      <x:c r="E34" s="360" t="str">
        <x:v>Apply each batch's independent quality limit; do not hide high-purity failure with average NaCl.</x:v>
      </x:c>
      <x:c r="F34" s="360" t="str">
        <x:v>Apply each batch's independent quality limit; do not hide high-purity failure with average NaCl.</x:v>
      </x:c>
      <x:c r="G34" s="360" t="str">
        <x:v>Apply each batch's independent quality limit; do not hide high-purity failure with average NaCl.</x:v>
      </x:c>
      <x:c r="H34" s="360" t="str">
        <x:v>Apply each batch's independent quality limit; do not hide high-purity failure with average NaCl.</x:v>
      </x:c>
      <x:c r="I34" s="360" t="str">
        <x:v>Apply each batch's independent quality limit; do not hide high-purity failure with average NaCl.</x:v>
      </x:c>
      <x:c r="J34" s="360" t="str">
        <x:v>Apply each batch's independent quality limit; do not hide high-purity failure with average NaCl.</x:v>
      </x:c>
      <x:c r="K34" s="360" t="str">
        <x:v>Apply each batch's independent quality limit; do not hide high-purity failure with average NaCl.</x:v>
      </x:c>
      <x:c r="L34" s="360" t="str">
        <x:v>Apply each batch's independent quality limit; do not hide high-purity failure with average NaCl.</x:v>
      </x:c>
      <x:c r="M34" s="360" t="str">
        <x:v>Apply each batch's independent quality limit; do not hide high-purity failure with average NaCl.</x:v>
      </x:c>
      <x:c r="N34" s="360" t="str">
        <x:v>Apply each batch's independent quality limit; do not hide high-purity failure with average NaCl.</x:v>
      </x:c>
      <x:c r="O34" s="360" t="str">
        <x:v>Apply each batch's independent quality limit; do not hide high-purity failure with average NaCl.</x:v>
      </x:c>
    </x:row>
    <x:row r="35" ht="28" customHeight="1">
      <x:c r="A35" s="357" t="n">
        <x:v>4</x:v>
      </x:c>
      <x:c r="B35" s="360" t="str">
        <x:v>Calculate weighted LCOW for designs feasible in all batches and recommend one.</x:v>
      </x:c>
      <x:c r="C35" s="360" t="str">
        <x:v>Calculate weighted LCOW for designs feasible in all batches and recommend one.</x:v>
      </x:c>
      <x:c r="D35" s="360" t="str">
        <x:v>Calculate weighted LCOW for designs feasible in all batches and recommend one.</x:v>
      </x:c>
      <x:c r="E35" s="360" t="str">
        <x:v>Calculate weighted LCOW for designs feasible in all batches and recommend one.</x:v>
      </x:c>
      <x:c r="F35" s="360" t="str">
        <x:v>Calculate weighted LCOW for designs feasible in all batches and recommend one.</x:v>
      </x:c>
      <x:c r="G35" s="360" t="str">
        <x:v>Calculate weighted LCOW for designs feasible in all batches and recommend one.</x:v>
      </x:c>
      <x:c r="H35" s="360" t="str">
        <x:v>Calculate weighted LCOW for designs feasible in all batches and recommend one.</x:v>
      </x:c>
      <x:c r="I35" s="360" t="str">
        <x:v>Calculate weighted LCOW for designs feasible in all batches and recommend one.</x:v>
      </x:c>
      <x:c r="J35" s="360" t="str">
        <x:v>Calculate weighted LCOW for designs feasible in all batches and recommend one.</x:v>
      </x:c>
      <x:c r="K35" s="360" t="str">
        <x:v>Calculate weighted LCOW for designs feasible in all batches and recommend one.</x:v>
      </x:c>
      <x:c r="L35" s="360" t="str">
        <x:v>Calculate weighted LCOW for designs feasible in all batches and recommend one.</x:v>
      </x:c>
      <x:c r="M35" s="360" t="str">
        <x:v>Calculate weighted LCOW for designs feasible in all batches and recommend one.</x:v>
      </x:c>
      <x:c r="N35" s="360" t="str">
        <x:v>Calculate weighted LCOW for designs feasible in all batches and recommend one.</x:v>
      </x:c>
      <x:c r="O35" s="360" t="str">
        <x:v>Calculate weighted LCOW for designs feasible in all batches and recommend one.</x:v>
      </x:c>
    </x:row>
    <x:row r="36" ht="28" customHeight="1">
      <x:c r="A36" s="357" t="n">
        <x:v>5</x:v>
      </x:c>
      <x:c r="B36" s="360" t="str">
        <x:v>Report margins and operating trade-offs in the strictest-quality and highest-salinity batches.</x:v>
      </x:c>
      <x:c r="C36" s="360" t="str">
        <x:v>Report margins and operating trade-offs in the strictest-quality and highest-salinity batches.</x:v>
      </x:c>
      <x:c r="D36" s="360" t="str">
        <x:v>Report margins and operating trade-offs in the strictest-quality and highest-salinity batches.</x:v>
      </x:c>
      <x:c r="E36" s="360" t="str">
        <x:v>Report margins and operating trade-offs in the strictest-quality and highest-salinity batches.</x:v>
      </x:c>
      <x:c r="F36" s="360" t="str">
        <x:v>Report margins and operating trade-offs in the strictest-quality and highest-salinity batches.</x:v>
      </x:c>
      <x:c r="G36" s="360" t="str">
        <x:v>Report margins and operating trade-offs in the strictest-quality and highest-salinity batches.</x:v>
      </x:c>
      <x:c r="H36" s="360" t="str">
        <x:v>Report margins and operating trade-offs in the strictest-quality and highest-salinity batches.</x:v>
      </x:c>
      <x:c r="I36" s="360" t="str">
        <x:v>Report margins and operating trade-offs in the strictest-quality and highest-salinity batches.</x:v>
      </x:c>
      <x:c r="J36" s="360" t="str">
        <x:v>Report margins and operating trade-offs in the strictest-quality and highest-salinity batches.</x:v>
      </x:c>
      <x:c r="K36" s="360" t="str">
        <x:v>Report margins and operating trade-offs in the strictest-quality and highest-salinity batches.</x:v>
      </x:c>
      <x:c r="L36" s="360" t="str">
        <x:v>Report margins and operating trade-offs in the strictest-quality and highest-salinity batches.</x:v>
      </x:c>
      <x:c r="M36" s="360" t="str">
        <x:v>Report margins and operating trade-offs in the strictest-quality and highest-salinity batches.</x:v>
      </x:c>
      <x:c r="N36" s="360" t="str">
        <x:v>Report margins and operating trade-offs in the strictest-quality and highest-salinity batches.</x:v>
      </x:c>
      <x:c r="O36" s="360" t="str">
        <x:v>Report margins and operating trade-offs in the strictest-quality and highest-salinity batches.</x:v>
      </x:c>
    </x:row>
    <x:row r="37">
      <x:c r="A37" s="160"/>
      <x:c r="B37" s="160"/>
      <x:c r="C37" s="160"/>
      <x:c r="D37" s="160"/>
      <x:c r="E37" s="160"/>
      <x:c r="F37" s="160"/>
      <x:c r="G37" s="160"/>
      <x:c r="H37" s="160"/>
      <x:c r="I37" s="160"/>
      <x:c r="J37" s="160"/>
      <x:c r="K37" s="160"/>
      <x:c r="L37" s="160"/>
      <x:c r="M37" s="160"/>
      <x:c r="N37" s="160"/>
      <x:c r="O37" s="160"/>
    </x:row>
    <x:row r="38" ht="23" customHeight="1">
      <x:c r="A38" s="375" t="str">
        <x:v>Assessment principle: a design that fails one operating state is infeasible. State all assumptions and support the recommendation with worst-state evidence.</x:v>
      </x:c>
      <x:c r="B38" s="376" t="str">
        <x:v>Assessment principle: a design that fails one operating state is infeasible. State all assumptions and support the recommendation with worst-state evidence.</x:v>
      </x:c>
      <x:c r="C38" s="376" t="str">
        <x:v>Assessment principle: a design that fails one operating state is infeasible. State all assumptions and support the recommendation with worst-state evidence.</x:v>
      </x:c>
      <x:c r="D38" s="376" t="str">
        <x:v>Assessment principle: a design that fails one operating state is infeasible. State all assumptions and support the recommendation with worst-state evidence.</x:v>
      </x:c>
      <x:c r="E38" s="376" t="str">
        <x:v>Assessment principle: a design that fails one operating state is infeasible. State all assumptions and support the recommendation with worst-state evidence.</x:v>
      </x:c>
      <x:c r="F38" s="376" t="str">
        <x:v>Assessment principle: a design that fails one operating state is infeasible. State all assumptions and support the recommendation with worst-state evidence.</x:v>
      </x:c>
      <x:c r="G38" s="376" t="str">
        <x:v>Assessment principle: a design that fails one operating state is infeasible. State all assumptions and support the recommendation with worst-state evidence.</x:v>
      </x:c>
      <x:c r="H38" s="376" t="str">
        <x:v>Assessment principle: a design that fails one operating state is infeasible. State all assumptions and support the recommendation with worst-state evidence.</x:v>
      </x:c>
      <x:c r="I38" s="376" t="str">
        <x:v>Assessment principle: a design that fails one operating state is infeasible. State all assumptions and support the recommendation with worst-state evidence.</x:v>
      </x:c>
      <x:c r="J38" s="376" t="str">
        <x:v>Assessment principle: a design that fails one operating state is infeasible. State all assumptions and support the recommendation with worst-state evidence.</x:v>
      </x:c>
      <x:c r="K38" s="376" t="str">
        <x:v>Assessment principle: a design that fails one operating state is infeasible. State all assumptions and support the recommendation with worst-state evidence.</x:v>
      </x:c>
      <x:c r="L38" s="376" t="str">
        <x:v>Assessment principle: a design that fails one operating state is infeasible. State all assumptions and support the recommendation with worst-state evidence.</x:v>
      </x:c>
      <x:c r="M38" s="376" t="str">
        <x:v>Assessment principle: a design that fails one operating state is infeasible. State all assumptions and support the recommendation with worst-state evidence.</x:v>
      </x:c>
      <x:c r="N38" s="376" t="str">
        <x:v>Assessment principle: a design that fails one operating state is infeasible. State all assumptions and support the recommendation with worst-state evidence.</x:v>
      </x:c>
      <x:c r="O38" s="377" t="str">
        <x:v>Assessment principle: a design that fails one operating state is infeasible. State all assumptions and support the recommendation with worst-state evidence.</x:v>
      </x:c>
    </x:row>
    <x:row r="39" ht="23" customHeight="1">
      <x:c r="A39" s="378" t="str">
        <x:v>Assessment principle: a design that fails one operating state is infeasible. State all assumptions and support the recommendation with worst-state evidence.</x:v>
      </x:c>
      <x:c r="B39" s="379" t="str">
        <x:v>Assessment principle: a design that fails one operating state is infeasible. State all assumptions and support the recommendation with worst-state evidence.</x:v>
      </x:c>
      <x:c r="C39" s="379" t="str">
        <x:v>Assessment principle: a design that fails one operating state is infeasible. State all assumptions and support the recommendation with worst-state evidence.</x:v>
      </x:c>
      <x:c r="D39" s="379" t="str">
        <x:v>Assessment principle: a design that fails one operating state is infeasible. State all assumptions and support the recommendation with worst-state evidence.</x:v>
      </x:c>
      <x:c r="E39" s="379" t="str">
        <x:v>Assessment principle: a design that fails one operating state is infeasible. State all assumptions and support the recommendation with worst-state evidence.</x:v>
      </x:c>
      <x:c r="F39" s="379" t="str">
        <x:v>Assessment principle: a design that fails one operating state is infeasible. State all assumptions and support the recommendation with worst-state evidence.</x:v>
      </x:c>
      <x:c r="G39" s="379" t="str">
        <x:v>Assessment principle: a design that fails one operating state is infeasible. State all assumptions and support the recommendation with worst-state evidence.</x:v>
      </x:c>
      <x:c r="H39" s="379" t="str">
        <x:v>Assessment principle: a design that fails one operating state is infeasible. State all assumptions and support the recommendation with worst-state evidence.</x:v>
      </x:c>
      <x:c r="I39" s="379" t="str">
        <x:v>Assessment principle: a design that fails one operating state is infeasible. State all assumptions and support the recommendation with worst-state evidence.</x:v>
      </x:c>
      <x:c r="J39" s="379" t="str">
        <x:v>Assessment principle: a design that fails one operating state is infeasible. State all assumptions and support the recommendation with worst-state evidence.</x:v>
      </x:c>
      <x:c r="K39" s="379" t="str">
        <x:v>Assessment principle: a design that fails one operating state is infeasible. State all assumptions and support the recommendation with worst-state evidence.</x:v>
      </x:c>
      <x:c r="L39" s="379" t="str">
        <x:v>Assessment principle: a design that fails one operating state is infeasible. State all assumptions and support the recommendation with worst-state evidence.</x:v>
      </x:c>
      <x:c r="M39" s="379" t="str">
        <x:v>Assessment principle: a design that fails one operating state is infeasible. State all assumptions and support the recommendation with worst-state evidence.</x:v>
      </x:c>
      <x:c r="N39" s="379" t="str">
        <x:v>Assessment principle: a design that fails one operating state is infeasible. State all assumptions and support the recommendation with worst-state evidence.</x:v>
      </x:c>
      <x:c r="O39" s="380" t="str">
        <x:v>Assessment principle: a design that fails one operating state is infeasible. State all assumptions and support the recommendation with worst-state evidence.</x:v>
      </x:c>
    </x:row>
    <x:row r="40">
      <x:c r="A40" s="160"/>
      <x:c r="B40" s="160"/>
      <x:c r="C40" s="160"/>
      <x:c r="D40" s="160"/>
      <x:c r="E40" s="160"/>
      <x:c r="F40" s="160"/>
      <x:c r="G40" s="160"/>
      <x:c r="H40" s="160"/>
      <x:c r="I40" s="160"/>
      <x:c r="J40" s="160"/>
      <x:c r="K40" s="160"/>
      <x:c r="L40" s="160"/>
      <x:c r="M40" s="160"/>
      <x:c r="N40" s="160"/>
      <x:c r="O40" s="160"/>
    </x:row>
    <x:row r="41">
      <x:c r="A41"/>
      <x:c r="B41"/>
      <x:c r="C41"/>
      <x:c r="D41"/>
      <x:c r="E41"/>
      <x:c r="F41"/>
      <x:c r="G41"/>
      <x:c r="H41"/>
      <x:c r="I41"/>
      <x:c r="J41"/>
      <x:c r="K41"/>
      <x:c r="L41"/>
      <x:c r="M41"/>
      <x:c r="N41"/>
      <x:c r="O41"/>
    </x:row>
    <x:row r="42">
      <x:c r="A42"/>
      <x:c r="B42"/>
      <x:c r="C42"/>
      <x:c r="D42"/>
      <x:c r="E42"/>
      <x:c r="F42"/>
      <x:c r="G42"/>
      <x:c r="H42"/>
      <x:c r="I42"/>
      <x:c r="J42"/>
      <x:c r="K42"/>
      <x:c r="L42"/>
      <x:c r="M42"/>
      <x:c r="N42"/>
      <x:c r="O42"/>
    </x:row>
    <x:row r="43">
      <x:c r="A43"/>
      <x:c r="B43"/>
      <x:c r="C43"/>
      <x:c r="D43"/>
      <x:c r="E43"/>
      <x:c r="F43"/>
      <x:c r="G43"/>
      <x:c r="H43"/>
      <x:c r="I43"/>
      <x:c r="J43"/>
      <x:c r="K43"/>
      <x:c r="L43"/>
      <x:c r="M43"/>
      <x:c r="N43"/>
      <x:c r="O43"/>
    </x:row>
    <x:row r="44">
      <x:c r="A44"/>
      <x:c r="B44"/>
      <x:c r="C44"/>
      <x:c r="D44"/>
      <x:c r="E44"/>
      <x:c r="F44"/>
      <x:c r="G44"/>
      <x:c r="H44"/>
      <x:c r="I44"/>
      <x:c r="J44"/>
      <x:c r="K44"/>
      <x:c r="L44"/>
      <x:c r="M44"/>
      <x:c r="N44"/>
      <x:c r="O44"/>
    </x:row>
    <x:row r="45">
      <x:c r="A45"/>
      <x:c r="B45"/>
      <x:c r="C45"/>
      <x:c r="D45"/>
      <x:c r="E45"/>
      <x:c r="F45"/>
      <x:c r="G45"/>
      <x:c r="H45"/>
      <x:c r="I45"/>
      <x:c r="J45"/>
      <x:c r="K45"/>
      <x:c r="L45"/>
      <x:c r="M45"/>
      <x:c r="N45"/>
      <x:c r="O45"/>
    </x:row>
    <x:row r="46">
      <x:c r="A46"/>
      <x:c r="B46"/>
      <x:c r="C46"/>
      <x:c r="D46"/>
      <x:c r="E46"/>
      <x:c r="F46"/>
      <x:c r="G46"/>
      <x:c r="H46"/>
      <x:c r="I46"/>
      <x:c r="J46"/>
      <x:c r="K46"/>
      <x:c r="L46"/>
      <x:c r="M46"/>
      <x:c r="N46"/>
      <x:c r="O46"/>
    </x:row>
    <x:row r="47">
      <x:c r="A47"/>
      <x:c r="B47"/>
      <x:c r="C47"/>
      <x:c r="D47"/>
      <x:c r="E47"/>
      <x:c r="F47"/>
      <x:c r="G47"/>
      <x:c r="H47"/>
      <x:c r="I47"/>
      <x:c r="J47"/>
      <x:c r="K47"/>
      <x:c r="L47"/>
      <x:c r="M47"/>
      <x:c r="N47"/>
      <x:c r="O47"/>
    </x:row>
    <x:row r="48">
      <x:c r="A48"/>
      <x:c r="B48"/>
      <x:c r="C48"/>
      <x:c r="D48"/>
      <x:c r="E48"/>
      <x:c r="F48"/>
      <x:c r="G48"/>
      <x:c r="H48"/>
      <x:c r="I48"/>
      <x:c r="J48"/>
      <x:c r="K48"/>
      <x:c r="L48"/>
      <x:c r="M48"/>
      <x:c r="N48"/>
      <x:c r="O48"/>
    </x:row>
    <x:row r="49">
      <x:c r="A49"/>
      <x:c r="B49"/>
      <x:c r="C49"/>
      <x:c r="D49"/>
      <x:c r="E49"/>
      <x:c r="F49"/>
      <x:c r="G49"/>
      <x:c r="H49"/>
      <x:c r="I49"/>
      <x:c r="J49"/>
      <x:c r="K49"/>
      <x:c r="L49"/>
      <x:c r="M49"/>
      <x:c r="N49"/>
      <x:c r="O49"/>
    </x:row>
    <x:row r="50">
      <x:c r="A50"/>
      <x:c r="B50"/>
      <x:c r="C50"/>
      <x:c r="D50"/>
      <x:c r="E50"/>
      <x:c r="F50"/>
      <x:c r="G50"/>
      <x:c r="H50"/>
      <x:c r="I50"/>
      <x:c r="J50"/>
      <x:c r="K50"/>
      <x:c r="L50"/>
      <x:c r="M50"/>
      <x:c r="N50"/>
      <x:c r="O50"/>
    </x:row>
    <x:row r="51">
      <x:c r="A51"/>
      <x:c r="B51"/>
      <x:c r="C51"/>
      <x:c r="D51"/>
      <x:c r="E51"/>
      <x:c r="F51"/>
      <x:c r="G51"/>
      <x:c r="H51"/>
      <x:c r="I51"/>
      <x:c r="J51"/>
      <x:c r="K51"/>
      <x:c r="L51"/>
      <x:c r="M51"/>
      <x:c r="N51"/>
      <x:c r="O51"/>
    </x:row>
    <x:row r="52">
      <x:c r="A52"/>
      <x:c r="B52"/>
      <x:c r="C52"/>
      <x:c r="D52"/>
      <x:c r="E52"/>
      <x:c r="F52"/>
      <x:c r="G52"/>
      <x:c r="H52"/>
      <x:c r="I52"/>
      <x:c r="J52"/>
      <x:c r="K52"/>
      <x:c r="L52"/>
      <x:c r="M52"/>
      <x:c r="N52"/>
      <x:c r="O52"/>
    </x:row>
    <x:row r="53">
      <x:c r="A53"/>
      <x:c r="B53"/>
      <x:c r="C53"/>
      <x:c r="D53"/>
      <x:c r="E53"/>
      <x:c r="F53"/>
      <x:c r="G53"/>
      <x:c r="H53"/>
      <x:c r="I53"/>
      <x:c r="J53"/>
      <x:c r="K53"/>
      <x:c r="L53"/>
      <x:c r="M53"/>
      <x:c r="N53"/>
      <x:c r="O53"/>
    </x:row>
    <x:row r="54">
      <x:c r="A54"/>
      <x:c r="B54"/>
      <x:c r="C54"/>
      <x:c r="D54"/>
      <x:c r="E54"/>
      <x:c r="F54"/>
      <x:c r="G54"/>
      <x:c r="H54"/>
      <x:c r="I54"/>
      <x:c r="J54"/>
      <x:c r="K54"/>
      <x:c r="L54"/>
      <x:c r="M54"/>
      <x:c r="N54"/>
      <x:c r="O54"/>
    </x:row>
    <x:row r="55">
      <x:c r="A55"/>
      <x:c r="B55"/>
      <x:c r="C55"/>
      <x:c r="D55"/>
      <x:c r="E55"/>
      <x:c r="F55"/>
      <x:c r="G55"/>
      <x:c r="H55"/>
      <x:c r="I55"/>
      <x:c r="J55"/>
      <x:c r="K55"/>
      <x:c r="L55"/>
      <x:c r="M55"/>
      <x:c r="N55"/>
      <x:c r="O55"/>
    </x:row>
    <x:row r="56">
      <x:c r="A56"/>
      <x:c r="B56"/>
      <x:c r="C56"/>
      <x:c r="D56"/>
      <x:c r="E56"/>
      <x:c r="F56"/>
      <x:c r="G56"/>
      <x:c r="H56"/>
      <x:c r="I56"/>
      <x:c r="J56"/>
      <x:c r="K56"/>
      <x:c r="L56"/>
      <x:c r="M56"/>
      <x:c r="N56"/>
      <x:c r="O56"/>
    </x:row>
    <x:row r="57">
      <x:c r="A57"/>
      <x:c r="B57"/>
      <x:c r="C57"/>
      <x:c r="D57"/>
      <x:c r="E57"/>
      <x:c r="F57"/>
      <x:c r="G57"/>
      <x:c r="H57"/>
      <x:c r="I57"/>
      <x:c r="J57"/>
      <x:c r="K57"/>
      <x:c r="L57"/>
      <x:c r="M57"/>
      <x:c r="N57"/>
      <x:c r="O57"/>
    </x:row>
    <x:row r="58">
      <x:c r="A58"/>
      <x:c r="B58"/>
      <x:c r="C58"/>
      <x:c r="D58"/>
      <x:c r="E58"/>
      <x:c r="F58"/>
      <x:c r="G58"/>
      <x:c r="H58"/>
      <x:c r="I58"/>
      <x:c r="J58"/>
      <x:c r="K58"/>
      <x:c r="L58"/>
      <x:c r="M58"/>
      <x:c r="N58"/>
      <x:c r="O58"/>
    </x:row>
    <x:row r="59">
      <x:c r="A59"/>
      <x:c r="B59"/>
      <x:c r="C59"/>
      <x:c r="D59"/>
      <x:c r="E59"/>
      <x:c r="F59"/>
      <x:c r="G59"/>
      <x:c r="H59"/>
      <x:c r="I59"/>
      <x:c r="J59"/>
      <x:c r="K59"/>
      <x:c r="L59"/>
      <x:c r="M59"/>
      <x:c r="N59"/>
      <x:c r="O59"/>
    </x:row>
    <x:row r="60">
      <x:c r="A60"/>
      <x:c r="B60"/>
      <x:c r="C60"/>
      <x:c r="D60"/>
      <x:c r="E60"/>
      <x:c r="F60"/>
      <x:c r="G60"/>
      <x:c r="H60"/>
      <x:c r="I60"/>
      <x:c r="J60"/>
      <x:c r="K60"/>
      <x:c r="L60"/>
      <x:c r="M60"/>
      <x:c r="N60"/>
      <x:c r="O60"/>
    </x:row>
    <x:row r="61">
      <x:c r="A61"/>
      <x:c r="B61"/>
      <x:c r="C61"/>
      <x:c r="D61"/>
      <x:c r="E61"/>
      <x:c r="F61"/>
      <x:c r="G61"/>
      <x:c r="H61"/>
      <x:c r="I61"/>
      <x:c r="J61"/>
      <x:c r="K61"/>
      <x:c r="L61"/>
      <x:c r="M61"/>
      <x:c r="N61"/>
      <x:c r="O61"/>
    </x:row>
    <x:row r="62">
      <x:c r="A62"/>
      <x:c r="B62"/>
      <x:c r="C62"/>
      <x:c r="D62"/>
      <x:c r="E62"/>
      <x:c r="F62"/>
      <x:c r="G62"/>
      <x:c r="H62"/>
      <x:c r="I62"/>
      <x:c r="J62"/>
      <x:c r="K62"/>
      <x:c r="L62"/>
      <x:c r="M62"/>
      <x:c r="N62"/>
      <x:c r="O62"/>
    </x:row>
    <x:row r="63">
      <x:c r="A63"/>
      <x:c r="B63"/>
      <x:c r="C63"/>
      <x:c r="D63"/>
      <x:c r="E63"/>
      <x:c r="F63"/>
      <x:c r="G63"/>
      <x:c r="H63"/>
      <x:c r="I63"/>
      <x:c r="J63"/>
      <x:c r="K63"/>
      <x:c r="L63"/>
      <x:c r="M63"/>
      <x:c r="N63"/>
      <x:c r="O63"/>
    </x:row>
    <x:row r="64">
      <x:c r="A64"/>
      <x:c r="B64"/>
      <x:c r="C64"/>
      <x:c r="D64"/>
      <x:c r="E64"/>
      <x:c r="F64"/>
      <x:c r="G64"/>
      <x:c r="H64"/>
      <x:c r="I64"/>
      <x:c r="J64"/>
      <x:c r="K64"/>
      <x:c r="L64"/>
      <x:c r="M64"/>
      <x:c r="N64"/>
      <x:c r="O64"/>
    </x:row>
    <x:row r="65">
      <x:c r="A65"/>
      <x:c r="B65"/>
      <x:c r="C65"/>
      <x:c r="D65"/>
      <x:c r="E65"/>
      <x:c r="F65"/>
      <x:c r="G65"/>
      <x:c r="H65"/>
      <x:c r="I65"/>
      <x:c r="J65"/>
      <x:c r="K65"/>
      <x:c r="L65"/>
      <x:c r="M65"/>
      <x:c r="N65"/>
      <x:c r="O65"/>
    </x:row>
  </x:sheetData>
  <x:mergeCells>
    <x:mergeCell ref="A11:O11"/>
    <x:mergeCell ref="A17:O17"/>
    <x:mergeCell ref="B18:O18"/>
    <x:mergeCell ref="B19:O19"/>
    <x:mergeCell ref="B20:O20"/>
    <x:mergeCell ref="B21:O21"/>
    <x:mergeCell ref="B22:O22"/>
    <x:mergeCell ref="B23:O23"/>
    <x:mergeCell ref="A25:O25"/>
    <x:mergeCell ref="A26:O29"/>
    <x:mergeCell ref="A31:O31"/>
    <x:mergeCell ref="B32:O32"/>
    <x:mergeCell ref="B33:O33"/>
    <x:mergeCell ref="A1:O2"/>
    <x:mergeCell ref="A3:O3"/>
    <x:mergeCell ref="A5:O5"/>
    <x:mergeCell ref="A6:O9"/>
    <x:mergeCell ref="B34:O34"/>
    <x:mergeCell ref="B35:O35"/>
    <x:mergeCell ref="B36:O36"/>
    <x:mergeCell ref="A38:O3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 hidden="0" customWidth="1"/>
    <x:col min="2" max="2" width="22" hidden="0" customWidth="1"/>
    <x:col min="3" max="3" width="20" hidden="0" customWidth="1"/>
    <x:col min="4" max="4" width="12"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4" hidden="0" customWidth="1"/>
    <x:col min="14" max="14" width="18" hidden="0" customWidth="1"/>
    <x:col min="15" max="15" width="18" hidden="0" customWidth="1"/>
  </x:cols>
  <x:sheetData>
    <x:row r="1">
      <x:c r="A1" s="5" t="str">
        <x:v>Gold answer | D6_6c-H06</x:v>
      </x:c>
      <x:c r="B1" s="5"/>
      <x:c r="C1" s="5"/>
      <x:c r="D1" s="5"/>
      <x:c r="E1" s="5"/>
      <x:c r="F1" s="5"/>
      <x:c r="G1" s="5"/>
      <x:c r="H1" s="5"/>
      <x:c r="I1" s="5"/>
      <x:c r="J1" s="5"/>
      <x:c r="K1" s="5"/>
      <x:c r="L1" s="5"/>
      <x:c r="M1" s="5"/>
      <x:c r="N1" s="5"/>
      <x:c r="O1" s="5"/>
    </x:row>
    <x:row r="2">
      <x:c r="A2" s="5"/>
      <x:c r="B2" s="5"/>
      <x:c r="C2" s="5"/>
      <x:c r="D2" s="5"/>
      <x:c r="E2" s="5"/>
      <x:c r="F2" s="5"/>
      <x:c r="G2" s="5"/>
      <x:c r="H2" s="5"/>
      <x:c r="I2" s="5"/>
      <x:c r="J2" s="5"/>
      <x:c r="K2" s="5"/>
      <x:c r="L2" s="5"/>
      <x:c r="M2" s="5"/>
      <x:c r="N2" s="5"/>
      <x:c r="O2" s="5"/>
    </x:row>
    <x:row r="3">
      <x:c r="A3" s="8" t="str">
        <x:v>Validated 30-call trajectory and joint decision</x:v>
      </x:c>
      <x:c r="B3" s="8"/>
      <x:c r="C3" s="8"/>
      <x:c r="D3" s="8"/>
      <x:c r="E3" s="8"/>
      <x:c r="F3" s="8"/>
      <x:c r="G3" s="8"/>
      <x:c r="H3" s="8"/>
      <x:c r="I3" s="8"/>
      <x:c r="J3" s="8"/>
      <x:c r="K3" s="8"/>
      <x:c r="L3" s="8"/>
      <x:c r="M3" s="8"/>
      <x:c r="N3" s="8"/>
      <x:c r="O3" s="8"/>
    </x:row>
    <x:row r="4">
      <x:c r="A4" s="1"/>
      <x:c r="B4" s="1"/>
      <x:c r="C4" s="1"/>
      <x:c r="D4" s="1"/>
      <x:c r="E4" s="1"/>
      <x:c r="F4" s="1"/>
      <x:c r="G4" s="1"/>
      <x:c r="H4" s="1"/>
      <x:c r="I4" s="1"/>
      <x:c r="J4" s="1"/>
      <x:c r="K4" s="1"/>
      <x:c r="L4" s="1"/>
      <x:c r="M4" s="1"/>
      <x:c r="N4" s="1"/>
      <x:c r="O4" s="1"/>
    </x:row>
    <x:row r="5">
      <x:c r="A5" s="11" t="str">
        <x:v>Final engineering conclusion</x:v>
      </x:c>
      <x:c r="B5" s="11" t="str">
        <x:v>Final engineering conclusion</x:v>
      </x:c>
      <x:c r="C5" s="11" t="str">
        <x:v>Final engineering conclusion</x:v>
      </x:c>
      <x:c r="D5" s="11" t="str">
        <x:v>Final engineering conclusion</x:v>
      </x:c>
      <x:c r="E5" s="11" t="str">
        <x:v>Final engineering conclusion</x:v>
      </x:c>
      <x:c r="F5" s="11" t="str">
        <x:v>Final engineering conclusion</x:v>
      </x:c>
      <x:c r="G5" s="11" t="str">
        <x:v>Final engineering conclusion</x:v>
      </x:c>
      <x:c r="H5" s="11" t="str">
        <x:v>Final engineering conclusion</x:v>
      </x:c>
      <x:c r="I5" s="11" t="str">
        <x:v>Final engineering conclusion</x:v>
      </x:c>
      <x:c r="J5" s="11" t="str">
        <x:v>Final engineering conclusion</x:v>
      </x:c>
      <x:c r="K5" s="11" t="str">
        <x:v>Final engineering conclusion</x:v>
      </x:c>
      <x:c r="L5" s="11" t="str">
        <x:v>Final engineering conclusion</x:v>
      </x:c>
      <x:c r="M5" s="11" t="str">
        <x:v>Final engineering conclusion</x:v>
      </x:c>
      <x:c r="N5" s="11" t="str">
        <x:v>Final engineering conclusion</x:v>
      </x:c>
      <x:c r="O5" s="11" t="str">
        <x:v>Final engineering conclusion</x:v>
      </x:c>
    </x:row>
    <x:row r="6">
      <x:c r="A6" s="105" t="str">
        <x:v>Recommend D — Ultra-high-rejection, fixed 70 bar. Across all three states, worst membrane water is 0.3851 kg/s, maximum permeate NaCl is 192.6 mg/L, maximum CP is 1.326, minimum plant product is 0.042665 m³/s and maximum SEC is 2.981 kWh/m³. The decisive metric is weighted LCOW $1.098/m³.</x:v>
      </x:c>
      <x:c r="B6" s="106"/>
      <x:c r="C6" s="106"/>
      <x:c r="D6" s="106"/>
      <x:c r="E6" s="106"/>
      <x:c r="F6" s="106"/>
      <x:c r="G6" s="106"/>
      <x:c r="H6" s="106"/>
      <x:c r="I6" s="106"/>
      <x:c r="J6" s="106"/>
      <x:c r="K6" s="106"/>
      <x:c r="L6" s="106"/>
      <x:c r="M6" s="106"/>
      <x:c r="N6" s="106"/>
      <x:c r="O6" s="107"/>
    </x:row>
    <x:row r="7">
      <x:c r="A7" s="108"/>
      <x:c r="B7" s="109"/>
      <x:c r="C7" s="109"/>
      <x:c r="D7" s="109"/>
      <x:c r="E7" s="109"/>
      <x:c r="F7" s="109"/>
      <x:c r="G7" s="109"/>
      <x:c r="H7" s="109"/>
      <x:c r="I7" s="109"/>
      <x:c r="J7" s="109"/>
      <x:c r="K7" s="109"/>
      <x:c r="L7" s="109"/>
      <x:c r="M7" s="109"/>
      <x:c r="N7" s="109"/>
      <x:c r="O7" s="110"/>
    </x:row>
    <x:row r="8">
      <x:c r="A8" s="111"/>
      <x:c r="B8" s="112"/>
      <x:c r="C8" s="112"/>
      <x:c r="D8" s="112"/>
      <x:c r="E8" s="112"/>
      <x:c r="F8" s="112"/>
      <x:c r="G8" s="112"/>
      <x:c r="H8" s="112"/>
      <x:c r="I8" s="112"/>
      <x:c r="J8" s="112"/>
      <x:c r="K8" s="112"/>
      <x:c r="L8" s="112"/>
      <x:c r="M8" s="112"/>
      <x:c r="N8" s="112"/>
      <x:c r="O8" s="113"/>
    </x:row>
    <x:row r="9">
      <x:c r="A9" s="1"/>
      <x:c r="B9" s="1"/>
      <x:c r="C9" s="1"/>
      <x:c r="D9" s="1"/>
      <x:c r="E9" s="1"/>
      <x:c r="F9" s="1"/>
      <x:c r="G9" s="1"/>
      <x:c r="H9" s="1"/>
      <x:c r="I9" s="1"/>
      <x:c r="J9" s="1"/>
      <x:c r="K9" s="1"/>
      <x:c r="L9" s="1"/>
      <x:c r="M9" s="1"/>
      <x:c r="N9" s="1"/>
      <x:c r="O9" s="1"/>
    </x:row>
    <x:row r="10">
      <x:c r="A10" s="11" t="str">
        <x:v>Branch A — 15 independent simulate_ro calls</x:v>
      </x:c>
      <x:c r="B10" s="11" t="str">
        <x:v>Branch A — 15 independent simulate_ro calls</x:v>
      </x:c>
      <x:c r="C10" s="11" t="str">
        <x:v>Branch A — 15 independent simulate_ro calls</x:v>
      </x:c>
      <x:c r="D10" s="11" t="str">
        <x:v>Branch A — 15 independent simulate_ro calls</x:v>
      </x:c>
      <x:c r="E10" s="11" t="str">
        <x:v>Branch A — 15 independent simulate_ro calls</x:v>
      </x:c>
      <x:c r="F10" s="11" t="str">
        <x:v>Branch A — 15 independent simulate_ro calls</x:v>
      </x:c>
      <x:c r="G10" s="11" t="str">
        <x:v>Branch A — 15 independent simulate_ro calls</x:v>
      </x:c>
      <x:c r="H10" s="11" t="str">
        <x:v>Branch A — 15 independent simulate_ro calls</x:v>
      </x:c>
      <x:c r="I10" s="11" t="str">
        <x:v>Branch A — 15 independent simulate_ro calls</x:v>
      </x:c>
      <x:c r="J10" s="1"/>
      <x:c r="K10" s="1"/>
      <x:c r="L10" s="1"/>
      <x:c r="M10" s="1"/>
      <x:c r="N10" s="1"/>
      <x:c r="O10" s="1"/>
    </x:row>
    <x:row r="11">
      <x:c r="A11" s="44" t="str">
        <x:v>Call ID</x:v>
      </x:c>
      <x:c r="B11" s="44" t="str">
        <x:v>Strategy</x:v>
      </x:c>
      <x:c r="C11" s="44" t="str">
        <x:v>State</x:v>
      </x:c>
      <x:c r="D11" s="44" t="str">
        <x:v>Water kg/s</x:v>
      </x:c>
      <x:c r="E11" s="44" t="str">
        <x:v>NaCl mg/L</x:v>
      </x:c>
      <x:c r="F11" s="44" t="str">
        <x:v>Limit</x:v>
      </x:c>
      <x:c r="G11" s="44" t="str">
        <x:v>Inlet CP</x:v>
      </x:c>
      <x:c r="H11" s="44" t="str">
        <x:v>Recovery %</x:v>
      </x:c>
      <x:c r="I11" s="44" t="str">
        <x:v>Membrane</x:v>
      </x:c>
      <x:c r="J11" s="1"/>
      <x:c r="K11" s="1"/>
      <x:c r="L11" s="1"/>
      <x:c r="M11" s="1"/>
      <x:c r="N11" s="1"/>
      <x:c r="O11" s="1"/>
    </x:row>
    <x:row r="12">
      <x:c r="A12" s="48" t="str">
        <x:v>A-M</x:v>
      </x:c>
      <x:c r="B12" s="48" t="str">
        <x:v>A</x:v>
      </x:c>
      <x:c r="C12" s="48" t="str">
        <x:v>Municipal-water batch</x:v>
      </x:c>
      <x:c r="D12" s="50" t="n">
        <x:v>0.42612826022644373</x:v>
      </x:c>
      <x:c r="E12" s="50" t="n">
        <x:v>306.9423511836038</x:v>
      </x:c>
      <x:c r="F12" s="50" t="n">
        <x:v>300</x:v>
      </x:c>
      <x:c r="G12" s="50" t="n">
        <x:v>1.3372082643631067</x:v>
      </x:c>
      <x:c r="H12" s="50" t="n">
        <x:v>43.749256076922954</x:v>
      </x:c>
      <x:c r="I12" s="48" t="str">
        <x:f>IF(AND(D12&gt;=$O$47,E12&lt;=F12,G12&lt;=$O$48),"PASS","FAIL")</x:f>
        <x:v>FAIL</x:v>
      </x:c>
      <x:c r="J12" s="1"/>
      <x:c r="K12" s="1"/>
      <x:c r="L12" s="1"/>
      <x:c r="M12" s="1"/>
      <x:c r="N12" s="1"/>
      <x:c r="O12" s="1"/>
    </x:row>
    <x:row r="13">
      <x:c r="A13" s="48" t="str">
        <x:v>A-P</x:v>
      </x:c>
      <x:c r="B13" s="48" t="str">
        <x:v>A</x:v>
      </x:c>
      <x:c r="C13" s="48" t="str">
        <x:v>High-purity pretreatment batch</x:v>
      </x:c>
      <x:c r="D13" s="50" t="n">
        <x:v>0.3872371497873249</x:v>
      </x:c>
      <x:c r="E13" s="50" t="n">
        <x:v>347.59645947274157</x:v>
      </x:c>
      <x:c r="F13" s="50" t="n">
        <x:v>220</x:v>
      </x:c>
      <x:c r="G13" s="50" t="n">
        <x:v>1.3019923118670846</x:v>
      </x:c>
      <x:c r="H13" s="50" t="n">
        <x:v>39.845090532922</x:v>
      </x:c>
      <x:c r="I13" s="48" t="str">
        <x:f>IF(AND(D13&gt;=$O$47,E13&lt;=F13,G13&lt;=$O$48),"PASS","FAIL")</x:f>
        <x:v>FAIL</x:v>
      </x:c>
      <x:c r="J13" s="1"/>
      <x:c r="K13" s="1"/>
      <x:c r="L13" s="1"/>
      <x:c r="M13" s="1"/>
      <x:c r="N13" s="1"/>
      <x:c r="O13" s="1"/>
    </x:row>
    <x:row r="14">
      <x:c r="A14" s="48" t="str">
        <x:v>A-I</x:v>
      </x:c>
      <x:c r="B14" s="48" t="str">
        <x:v>A</x:v>
      </x:c>
      <x:c r="C14" s="48" t="str">
        <x:v>Industrial-reuse batch</x:v>
      </x:c>
      <x:c r="D14" s="50" t="n">
        <x:v>0.3544155910220305</x:v>
      </x:c>
      <x:c r="E14" s="50" t="n">
        <x:v>382.7479403284233</x:v>
      </x:c>
      <x:c r="F14" s="50" t="n">
        <x:v>400</x:v>
      </x:c>
      <x:c r="G14" s="50" t="n">
        <x:v>1.2728873516462642</x:v>
      </x:c>
      <x:c r="H14" s="50" t="n">
        <x:v>36.52205931494276</x:v>
      </x:c>
      <x:c r="I14" s="48" t="str">
        <x:f>IF(AND(D14&gt;=$O$47,E14&lt;=F14,G14&lt;=$O$48),"PASS","FAIL")</x:f>
        <x:v>PASS</x:v>
      </x:c>
      <x:c r="J14" s="1"/>
      <x:c r="K14" s="1"/>
      <x:c r="L14" s="1"/>
      <x:c r="M14" s="1"/>
      <x:c r="N14" s="1"/>
      <x:c r="O14" s="1"/>
    </x:row>
    <x:row r="15">
      <x:c r="A15" s="48" t="str">
        <x:v>B-M</x:v>
      </x:c>
      <x:c r="B15" s="48" t="str">
        <x:v>B</x:v>
      </x:c>
      <x:c r="C15" s="48" t="str">
        <x:v>Municipal-water batch</x:v>
      </x:c>
      <x:c r="D15" s="50" t="n">
        <x:v>0.4430054353194411</x:v>
      </x:c>
      <x:c r="E15" s="50" t="n">
        <x:v>498.5973355929693</x:v>
      </x:c>
      <x:c r="F15" s="50" t="n">
        <x:v>300</x:v>
      </x:c>
      <x:c r="G15" s="50" t="n">
        <x:v>1.3573729954441371</x:v>
      </x:c>
      <x:c r="H15" s="50" t="n">
        <x:v>45.484082255636714</x:v>
      </x:c>
      <x:c r="I15" s="48" t="str">
        <x:f>IF(AND(D15&gt;=$O$47,E15&lt;=F15,G15&lt;=$O$48),"PASS","FAIL")</x:f>
        <x:v>FAIL</x:v>
      </x:c>
      <x:c r="J15" s="1"/>
      <x:c r="K15" s="1"/>
      <x:c r="L15" s="1"/>
      <x:c r="M15" s="1"/>
      <x:c r="N15" s="1"/>
      <x:c r="O15" s="1"/>
    </x:row>
    <x:row r="16">
      <x:c r="A16" s="48" t="str">
        <x:v>B-P</x:v>
      </x:c>
      <x:c r="B16" s="48" t="str">
        <x:v>B</x:v>
      </x:c>
      <x:c r="C16" s="48" t="str">
        <x:v>High-purity pretreatment batch</x:v>
      </x:c>
      <x:c r="D16" s="50" t="n">
        <x:v>0.4006829566287714</x:v>
      </x:c>
      <x:c r="E16" s="50" t="n">
        <x:v>564.8812428381608</x:v>
      </x:c>
      <x:c r="F16" s="50" t="n">
        <x:v>220</x:v>
      </x:c>
      <x:c r="G16" s="50" t="n">
        <x:v>1.316385558618341</x:v>
      </x:c>
      <x:c r="H16" s="50" t="n">
        <x:v>41.23076638679505</x:v>
      </x:c>
      <x:c r="I16" s="48" t="str">
        <x:f>IF(AND(D16&gt;=$O$47,E16&lt;=F16,G16&lt;=$O$48),"PASS","FAIL")</x:f>
        <x:v>FAIL</x:v>
      </x:c>
      <x:c r="J16" s="1"/>
      <x:c r="K16" s="1"/>
      <x:c r="L16" s="1"/>
      <x:c r="M16" s="1"/>
      <x:c r="N16" s="1"/>
      <x:c r="O16" s="1"/>
    </x:row>
    <x:row r="17">
      <x:c r="A17" s="48" t="str">
        <x:v>B-I</x:v>
      </x:c>
      <x:c r="B17" s="48" t="str">
        <x:v>B</x:v>
      </x:c>
      <x:c r="C17" s="48" t="str">
        <x:v>Industrial-reuse batch</x:v>
      </x:c>
      <x:c r="D17" s="50" t="n">
        <x:v>0.36495646141107013</x:v>
      </x:c>
      <x:c r="E17" s="50" t="n">
        <x:v>622.8781073274673</x:v>
      </x:c>
      <x:c r="F17" s="50" t="n">
        <x:v>400</x:v>
      </x:c>
      <x:c r="G17" s="50" t="n">
        <x:v>1.2828545274763747</x:v>
      </x:c>
      <x:c r="H17" s="50" t="n">
        <x:v>37.61045856284091</x:v>
      </x:c>
      <x:c r="I17" s="48" t="str">
        <x:f>IF(AND(D17&gt;=$O$47,E17&lt;=F17,G17&lt;=$O$48),"PASS","FAIL")</x:f>
        <x:v>FAIL</x:v>
      </x:c>
      <x:c r="J17" s="1"/>
      <x:c r="K17" s="1"/>
      <x:c r="L17" s="1"/>
      <x:c r="M17" s="1"/>
      <x:c r="N17" s="1"/>
      <x:c r="O17" s="1"/>
    </x:row>
    <x:row r="18">
      <x:c r="A18" s="48" t="str">
        <x:v>C-M</x:v>
      </x:c>
      <x:c r="B18" s="48" t="str">
        <x:v>C</x:v>
      </x:c>
      <x:c r="C18" s="48" t="str">
        <x:v>Municipal-water batch</x:v>
      </x:c>
      <x:c r="D18" s="50" t="n">
        <x:v>0.4374377527937161</x:v>
      </x:c>
      <x:c r="E18" s="50" t="n">
        <x:v>205.48152654296675</x:v>
      </x:c>
      <x:c r="F18" s="50" t="n">
        <x:v>300</x:v>
      </x:c>
      <x:c r="G18" s="50" t="n">
        <x:v>1.3249518111838339</x:v>
      </x:c>
      <x:c r="H18" s="50" t="n">
        <x:v>44.909269978336205</x:v>
      </x:c>
      <x:c r="I18" s="48" t="str">
        <x:f>IF(AND(D18&gt;=$O$47,E18&lt;=F18,G18&lt;=$O$48),"PASS","FAIL")</x:f>
        <x:v>PASS</x:v>
      </x:c>
      <x:c r="J18" s="1"/>
      <x:c r="K18" s="1"/>
      <x:c r="L18" s="1"/>
      <x:c r="M18" s="1"/>
      <x:c r="N18" s="1"/>
      <x:c r="O18" s="1"/>
    </x:row>
    <x:row r="19">
      <x:c r="A19" s="48" t="str">
        <x:v>C-P</x:v>
      </x:c>
      <x:c r="B19" s="48" t="str">
        <x:v>C</x:v>
      </x:c>
      <x:c r="C19" s="48" t="str">
        <x:v>High-purity pretreatment batch</x:v>
      </x:c>
      <x:c r="D19" s="50" t="n">
        <x:v>0.4000364841042123</x:v>
      </x:c>
      <x:c r="E19" s="50" t="n">
        <x:v>231.59993089035376</x:v>
      </x:c>
      <x:c r="F19" s="50" t="n">
        <x:v>220</x:v>
      </x:c>
      <x:c r="G19" s="50" t="n">
        <x:v>1.293755393082319</x:v>
      </x:c>
      <x:c r="H19" s="50" t="n">
        <x:v>41.16093970364696</x:v>
      </x:c>
      <x:c r="I19" s="48" t="str">
        <x:f>IF(AND(D19&gt;=$O$47,E19&lt;=F19,G19&lt;=$O$48),"PASS","FAIL")</x:f>
        <x:v>FAIL</x:v>
      </x:c>
      <x:c r="J19" s="1"/>
      <x:c r="K19" s="1"/>
      <x:c r="L19" s="1"/>
      <x:c r="M19" s="1"/>
      <x:c r="N19" s="1"/>
      <x:c r="O19" s="1"/>
    </x:row>
    <x:row r="20">
      <x:c r="A20" s="48" t="str">
        <x:v>C-I</x:v>
      </x:c>
      <x:c r="B20" s="48" t="str">
        <x:v>C</x:v>
      </x:c>
      <x:c r="C20" s="48" t="str">
        <x:v>Industrial-reuse batch</x:v>
      </x:c>
      <x:c r="D20" s="50" t="n">
        <x:v>0.36841812195129464</x:v>
      </x:c>
      <x:c r="E20" s="50" t="n">
        <x:v>253.77818814141355</x:v>
      </x:c>
      <x:c r="F20" s="50" t="n">
        <x:v>400</x:v>
      </x:c>
      <x:c r="G20" s="50" t="n">
        <x:v>1.267777991437462</x:v>
      </x:c>
      <x:c r="H20" s="50" t="n">
        <x:v>37.96382311821292</x:v>
      </x:c>
      <x:c r="I20" s="48" t="str">
        <x:f>IF(AND(D20&gt;=$O$47,E20&lt;=F20,G20&lt;=$O$48),"PASS","FAIL")</x:f>
        <x:v>PASS</x:v>
      </x:c>
      <x:c r="J20" s="1"/>
      <x:c r="K20" s="1"/>
      <x:c r="L20" s="1"/>
      <x:c r="M20" s="1"/>
      <x:c r="N20" s="1"/>
      <x:c r="O20" s="1"/>
    </x:row>
    <x:row r="21">
      <x:c r="A21" s="48" t="str">
        <x:v>D-M</x:v>
      </x:c>
      <x:c r="B21" s="48" t="str">
        <x:v>D</x:v>
      </x:c>
      <x:c r="C21" s="48" t="str">
        <x:v>Municipal-water batch</x:v>
      </x:c>
      <x:c r="D21" s="50" t="n">
        <x:v>0.45356205408584443</x:v>
      </x:c>
      <x:c r="E21" s="50" t="n">
        <x:v>157.3131683447035</x:v>
      </x:c>
      <x:c r="F21" s="50" t="n">
        <x:v>300</x:v>
      </x:c>
      <x:c r="G21" s="50" t="n">
        <x:v>1.325519481710556</x:v>
      </x:c>
      <x:c r="H21" s="50" t="n">
        <x:v>46.56412176739739</x:v>
      </x:c>
      <x:c r="I21" s="48" t="str">
        <x:f>IF(AND(D21&gt;=$O$47,E21&lt;=F21,G21&lt;=$O$48),"PASS","FAIL")</x:f>
        <x:v>PASS</x:v>
      </x:c>
      <x:c r="J21" s="1"/>
      <x:c r="K21" s="1"/>
      <x:c r="L21" s="1"/>
      <x:c r="M21" s="1"/>
      <x:c r="N21" s="1"/>
      <x:c r="O21" s="1"/>
    </x:row>
    <x:row r="22">
      <x:c r="A22" s="48" t="str">
        <x:v>D-P</x:v>
      </x:c>
      <x:c r="B22" s="48" t="str">
        <x:v>D</x:v>
      </x:c>
      <x:c r="C22" s="48" t="str">
        <x:v>High-purity pretreatment batch</x:v>
      </x:c>
      <x:c r="D22" s="50" t="n">
        <x:v>0.41650802562764216</x:v>
      </x:c>
      <x:c r="E22" s="50" t="n">
        <x:v>176.53713578639986</x:v>
      </x:c>
      <x:c r="F22" s="50" t="n">
        <x:v>220</x:v>
      </x:c>
      <x:c r="G22" s="50" t="n">
        <x:v>1.2956809083560572</x:v>
      </x:c>
      <x:c r="H22" s="50" t="n">
        <x:v>42.85517786677338</x:v>
      </x:c>
      <x:c r="I22" s="48" t="str">
        <x:f>IF(AND(D22&gt;=$O$47,E22&lt;=F22,G22&lt;=$O$48),"PASS","FAIL")</x:f>
        <x:v>PASS</x:v>
      </x:c>
      <x:c r="J22" s="1"/>
      <x:c r="K22" s="1"/>
      <x:c r="L22" s="1"/>
      <x:c r="M22" s="1"/>
      <x:c r="N22" s="1"/>
      <x:c r="O22" s="1"/>
    </x:row>
    <x:row r="23">
      <x:c r="A23" s="48" t="str">
        <x:v>D-I</x:v>
      </x:c>
      <x:c r="B23" s="48" t="str">
        <x:v>D</x:v>
      </x:c>
      <x:c r="C23" s="48" t="str">
        <x:v>Industrial-reuse batch</x:v>
      </x:c>
      <x:c r="D23" s="50" t="n">
        <x:v>0.3851405167246014</x:v>
      </x:c>
      <x:c r="E23" s="50" t="n">
        <x:v>192.64260588696186</x:v>
      </x:c>
      <x:c r="F23" s="50" t="n">
        <x:v>400</x:v>
      </x:c>
      <x:c r="G23" s="50" t="n">
        <x:v>1.2707621818834</x:v>
      </x:c>
      <x:c r="H23" s="50" t="n">
        <x:v>39.68640670864073</x:v>
      </x:c>
      <x:c r="I23" s="48" t="str">
        <x:f>IF(AND(D23&gt;=$O$47,E23&lt;=F23,G23&lt;=$O$48),"PASS","FAIL")</x:f>
        <x:v>PASS</x:v>
      </x:c>
      <x:c r="J23" s="1"/>
      <x:c r="K23" s="1"/>
      <x:c r="L23" s="1"/>
      <x:c r="M23" s="1"/>
      <x:c r="N23" s="1"/>
      <x:c r="O23" s="1"/>
    </x:row>
    <x:row r="24">
      <x:c r="A24" s="48" t="str">
        <x:v>E-M</x:v>
      </x:c>
      <x:c r="B24" s="48" t="str">
        <x:v>E</x:v>
      </x:c>
      <x:c r="C24" s="48" t="str">
        <x:v>Municipal-water batch</x:v>
      </x:c>
      <x:c r="D24" s="50" t="n">
        <x:v>0.41088840733163806</x:v>
      </x:c>
      <x:c r="E24" s="50" t="n">
        <x:v>238.7319310882124</x:v>
      </x:c>
      <x:c r="F24" s="50" t="n">
        <x:v>300</x:v>
      </x:c>
      <x:c r="G24" s="50" t="n">
        <x:v>1.3015338065492275</x:v>
      </x:c>
      <x:c r="H24" s="50" t="n">
        <x:v>42.18393563697453</x:v>
      </x:c>
      <x:c r="I24" s="48" t="str">
        <x:f>IF(AND(D24&gt;=$O$47,E24&lt;=F24,G24&lt;=$O$48),"PASS","FAIL")</x:f>
        <x:v>PASS</x:v>
      </x:c>
      <x:c r="J24" s="1"/>
      <x:c r="K24" s="1"/>
      <x:c r="L24" s="1"/>
      <x:c r="M24" s="1"/>
      <x:c r="N24" s="1"/>
      <x:c r="O24" s="1"/>
    </x:row>
    <x:row r="25">
      <x:c r="A25" s="48" t="str">
        <x:v>E-P</x:v>
      </x:c>
      <x:c r="B25" s="48" t="str">
        <x:v>E</x:v>
      </x:c>
      <x:c r="C25" s="48" t="str">
        <x:v>High-purity pretreatment batch</x:v>
      </x:c>
      <x:c r="D25" s="50" t="n">
        <x:v>0.4178805531275857</x:v>
      </x:c>
      <x:c r="E25" s="50" t="n">
        <x:v>257.6208109285599</x:v>
      </x:c>
      <x:c r="F25" s="50" t="n">
        <x:v>220</x:v>
      </x:c>
      <x:c r="G25" s="50" t="n">
        <x:v>1.3164326715570764</x:v>
      </x:c>
      <x:c r="H25" s="50" t="n">
        <x:v>42.997238035782644</x:v>
      </x:c>
      <x:c r="I25" s="48" t="str">
        <x:f>IF(AND(D25&gt;=$O$47,E25&lt;=F25,G25&lt;=$O$48),"PASS","FAIL")</x:f>
        <x:v>FAIL</x:v>
      </x:c>
      <x:c r="J25" s="1"/>
      <x:c r="K25" s="1"/>
      <x:c r="L25" s="1"/>
      <x:c r="M25" s="1"/>
      <x:c r="N25" s="1"/>
      <x:c r="O25" s="1"/>
    </x:row>
    <x:row r="26">
      <x:c r="A26" s="48" t="str">
        <x:v>E-I</x:v>
      </x:c>
      <x:c r="B26" s="48" t="str">
        <x:v>E</x:v>
      </x:c>
      <x:c r="C26" s="48" t="str">
        <x:v>Industrial-reuse batch</x:v>
      </x:c>
      <x:c r="D26" s="50" t="n">
        <x:v>0.34927446313282107</x:v>
      </x:c>
      <x:c r="E26" s="50" t="n">
        <x:v>295.9724452413407</x:v>
      </x:c>
      <x:c r="F26" s="50" t="n">
        <x:v>400</x:v>
      </x:c>
      <x:c r="G26" s="50" t="n">
        <x:v>1.252846959677471</x:v>
      </x:c>
      <x:c r="H26" s="50" t="n">
        <x:v>35.99152099388627</x:v>
      </x:c>
      <x:c r="I26" s="48" t="str">
        <x:f>IF(AND(D26&gt;=$O$47,E26&lt;=F26,G26&lt;=$O$48),"PASS","FAIL")</x:f>
        <x:v>PASS</x:v>
      </x:c>
      <x:c r="J26" s="1"/>
      <x:c r="K26" s="1"/>
      <x:c r="L26" s="1"/>
      <x:c r="M26" s="1"/>
      <x:c r="N26" s="1"/>
      <x:c r="O26" s="1"/>
    </x:row>
    <x:row r="27">
      <x:c r="A27" s="1"/>
      <x:c r="B27" s="1"/>
      <x:c r="C27" s="1"/>
      <x:c r="D27" s="1"/>
      <x:c r="E27" s="1"/>
      <x:c r="F27" s="1"/>
      <x:c r="G27" s="1"/>
      <x:c r="H27" s="1"/>
      <x:c r="I27" s="1"/>
      <x:c r="J27" s="1"/>
      <x:c r="K27" s="1"/>
      <x:c r="L27" s="1"/>
      <x:c r="M27" s="1"/>
      <x:c r="N27" s="1"/>
      <x:c r="O27" s="1"/>
    </x:row>
    <x:row r="28">
      <x:c r="A28" s="11" t="str">
        <x:v>Branch B — 15 independent simulate_swro_system calls</x:v>
      </x:c>
      <x:c r="B28" s="11" t="str">
        <x:v>Branch B — 15 independent simulate_swro_system calls</x:v>
      </x:c>
      <x:c r="C28" s="11" t="str">
        <x:v>Branch B — 15 independent simulate_swro_system calls</x:v>
      </x:c>
      <x:c r="D28" s="11" t="str">
        <x:v>Branch B — 15 independent simulate_swro_system calls</x:v>
      </x:c>
      <x:c r="E28" s="11" t="str">
        <x:v>Branch B — 15 independent simulate_swro_system calls</x:v>
      </x:c>
      <x:c r="F28" s="11" t="str">
        <x:v>Branch B — 15 independent simulate_swro_system calls</x:v>
      </x:c>
      <x:c r="G28" s="11" t="str">
        <x:v>Branch B — 15 independent simulate_swro_system calls</x:v>
      </x:c>
      <x:c r="H28" s="11" t="str">
        <x:v>Branch B — 15 independent simulate_swro_system calls</x:v>
      </x:c>
      <x:c r="I28" s="11" t="str">
        <x:v>Branch B — 15 independent simulate_swro_system calls</x:v>
      </x:c>
      <x:c r="J28" s="11" t="str">
        <x:v>Branch B — 15 independent simulate_swro_system calls</x:v>
      </x:c>
      <x:c r="K28" s="11" t="str">
        <x:v>Branch B — 15 independent simulate_swro_system calls</x:v>
      </x:c>
      <x:c r="L28" s="11" t="str">
        <x:v>Branch B — 15 independent simulate_swro_system calls</x:v>
      </x:c>
      <x:c r="M28" s="11" t="str">
        <x:v>Branch B — 15 independent simulate_swro_system calls</x:v>
      </x:c>
      <x:c r="N28" s="1"/>
      <x:c r="O28" s="1"/>
    </x:row>
    <x:row r="29">
      <x:c r="A29" s="44" t="str">
        <x:v>Call ID</x:v>
      </x:c>
      <x:c r="B29" s="44" t="str">
        <x:v>Strategy</x:v>
      </x:c>
      <x:c r="C29" s="44" t="str">
        <x:v>State</x:v>
      </x:c>
      <x:c r="D29" s="44" t="str">
        <x:v>Product m³/s</x:v>
      </x:c>
      <x:c r="E29" s="44" t="str">
        <x:v>Product m³/d</x:v>
      </x:c>
      <x:c r="F29" s="44" t="str">
        <x:v>Target m³/s</x:v>
      </x:c>
      <x:c r="G29" s="44" t="str">
        <x:v>Margin</x:v>
      </x:c>
      <x:c r="H29" s="44" t="str">
        <x:v>SEC</x:v>
      </x:c>
      <x:c r="I29" s="44" t="str">
        <x:v>LCOW</x:v>
      </x:c>
      <x:c r="J29" s="44" t="str">
        <x:v>CAPEX $M</x:v>
      </x:c>
      <x:c r="K29" s="44" t="str">
        <x:v>Weight</x:v>
      </x:c>
      <x:c r="L29" s="44" t="str">
        <x:v>Grid CI</x:v>
      </x:c>
      <x:c r="M29" s="44" t="str">
        <x:v>Plant</x:v>
      </x:c>
      <x:c r="N29" s="1"/>
      <x:c r="O29" s="1"/>
    </x:row>
    <x:row r="30">
      <x:c r="A30" s="48" t="str">
        <x:v>A-M</x:v>
      </x:c>
      <x:c r="B30" s="48" t="str">
        <x:v>A</x:v>
      </x:c>
      <x:c r="C30" s="48" t="str">
        <x:v>Municipal-water batch</x:v>
      </x:c>
      <x:c r="D30" s="50" t="n">
        <x:v>0.04576303564143365</x:v>
      </x:c>
      <x:c r="E30" s="50" t="n">
        <x:f>D30*86400</x:f>
        <x:v>3953.926279419867</x:v>
      </x:c>
      <x:c r="F30" s="50" t="n">
        <x:v>0.042</x:v>
      </x:c>
      <x:c r="G30" s="50" t="n">
        <x:f>D30-F30</x:f>
        <x:v>0.003763035641433647</x:v>
      </x:c>
      <x:c r="H30" s="50" t="n">
        <x:v>2.774053920449854</x:v>
      </x:c>
      <x:c r="I30" s="50" t="n">
        <x:v>1.0818458706557943</x:v>
      </x:c>
      <x:c r="J30" s="50" t="n">
        <x:v>13.202761917396355</x:v>
      </x:c>
      <x:c r="K30" s="49" t="n">
        <x:v>0.5</x:v>
      </x:c>
      <x:c r="L30" s="48" t="n">
        <x:v>0</x:v>
      </x:c>
      <x:c r="M30" s="48" t="str">
        <x:f>IF(AND(G30&gt;=0,H30&lt;=$O$49),"PASS","FAIL")</x:f>
        <x:v>PASS</x:v>
      </x:c>
      <x:c r="N30" s="1"/>
      <x:c r="O30" s="1"/>
    </x:row>
    <x:row r="31">
      <x:c r="A31" s="48" t="str">
        <x:v>A-P</x:v>
      </x:c>
      <x:c r="B31" s="48" t="str">
        <x:v>A</x:v>
      </x:c>
      <x:c r="C31" s="48" t="str">
        <x:v>High-purity pretreatment batch</x:v>
      </x:c>
      <x:c r="D31" s="50" t="n">
        <x:v>0.042177457853152155</x:v>
      </x:c>
      <x:c r="E31" s="50" t="n">
        <x:f>D31*86400</x:f>
        <x:v>3644.132358512346</x:v>
      </x:c>
      <x:c r="F31" s="50" t="n">
        <x:v>0.038</x:v>
      </x:c>
      <x:c r="G31" s="50" t="n">
        <x:f>D31-F31</x:f>
        <x:v>0.0041774578531521556</x:v>
      </x:c>
      <x:c r="H31" s="50" t="n">
        <x:v>2.7954444486698096</x:v>
      </x:c>
      <x:c r="I31" s="50" t="n">
        <x:v>1.1467469014327503</x:v>
      </x:c>
      <x:c r="J31" s="50" t="n">
        <x:v>12.990392200270305</x:v>
      </x:c>
      <x:c r="K31" s="49" t="n">
        <x:v>0.25</x:v>
      </x:c>
      <x:c r="L31" s="48" t="n">
        <x:v>0</x:v>
      </x:c>
      <x:c r="M31" s="48" t="str">
        <x:f>IF(AND(G31&gt;=0,H31&lt;=$O$49),"PASS","FAIL")</x:f>
        <x:v>PASS</x:v>
      </x:c>
      <x:c r="N31" s="1"/>
      <x:c r="O31" s="1"/>
    </x:row>
    <x:row r="32">
      <x:c r="A32" s="48" t="str">
        <x:v>A-I</x:v>
      </x:c>
      <x:c r="B32" s="48" t="str">
        <x:v>A</x:v>
      </x:c>
      <x:c r="C32" s="48" t="str">
        <x:v>Industrial-reuse batch</x:v>
      </x:c>
      <x:c r="D32" s="50" t="n">
        <x:v>0.039190987282365995</x:v>
      </x:c>
      <x:c r="E32" s="50" t="n">
        <x:f>D32*86400</x:f>
        <x:v>3386.101301196422</x:v>
      </x:c>
      <x:c r="F32" s="50" t="n">
        <x:v>0.04</x:v>
      </x:c>
      <x:c r="G32" s="50" t="n">
        <x:f>D32-F32</x:f>
        <x:v>-0.0008090127176340056</x:v>
      </x:c>
      <x:c r="H32" s="50" t="n">
        <x:v>2.81901193077447</x:v>
      </x:c>
      <x:c r="I32" s="50" t="n">
        <x:v>1.2099365128351167</x:v>
      </x:c>
      <x:c r="J32" s="50" t="n">
        <x:v>12.811589508397907</x:v>
      </x:c>
      <x:c r="K32" s="49" t="n">
        <x:v>0.25</x:v>
      </x:c>
      <x:c r="L32" s="48" t="n">
        <x:v>0</x:v>
      </x:c>
      <x:c r="M32" s="48" t="str">
        <x:f>IF(AND(G32&gt;=0,H32&lt;=$O$49),"PASS","FAIL")</x:f>
        <x:v>FAIL</x:v>
      </x:c>
      <x:c r="N32" s="1"/>
      <x:c r="O32" s="1"/>
    </x:row>
    <x:row r="33">
      <x:c r="A33" s="48" t="str">
        <x:v>B-M</x:v>
      </x:c>
      <x:c r="B33" s="48" t="str">
        <x:v>B</x:v>
      </x:c>
      <x:c r="C33" s="48" t="str">
        <x:v>Municipal-water batch</x:v>
      </x:c>
      <x:c r="D33" s="50" t="n">
        <x:v>0.047930441626724475</x:v>
      </x:c>
      <x:c r="E33" s="50" t="n">
        <x:f>D33*86400</x:f>
        <x:v>4141.190156548994</x:v>
      </x:c>
      <x:c r="F33" s="50" t="n">
        <x:v>0.042</x:v>
      </x:c>
      <x:c r="G33" s="50" t="n">
        <x:f>D33-F33</x:f>
        <x:v>0.0059304416267244725</x:v>
      </x:c>
      <x:c r="H33" s="50" t="n">
        <x:v>2.6524471908387643</x:v>
      </x:c>
      <x:c r="I33" s="50" t="n">
        <x:v>1.0399641290454524</x:v>
      </x:c>
      <x:c r="J33" s="50" t="n">
        <x:v>13.285691128330827</x:v>
      </x:c>
      <x:c r="K33" s="49" t="n">
        <x:v>0.5</x:v>
      </x:c>
      <x:c r="L33" s="48" t="n">
        <x:v>0</x:v>
      </x:c>
      <x:c r="M33" s="48" t="str">
        <x:f>IF(AND(G33&gt;=0,H33&lt;=$O$49),"PASS","FAIL")</x:f>
        <x:v>PASS</x:v>
      </x:c>
      <x:c r="N33" s="1"/>
      <x:c r="O33" s="1"/>
    </x:row>
    <x:row r="34">
      <x:c r="A34" s="48" t="str">
        <x:v>B-P</x:v>
      </x:c>
      <x:c r="B34" s="48" t="str">
        <x:v>B</x:v>
      </x:c>
      <x:c r="C34" s="48" t="str">
        <x:v>High-purity pretreatment batch</x:v>
      </x:c>
      <x:c r="D34" s="50" t="n">
        <x:v>0.04402362479008439</x:v>
      </x:c>
      <x:c r="E34" s="50" t="n">
        <x:f>D34*86400</x:f>
        <x:v>3803.6411818632914</x:v>
      </x:c>
      <x:c r="F34" s="50" t="n">
        <x:v>0.038</x:v>
      </x:c>
      <x:c r="G34" s="50" t="n">
        <x:f>D34-F34</x:f>
        <x:v>0.006023624790084392</x:v>
      </x:c>
      <x:c r="H34" s="50" t="n">
        <x:v>2.6729429694059403</x:v>
      </x:c>
      <x:c r="I34" s="50" t="n">
        <x:v>1.1050704575356924</x:v>
      </x:c>
      <x:c r="J34" s="50" t="n">
        <x:v>13.062731241400112</x:v>
      </x:c>
      <x:c r="K34" s="49" t="n">
        <x:v>0.25</x:v>
      </x:c>
      <x:c r="L34" s="48" t="n">
        <x:v>0</x:v>
      </x:c>
      <x:c r="M34" s="48" t="str">
        <x:f>IF(AND(G34&gt;=0,H34&lt;=$O$49),"PASS","FAIL")</x:f>
        <x:v>PASS</x:v>
      </x:c>
      <x:c r="N34" s="1"/>
      <x:c r="O34" s="1"/>
    </x:row>
    <x:row r="35">
      <x:c r="A35" s="48" t="str">
        <x:v>B-I</x:v>
      </x:c>
      <x:c r="B35" s="48" t="str">
        <x:v>B</x:v>
      </x:c>
      <x:c r="C35" s="48" t="str">
        <x:v>Industrial-reuse batch</x:v>
      </x:c>
      <x:c r="D35" s="50" t="n">
        <x:v>0.040765261947262744</x:v>
      </x:c>
      <x:c r="E35" s="50" t="n">
        <x:f>D35*86400</x:f>
        <x:v>3522.118632243501</x:v>
      </x:c>
      <x:c r="F35" s="50" t="n">
        <x:v>0.04</x:v>
      </x:c>
      <x:c r="G35" s="50" t="n">
        <x:f>D35-F35</x:f>
        <x:v>0.0007652619472627437</x:v>
      </x:c>
      <x:c r="H35" s="50" t="n">
        <x:v>2.6956350521444317</x:v>
      </x:c>
      <x:c r="I35" s="50" t="n">
        <x:v>1.1689458517704803</x:v>
      </x:c>
      <x:c r="J35" s="50" t="n">
        <x:v>12.874379320323563</x:v>
      </x:c>
      <x:c r="K35" s="49" t="n">
        <x:v>0.25</x:v>
      </x:c>
      <x:c r="L35" s="48" t="n">
        <x:v>0</x:v>
      </x:c>
      <x:c r="M35" s="48" t="str">
        <x:f>IF(AND(G35&gt;=0,H35&lt;=$O$49),"PASS","FAIL")</x:f>
        <x:v>PASS</x:v>
      </x:c>
      <x:c r="N35" s="1"/>
      <x:c r="O35" s="1"/>
    </x:row>
    <x:row r="36">
      <x:c r="A36" s="48" t="str">
        <x:v>C-M</x:v>
      </x:c>
      <x:c r="B36" s="48" t="str">
        <x:v>C</x:v>
      </x:c>
      <x:c r="C36" s="48" t="str">
        <x:v>Municipal-water batch</x:v>
      </x:c>
      <x:c r="D36" s="50" t="n">
        <x:v>0.047147978227981814</x:v>
      </x:c>
      <x:c r="E36" s="50" t="n">
        <x:f>D36*86400</x:f>
        <x:v>4073.585318897629</x:v>
      </x:c>
      <x:c r="F36" s="50" t="n">
        <x:v>0.042</x:v>
      </x:c>
      <x:c r="G36" s="50" t="n">
        <x:f>D36-F36</x:f>
        <x:v>0.0051479782279818115</x:v>
      </x:c>
      <x:c r="H36" s="50" t="n">
        <x:v>2.8772569881955055</x:v>
      </x:c>
      <x:c r="I36" s="50" t="n">
        <x:v>1.0743689940035095</x:v>
      </x:c>
      <x:c r="J36" s="50" t="n">
        <x:v>13.384751651919899</x:v>
      </x:c>
      <x:c r="K36" s="49" t="n">
        <x:v>0.5</x:v>
      </x:c>
      <x:c r="L36" s="48" t="n">
        <x:v>0</x:v>
      </x:c>
      <x:c r="M36" s="48" t="str">
        <x:f>IF(AND(G36&gt;=0,H36&lt;=$O$49),"PASS","FAIL")</x:f>
        <x:v>PASS</x:v>
      </x:c>
      <x:c r="N36" s="1"/>
      <x:c r="O36" s="1"/>
    </x:row>
    <x:row r="37">
      <x:c r="A37" s="48" t="str">
        <x:v>C-P</x:v>
      </x:c>
      <x:c r="B37" s="48" t="str">
        <x:v>C</x:v>
      </x:c>
      <x:c r="C37" s="48" t="str">
        <x:v>High-purity pretreatment batch</x:v>
      </x:c>
      <x:c r="D37" s="50" t="n">
        <x:v>0.04367677810501512</x:v>
      </x:c>
      <x:c r="E37" s="50" t="n">
        <x:f>D37*86400</x:f>
        <x:v>3773.6736282733063</x:v>
      </x:c>
      <x:c r="F37" s="50" t="n">
        <x:v>0.038</x:v>
      </x:c>
      <x:c r="G37" s="50" t="n">
        <x:f>D37-F37</x:f>
        <x:v>0.005676778105015122</x:v>
      </x:c>
      <x:c r="H37" s="50" t="n">
        <x:v>2.8975497113072555</x:v>
      </x:c>
      <x:c r="I37" s="50" t="n">
        <x:v>1.1337613470424774</x:v>
      </x:c>
      <x:c r="J37" s="50" t="n">
        <x:v>13.176277793511145</x:v>
      </x:c>
      <x:c r="K37" s="49" t="n">
        <x:v>0.25</x:v>
      </x:c>
      <x:c r="L37" s="48" t="n">
        <x:v>0</x:v>
      </x:c>
      <x:c r="M37" s="48" t="str">
        <x:f>IF(AND(G37&gt;=0,H37&lt;=$O$49),"PASS","FAIL")</x:f>
        <x:v>PASS</x:v>
      </x:c>
      <x:c r="N37" s="1"/>
      <x:c r="O37" s="1"/>
    </x:row>
    <x:row r="38">
      <x:c r="A38" s="48" t="str">
        <x:v>C-I</x:v>
      </x:c>
      <x:c r="B38" s="48" t="str">
        <x:v>C</x:v>
      </x:c>
      <x:c r="C38" s="48" t="str">
        <x:v>Industrial-reuse batch</x:v>
      </x:c>
      <x:c r="D38" s="50" t="n">
        <x:v>0.040779143910521516</x:v>
      </x:c>
      <x:c r="E38" s="50" t="n">
        <x:f>D38*86400</x:f>
        <x:v>3523.318033869059</x:v>
      </x:c>
      <x:c r="F38" s="50" t="n">
        <x:v>0.04</x:v>
      </x:c>
      <x:c r="G38" s="50" t="n">
        <x:f>D38-F38</x:f>
        <x:v>0.0007791439105215153</x:v>
      </x:c>
      <x:c r="H38" s="50" t="n">
        <x:v>2.9200424699529877</x:v>
      </x:c>
      <x:c r="I38" s="50" t="n">
        <x:v>1.1912011432303735</x:v>
      </x:c>
      <x:c r="J38" s="50" t="n">
        <x:v>13.00092426717931</x:v>
      </x:c>
      <x:c r="K38" s="49" t="n">
        <x:v>0.25</x:v>
      </x:c>
      <x:c r="L38" s="48" t="n">
        <x:v>0</x:v>
      </x:c>
      <x:c r="M38" s="48" t="str">
        <x:f>IF(AND(G38&gt;=0,H38&lt;=$O$49),"PASS","FAIL")</x:f>
        <x:v>PASS</x:v>
      </x:c>
      <x:c r="N38" s="1"/>
      <x:c r="O38" s="1"/>
    </x:row>
    <x:row r="39">
      <x:c r="A39" s="48" t="str">
        <x:v>D-M</x:v>
      </x:c>
      <x:c r="B39" s="48" t="str">
        <x:v>D</x:v>
      </x:c>
      <x:c r="C39" s="48" t="str">
        <x:v>Municipal-water batch</x:v>
      </x:c>
      <x:c r="D39" s="50" t="n">
        <x:v>0.04900463835220086</x:v>
      </x:c>
      <x:c r="E39" s="50" t="n">
        <x:f>D39*86400</x:f>
        <x:v>4234.000753630155</x:v>
      </x:c>
      <x:c r="F39" s="50" t="n">
        <x:v>0.042</x:v>
      </x:c>
      <x:c r="G39" s="50" t="n">
        <x:f>D39-F39</x:f>
        <x:v>0.007004638352200859</x:v>
      </x:c>
      <x:c r="H39" s="50" t="n">
        <x:v>2.9408953095349504</x:v>
      </x:c>
      <x:c r="I39" s="50" t="n">
        <x:v>1.0570816973283121</x:v>
      </x:c>
      <x:c r="J39" s="50" t="n">
        <x:v>13.57334780360017</x:v>
      </x:c>
      <x:c r="K39" s="49" t="n">
        <x:v>0.5</x:v>
      </x:c>
      <x:c r="L39" s="48" t="n">
        <x:v>0</x:v>
      </x:c>
      <x:c r="M39" s="48" t="str">
        <x:f>IF(AND(G39&gt;=0,H39&lt;=$O$49),"PASS","FAIL")</x:f>
        <x:v>PASS</x:v>
      </x:c>
      <x:c r="N39" s="1"/>
      <x:c r="O39" s="1"/>
    </x:row>
    <x:row r="40">
      <x:c r="A40" s="48" t="str">
        <x:v>D-P</x:v>
      </x:c>
      <x:c r="B40" s="48" t="str">
        <x:v>D</x:v>
      </x:c>
      <x:c r="C40" s="48" t="str">
        <x:v>High-purity pretreatment batch</x:v>
      </x:c>
      <x:c r="D40" s="50" t="n">
        <x:v>0.045552047195933955</x:v>
      </x:c>
      <x:c r="E40" s="50" t="n">
        <x:f>D40*86400</x:f>
        <x:v>3935.696877728694</x:v>
      </x:c>
      <x:c r="F40" s="50" t="n">
        <x:v>0.038</x:v>
      </x:c>
      <x:c r="G40" s="50" t="n">
        <x:f>D40-F40</x:f>
        <x:v>0.007552047195933956</x:v>
      </x:c>
      <x:c r="H40" s="50" t="n">
        <x:v>2.960063436447457</x:v>
      </x:c>
      <x:c r="I40" s="50" t="n">
        <x:v>1.112036580253492</x:v>
      </x:c>
      <x:c r="J40" s="50" t="n">
        <x:v>13.36514860267029</x:v>
      </x:c>
      <x:c r="K40" s="49" t="n">
        <x:v>0.25</x:v>
      </x:c>
      <x:c r="L40" s="48" t="n">
        <x:v>0</x:v>
      </x:c>
      <x:c r="M40" s="48" t="str">
        <x:f>IF(AND(G40&gt;=0,H40&lt;=$O$49),"PASS","FAIL")</x:f>
        <x:v>PASS</x:v>
      </x:c>
      <x:c r="N40" s="1"/>
      <x:c r="O40" s="1"/>
    </x:row>
    <x:row r="41">
      <x:c r="A41" s="48" t="str">
        <x:v>D-I</x:v>
      </x:c>
      <x:c r="B41" s="48" t="str">
        <x:v>D</x:v>
      </x:c>
      <x:c r="C41" s="48" t="str">
        <x:v>Industrial-reuse batch</x:v>
      </x:c>
      <x:c r="D41" s="50" t="n">
        <x:v>0.04266450754295688</x:v>
      </x:c>
      <x:c r="E41" s="50" t="n">
        <x:f>D41*86400</x:f>
        <x:v>3686.213451711474</x:v>
      </x:c>
      <x:c r="F41" s="50" t="n">
        <x:v>0.04</x:v>
      </x:c>
      <x:c r="G41" s="50" t="n">
        <x:f>D41-F41</x:f>
        <x:v>0.0026645075429568774</x:v>
      </x:c>
      <x:c r="H41" s="50" t="n">
        <x:v>2.981488580459255</x:v>
      </x:c>
      <x:c r="I41" s="50" t="n">
        <x:v>1.1649789167873315</x:v>
      </x:c>
      <x:c r="J41" s="50" t="n">
        <x:v>13.190092257363684</x:v>
      </x:c>
      <x:c r="K41" s="49" t="n">
        <x:v>0.25</x:v>
      </x:c>
      <x:c r="L41" s="48" t="n">
        <x:v>0</x:v>
      </x:c>
      <x:c r="M41" s="48" t="str">
        <x:f>IF(AND(G41&gt;=0,H41&lt;=$O$49),"PASS","FAIL")</x:f>
        <x:v>PASS</x:v>
      </x:c>
      <x:c r="N41" s="1"/>
      <x:c r="O41" s="1"/>
    </x:row>
    <x:row r="42">
      <x:c r="A42" s="48" t="str">
        <x:v>E-M</x:v>
      </x:c>
      <x:c r="B42" s="48" t="str">
        <x:v>E</x:v>
      </x:c>
      <x:c r="C42" s="48" t="str">
        <x:v>Municipal-water batch</x:v>
      </x:c>
      <x:c r="D42" s="50" t="n">
        <x:v>0.04478116483362162</x:v>
      </x:c>
      <x:c r="E42" s="50" t="n">
        <x:f>D42*86400</x:f>
        <x:v>3869.092641624908</x:v>
      </x:c>
      <x:c r="F42" s="50" t="n">
        <x:v>0.042</x:v>
      </x:c>
      <x:c r="G42" s="50" t="n">
        <x:f>D42-F42</x:f>
        <x:v>0.002781164833621619</x:v>
      </x:c>
      <x:c r="H42" s="50" t="n">
        <x:v>2.7436978304784017</x:v>
      </x:c>
      <x:c r="I42" s="50" t="n">
        <x:v>1.0991669641256756</x:v>
      </x:c>
      <x:c r="J42" s="50" t="n">
        <x:v>13.153284171862058</x:v>
      </x:c>
      <x:c r="K42" s="49" t="n">
        <x:v>0.5</x:v>
      </x:c>
      <x:c r="L42" s="48" t="n">
        <x:v>0</x:v>
      </x:c>
      <x:c r="M42" s="48" t="str">
        <x:f>IF(AND(G42&gt;=0,H42&lt;=$O$49),"PASS","FAIL")</x:f>
        <x:v>PASS</x:v>
      </x:c>
      <x:c r="N42" s="1"/>
      <x:c r="O42" s="1"/>
    </x:row>
    <x:row r="43">
      <x:c r="A43" s="48" t="str">
        <x:v>E-P</x:v>
      </x:c>
      <x:c r="B43" s="48" t="str">
        <x:v>E</x:v>
      </x:c>
      <x:c r="C43" s="48" t="str">
        <x:v>High-purity pretreatment batch</x:v>
      </x:c>
      <x:c r="D43" s="50" t="n">
        <x:v>0.045367427152023014</x:v>
      </x:c>
      <x:c r="E43" s="50" t="n">
        <x:f>D43*86400</x:f>
        <x:v>3919.7457059347885</x:v>
      </x:c>
      <x:c r="F43" s="50" t="n">
        <x:v>0.038</x:v>
      </x:c>
      <x:c r="G43" s="50" t="n">
        <x:f>D43-F43</x:f>
        <x:v>0.007367427152023015</x:v>
      </x:c>
      <x:c r="H43" s="50" t="n">
        <x:v>2.9235800741537763</x:v>
      </x:c>
      <x:c r="I43" s="50" t="n">
        <x:v>1.1073452912276243</x:v>
      </x:c>
      <x:c r="J43" s="50" t="n">
        <x:v>13.300530779370717</x:v>
      </x:c>
      <x:c r="K43" s="49" t="n">
        <x:v>0.25</x:v>
      </x:c>
      <x:c r="L43" s="48" t="n">
        <x:v>0</x:v>
      </x:c>
      <x:c r="M43" s="48" t="str">
        <x:f>IF(AND(G43&gt;=0,H43&lt;=$O$49),"PASS","FAIL")</x:f>
        <x:v>PASS</x:v>
      </x:c>
      <x:c r="N43" s="1"/>
      <x:c r="O43" s="1"/>
    </x:row>
    <x:row r="44">
      <x:c r="A44" s="48" t="str">
        <x:v>E-I</x:v>
      </x:c>
      <x:c r="B44" s="48" t="str">
        <x:v>E</x:v>
      </x:c>
      <x:c r="C44" s="48" t="str">
        <x:v>Industrial-reuse batch</x:v>
      </x:c>
      <x:c r="D44" s="50" t="n">
        <x:v>0.039106950535229106</x:v>
      </x:c>
      <x:c r="E44" s="50" t="n">
        <x:f>D44*86400</x:f>
        <x:v>3378.8405262437946</x:v>
      </x:c>
      <x:c r="F44" s="50" t="n">
        <x:v>0.04</x:v>
      </x:c>
      <x:c r="G44" s="50" t="n">
        <x:f>D44-F44</x:f>
        <x:v>-0.0008930494647708953</x:v>
      </x:c>
      <x:c r="H44" s="50" t="n">
        <x:v>2.8206259733139425</x:v>
      </x:c>
      <x:c r="I44" s="50" t="n">
        <x:v>1.2166818462050328</x:v>
      </x:c>
      <x:c r="J44" s="50" t="n">
        <x:v>12.836977783462864</x:v>
      </x:c>
      <x:c r="K44" s="49" t="n">
        <x:v>0.25</x:v>
      </x:c>
      <x:c r="L44" s="48" t="n">
        <x:v>0</x:v>
      </x:c>
      <x:c r="M44" s="48" t="str">
        <x:f>IF(AND(G44&gt;=0,H44&lt;=$O$49),"PASS","FAIL")</x:f>
        <x:v>FAIL</x:v>
      </x:c>
      <x:c r="N44" s="1"/>
      <x:c r="O44" s="1"/>
    </x:row>
    <x:row r="45">
      <x:c r="A45" s="1"/>
      <x:c r="B45" s="1"/>
      <x:c r="C45" s="1"/>
      <x:c r="D45" s="1"/>
      <x:c r="E45" s="1"/>
      <x:c r="F45" s="1"/>
      <x:c r="G45" s="1"/>
      <x:c r="H45" s="1"/>
      <x:c r="I45" s="1"/>
      <x:c r="J45" s="1"/>
      <x:c r="K45" s="1"/>
      <x:c r="L45" s="1"/>
      <x:c r="M45" s="1"/>
      <x:c r="N45" s="1"/>
      <x:c r="O45" s="1"/>
    </x:row>
    <x:row r="46">
      <x:c r="A46" s="11" t="str">
        <x:v>Join, worst-case constraints and strategy ranking</x:v>
      </x:c>
      <x:c r="B46" s="11" t="str">
        <x:v>Join, worst-case constraints and strategy ranking</x:v>
      </x:c>
      <x:c r="C46" s="11" t="str">
        <x:v>Join, worst-case constraints and strategy ranking</x:v>
      </x:c>
      <x:c r="D46" s="11" t="str">
        <x:v>Join, worst-case constraints and strategy ranking</x:v>
      </x:c>
      <x:c r="E46" s="11" t="str">
        <x:v>Join, worst-case constraints and strategy ranking</x:v>
      </x:c>
      <x:c r="F46" s="11" t="str">
        <x:v>Join, worst-case constraints and strategy ranking</x:v>
      </x:c>
      <x:c r="G46" s="11" t="str">
        <x:v>Join, worst-case constraints and strategy ranking</x:v>
      </x:c>
      <x:c r="H46" s="11" t="str">
        <x:v>Join, worst-case constraints and strategy ranking</x:v>
      </x:c>
      <x:c r="I46" s="11" t="str">
        <x:v>Join, worst-case constraints and strategy ranking</x:v>
      </x:c>
      <x:c r="J46" s="11" t="str">
        <x:v>Join, worst-case constraints and strategy ranking</x:v>
      </x:c>
      <x:c r="K46" s="11" t="str">
        <x:v>Join, worst-case constraints and strategy ranking</x:v>
      </x:c>
      <x:c r="L46" s="11" t="str">
        <x:v>Join, worst-case constraints and strategy ranking</x:v>
      </x:c>
      <x:c r="M46" s="1"/>
      <x:c r="N46" s="44" t="str">
        <x:v>Visible criteria</x:v>
      </x:c>
      <x:c r="O46" s="44" t="str">
        <x:v>Visible criteria</x:v>
      </x:c>
    </x:row>
    <x:row r="47">
      <x:c r="A47" s="44" t="str">
        <x:v>Strategy</x:v>
      </x:c>
      <x:c r="B47" s="44" t="str">
        <x:v>Min water</x:v>
      </x:c>
      <x:c r="C47" s="44" t="str">
        <x:v>Max quality excess</x:v>
      </x:c>
      <x:c r="D47" s="44" t="str">
        <x:v>Max CP</x:v>
      </x:c>
      <x:c r="E47" s="44" t="str">
        <x:v>Min flow margin</x:v>
      </x:c>
      <x:c r="F47" s="44" t="str">
        <x:v>Max SEC</x:v>
      </x:c>
      <x:c r="G47" s="44" t="str">
        <x:v>Weighted SEC</x:v>
      </x:c>
      <x:c r="H47" s="44" t="str">
        <x:v>Weighted LCOW</x:v>
      </x:c>
      <x:c r="I47" s="44" t="str">
        <x:v>Decision metric</x:v>
      </x:c>
      <x:c r="J47" s="44" t="str">
        <x:v>Feasible</x:v>
      </x:c>
      <x:c r="K47" s="44" t="str">
        <x:v>Conclusion</x:v>
      </x:c>
      <x:c r="L47" s="44" t="str">
        <x:v>Adjustment</x:v>
      </x:c>
      <x:c r="M47" s="1"/>
      <x:c r="N47" s="48" t="str">
        <x:v>Min membrane water</x:v>
      </x:c>
      <x:c r="O47" s="50" t="n">
        <x:v>0.33</x:v>
      </x:c>
    </x:row>
    <x:row r="48">
      <x:c r="A48" s="48" t="str">
        <x:v>A</x:v>
      </x:c>
      <x:c r="B48" s="50" t="n">
        <x:f>MIN(D12,D13,D14)</x:f>
        <x:v>0.3544155910220305</x:v>
      </x:c>
      <x:c r="C48" s="50" t="n">
        <x:f>MAX(E12-F12,E13-F13,E14-F14)</x:f>
        <x:v>127.59645947274157</x:v>
      </x:c>
      <x:c r="D48" s="50" t="n">
        <x:f>MAX(G12,G13,G14)</x:f>
        <x:v>1.3372082643631067</x:v>
      </x:c>
      <x:c r="E48" s="50" t="n">
        <x:f>MIN(G30,G31,G32)</x:f>
        <x:v>-0.0008090127176340056</x:v>
      </x:c>
      <x:c r="F48" s="50" t="n">
        <x:f>MAX(H30,H31,H32)</x:f>
        <x:v>2.81901193077447</x:v>
      </x:c>
      <x:c r="G48" s="50" t="n">
        <x:f>K30*H30+K31*H31+K32*H32</x:f>
        <x:v>2.790641055085997</x:v>
      </x:c>
      <x:c r="H48" s="50" t="n">
        <x:f>K30*I30+K31*I31+K32*I32</x:f>
        <x:v>1.130093788894864</x:v>
      </x:c>
      <x:c r="I48" s="50" t="n">
        <x:f>H48</x:f>
        <x:v>1.130093788894864</x:v>
      </x:c>
      <x:c r="J48" s="48" t="str">
        <x:f>IF(AND(B48&gt;=$O$47,C48&lt;=0,D48&lt;=$O$48,E48&gt;=0,F48&lt;=$O$49),"PASS","FAIL")</x:f>
        <x:v>FAIL</x:v>
      </x:c>
      <x:c r="K48" s="48" t="str"/>
      <x:c r="L48" s="48" t="n">
        <x:v>0</x:v>
      </x:c>
      <x:c r="M48" s="1"/>
      <x:c r="N48" s="48" t="str">
        <x:v>Max inlet CP</x:v>
      </x:c>
      <x:c r="O48" s="50" t="n">
        <x:v>1.35</x:v>
      </x:c>
    </x:row>
    <x:row r="49">
      <x:c r="A49" s="48" t="str">
        <x:v>B</x:v>
      </x:c>
      <x:c r="B49" s="50" t="n">
        <x:f>MIN(D15,D16,D17)</x:f>
        <x:v>0.36495646141107013</x:v>
      </x:c>
      <x:c r="C49" s="50" t="n">
        <x:f>MAX(E15-F15,E16-F16,E17-F17)</x:f>
        <x:v>344.8812428381608</x:v>
      </x:c>
      <x:c r="D49" s="50" t="n">
        <x:f>MAX(G15,G16,G17)</x:f>
        <x:v>1.3573729954441371</x:v>
      </x:c>
      <x:c r="E49" s="50" t="n">
        <x:f>MIN(G33,G34,G35)</x:f>
        <x:v>0.0007652619472627437</x:v>
      </x:c>
      <x:c r="F49" s="50" t="n">
        <x:f>MAX(H33,H34,H35)</x:f>
        <x:v>2.6956350521444317</x:v>
      </x:c>
      <x:c r="G49" s="50" t="n">
        <x:f>K33*H33+K34*H34+K35*H35</x:f>
        <x:v>2.6683681008069753</x:v>
      </x:c>
      <x:c r="H49" s="50" t="n">
        <x:f>K33*I33+K34*I34+K35*I35</x:f>
        <x:v>1.0884861418492693</x:v>
      </x:c>
      <x:c r="I49" s="50" t="n">
        <x:f>H49</x:f>
        <x:v>1.0884861418492693</x:v>
      </x:c>
      <x:c r="J49" s="48" t="str">
        <x:f>IF(AND(B49&gt;=$O$47,C49&lt;=0,D49&lt;=$O$48,E49&gt;=0,F49&lt;=$O$49),"PASS","FAIL")</x:f>
        <x:v>FAIL</x:v>
      </x:c>
      <x:c r="K49" s="48" t="str"/>
      <x:c r="L49" s="48" t="n">
        <x:v>0</x:v>
      </x:c>
      <x:c r="M49" s="1"/>
      <x:c r="N49" s="48" t="str">
        <x:v>Max SEC</x:v>
      </x:c>
      <x:c r="O49" s="50" t="n">
        <x:v>3.1</x:v>
      </x:c>
    </x:row>
    <x:row r="50">
      <x:c r="A50" s="48" t="str">
        <x:v>C</x:v>
      </x:c>
      <x:c r="B50" s="50" t="n">
        <x:f>MIN(D18,D19,D20)</x:f>
        <x:v>0.36841812195129464</x:v>
      </x:c>
      <x:c r="C50" s="50" t="n">
        <x:f>MAX(E18-F18,E19-F19,E20-F20)</x:f>
        <x:v>11.599930890353761</x:v>
      </x:c>
      <x:c r="D50" s="50" t="n">
        <x:f>MAX(G18,G19,G20)</x:f>
        <x:v>1.3249518111838339</x:v>
      </x:c>
      <x:c r="E50" s="50" t="n">
        <x:f>MIN(G36,G37,G38)</x:f>
        <x:v>0.0007791439105215153</x:v>
      </x:c>
      <x:c r="F50" s="50" t="n">
        <x:f>MAX(H36,H37,H38)</x:f>
        <x:v>2.9200424699529877</x:v>
      </x:c>
      <x:c r="G50" s="50" t="n">
        <x:f>K36*H36+K37*H37+K38*H38</x:f>
        <x:v>2.8930265394128134</x:v>
      </x:c>
      <x:c r="H50" s="50" t="n">
        <x:f>K36*I36+K37*I37+K38*I38</x:f>
        <x:v>1.1184251195699675</x:v>
      </x:c>
      <x:c r="I50" s="50" t="n">
        <x:f>H50</x:f>
        <x:v>1.1184251195699675</x:v>
      </x:c>
      <x:c r="J50" s="48" t="str">
        <x:f>IF(AND(B50&gt;=$O$47,C50&lt;=0,D50&lt;=$O$48,E50&gt;=0,F50&lt;=$O$49),"PASS","FAIL")</x:f>
        <x:v>FAIL</x:v>
      </x:c>
      <x:c r="K50" s="48" t="str"/>
      <x:c r="L50" s="48" t="n">
        <x:v>0</x:v>
      </x:c>
      <x:c r="M50" s="1"/>
      <x:c r="N50" s="48" t="str">
        <x:v>Quality/flow excess</x:v>
      </x:c>
      <x:c r="O50" s="48" t="str">
        <x:v>≤0 / ≥0</x:v>
      </x:c>
    </x:row>
    <x:row r="51">
      <x:c r="A51" s="114" t="str">
        <x:v>D</x:v>
      </x:c>
      <x:c r="B51" s="115" t="n">
        <x:f>MIN(D21,D22,D23)</x:f>
        <x:v>0.3851405167246014</x:v>
      </x:c>
      <x:c r="C51" s="115" t="n">
        <x:f>MAX(E21-F21,E22-F22,E23-F23)</x:f>
        <x:v>-43.46286421360014</x:v>
      </x:c>
      <x:c r="D51" s="115" t="n">
        <x:f>MAX(G21,G22,G23)</x:f>
        <x:v>1.325519481710556</x:v>
      </x:c>
      <x:c r="E51" s="115" t="n">
        <x:f>MIN(G39,G40,G41)</x:f>
        <x:v>0.0026645075429568774</x:v>
      </x:c>
      <x:c r="F51" s="115" t="n">
        <x:f>MAX(H39,H40,H41)</x:f>
        <x:v>2.981488580459255</x:v>
      </x:c>
      <x:c r="G51" s="115" t="n">
        <x:f>K39*H39+K40*H40+K41*H41</x:f>
        <x:v>2.955835658994153</x:v>
      </x:c>
      <x:c r="H51" s="115" t="n">
        <x:f>K39*I39+K40*I40+K41*I41</x:f>
        <x:v>1.097794722924362</x:v>
      </x:c>
      <x:c r="I51" s="115" t="n">
        <x:f>H51</x:f>
        <x:v>1.097794722924362</x:v>
      </x:c>
      <x:c r="J51" s="114" t="str">
        <x:f>IF(AND(B51&gt;=$O$47,C51&lt;=0,D51&lt;=$O$48,E51&gt;=0,F51&lt;=$O$49),"PASS","FAIL")</x:f>
        <x:v>PASS</x:v>
      </x:c>
      <x:c r="K51" s="114" t="str">
        <x:v>RECOMMEND</x:v>
      </x:c>
      <x:c r="L51" s="114" t="n">
        <x:v>0</x:v>
      </x:c>
      <x:c r="M51" s="1"/>
      <x:c r="N51" s="1"/>
      <x:c r="O51" s="1"/>
    </x:row>
    <x:row r="52">
      <x:c r="A52" s="48" t="str">
        <x:v>E</x:v>
      </x:c>
      <x:c r="B52" s="50" t="n">
        <x:f>MIN(D24,D25,D26)</x:f>
        <x:v>0.34927446313282107</x:v>
      </x:c>
      <x:c r="C52" s="50" t="n">
        <x:f>MAX(E24-F24,E25-F25,E26-F26)</x:f>
        <x:v>37.62081092855988</x:v>
      </x:c>
      <x:c r="D52" s="50" t="n">
        <x:f>MAX(G24,G25,G26)</x:f>
        <x:v>1.3164326715570764</x:v>
      </x:c>
      <x:c r="E52" s="50" t="n">
        <x:f>MIN(G42,G43,G44)</x:f>
        <x:v>-0.0008930494647708953</x:v>
      </x:c>
      <x:c r="F52" s="50" t="n">
        <x:f>MAX(H42,H43,H44)</x:f>
        <x:v>2.9235800741537763</x:v>
      </x:c>
      <x:c r="G52" s="50" t="n">
        <x:f>K42*H42+K43*H43+K44*H44</x:f>
        <x:v>2.8079004271061305</x:v>
      </x:c>
      <x:c r="H52" s="50" t="n">
        <x:f>K42*I42+K43*I43+K44*I44</x:f>
        <x:v>1.1305902664210021</x:v>
      </x:c>
      <x:c r="I52" s="50" t="n">
        <x:f>H52</x:f>
        <x:v>1.1305902664210021</x:v>
      </x:c>
      <x:c r="J52" s="48" t="str">
        <x:f>IF(AND(B52&gt;=$O$47,C52&lt;=0,D52&lt;=$O$48,E52&gt;=0,F52&lt;=$O$49),"PASS","FAIL")</x:f>
        <x:v>FAIL</x:v>
      </x:c>
      <x:c r="K52" s="48" t="str"/>
      <x:c r="L52" s="48" t="n">
        <x:v>0</x:v>
      </x:c>
      <x:c r="M52" s="1"/>
      <x:c r="N52" s="1"/>
      <x:c r="O52" s="1"/>
    </x:row>
    <x:row r="53">
      <x:c r="A53" s="1"/>
      <x:c r="B53" s="1"/>
      <x:c r="C53" s="1"/>
      <x:c r="D53" s="1"/>
      <x:c r="E53" s="1"/>
      <x:c r="F53" s="1"/>
      <x:c r="G53" s="1"/>
      <x:c r="H53" s="1"/>
      <x:c r="I53" s="1"/>
      <x:c r="J53" s="1"/>
      <x:c r="K53" s="1"/>
      <x:c r="L53" s="1"/>
      <x:c r="M53" s="1"/>
      <x:c r="N53" s="1"/>
      <x:c r="O53" s="1"/>
    </x:row>
    <x:row r="54">
      <x:c r="A54" s="11" t="str">
        <x:v>Audit note</x:v>
      </x:c>
      <x:c r="B54" s="11" t="str">
        <x:v>Audit note</x:v>
      </x:c>
      <x:c r="C54" s="11" t="str">
        <x:v>Audit note</x:v>
      </x:c>
      <x:c r="D54" s="11" t="str">
        <x:v>Audit note</x:v>
      </x:c>
      <x:c r="E54" s="11" t="str">
        <x:v>Audit note</x:v>
      </x:c>
      <x:c r="F54" s="11" t="str">
        <x:v>Audit note</x:v>
      </x:c>
      <x:c r="G54" s="11" t="str">
        <x:v>Audit note</x:v>
      </x:c>
      <x:c r="H54" s="11" t="str">
        <x:v>Audit note</x:v>
      </x:c>
      <x:c r="I54" s="11" t="str">
        <x:v>Audit note</x:v>
      </x:c>
      <x:c r="J54" s="11" t="str">
        <x:v>Audit note</x:v>
      </x:c>
      <x:c r="K54" s="11" t="str">
        <x:v>Audit note</x:v>
      </x:c>
      <x:c r="L54" s="11" t="str">
        <x:v>Audit note</x:v>
      </x:c>
      <x:c r="M54" s="11" t="str">
        <x:v>Audit note</x:v>
      </x:c>
      <x:c r="N54" s="11" t="str">
        <x:v>Audit note</x:v>
      </x:c>
      <x:c r="O54" s="11" t="str">
        <x:v>Audit note</x:v>
      </x:c>
    </x:row>
    <x:row r="55">
      <x:c r="A55" s="137" t="str">
        <x:v>All 30 numeric call rows are direct outputs from the connected ROprocess simulators. Daily product, margins, weighted metrics and feasibility are workbook formulas. Candidate-state inputs are never passed from one simulator into the other; the branches join only by call ID.</x:v>
      </x:c>
      <x:c r="B55" s="138"/>
      <x:c r="C55" s="138"/>
      <x:c r="D55" s="138"/>
      <x:c r="E55" s="138"/>
      <x:c r="F55" s="138"/>
      <x:c r="G55" s="138"/>
      <x:c r="H55" s="138"/>
      <x:c r="I55" s="138"/>
      <x:c r="J55" s="138"/>
      <x:c r="K55" s="138"/>
      <x:c r="L55" s="138"/>
      <x:c r="M55" s="138"/>
      <x:c r="N55" s="138"/>
      <x:c r="O55" s="139"/>
    </x:row>
    <x:row r="56">
      <x:c r="A56" s="140"/>
      <x:c r="B56" s="141"/>
      <x:c r="C56" s="141"/>
      <x:c r="D56" s="141"/>
      <x:c r="E56" s="141"/>
      <x:c r="F56" s="141"/>
      <x:c r="G56" s="141"/>
      <x:c r="H56" s="141"/>
      <x:c r="I56" s="141"/>
      <x:c r="J56" s="141"/>
      <x:c r="K56" s="141"/>
      <x:c r="L56" s="141"/>
      <x:c r="M56" s="141"/>
      <x:c r="N56" s="141"/>
      <x:c r="O56" s="142"/>
    </x:row>
    <x:row r="57">
      <x:c r="A57" s="143"/>
      <x:c r="B57" s="144"/>
      <x:c r="C57" s="144"/>
      <x:c r="D57" s="144"/>
      <x:c r="E57" s="144"/>
      <x:c r="F57" s="144"/>
      <x:c r="G57" s="144"/>
      <x:c r="H57" s="144"/>
      <x:c r="I57" s="144"/>
      <x:c r="J57" s="144"/>
      <x:c r="K57" s="144"/>
      <x:c r="L57" s="144"/>
      <x:c r="M57" s="144"/>
      <x:c r="N57" s="144"/>
      <x:c r="O57" s="145"/>
    </x:row>
    <x:row r="58">
      <x:c r="A58" s="1"/>
      <x:c r="B58" s="1"/>
      <x:c r="C58" s="1"/>
      <x:c r="D58" s="1"/>
      <x:c r="E58" s="1"/>
      <x:c r="F58" s="1"/>
      <x:c r="G58" s="1"/>
      <x:c r="H58" s="1"/>
      <x:c r="I58" s="1"/>
      <x:c r="J58" s="1"/>
      <x:c r="K58" s="1"/>
      <x:c r="L58" s="1"/>
      <x:c r="M58" s="1"/>
      <x:c r="N58" s="1"/>
      <x:c r="O58" s="1"/>
    </x:row>
    <x:row r="59">
      <x:c r="A59" s="1"/>
      <x:c r="B59" s="1"/>
      <x:c r="C59" s="1"/>
      <x:c r="D59" s="1"/>
      <x:c r="E59" s="1"/>
      <x:c r="F59" s="1"/>
      <x:c r="G59" s="1"/>
      <x:c r="H59" s="1"/>
      <x:c r="I59" s="1"/>
      <x:c r="J59" s="1"/>
      <x:c r="K59" s="1"/>
      <x:c r="L59" s="1"/>
      <x:c r="M59" s="1"/>
      <x:c r="N59" s="1"/>
      <x:c r="O59" s="1"/>
    </x:row>
    <x:row r="60">
      <x:c r="A60" s="1"/>
      <x:c r="B60" s="1"/>
      <x:c r="C60" s="1"/>
      <x:c r="D60" s="1"/>
      <x:c r="E60" s="1"/>
      <x:c r="F60" s="1"/>
      <x:c r="G60" s="1"/>
      <x:c r="H60" s="1"/>
      <x:c r="I60" s="1"/>
      <x:c r="J60" s="1"/>
      <x:c r="K60" s="1"/>
      <x:c r="L60" s="1"/>
      <x:c r="M60" s="1"/>
      <x:c r="N60" s="1"/>
      <x:c r="O60" s="1"/>
    </x:row>
    <x:row r="61">
      <x:c r="A61" s="1"/>
      <x:c r="B61" s="1"/>
      <x:c r="C61" s="1"/>
      <x:c r="D61" s="1"/>
      <x:c r="E61" s="1"/>
      <x:c r="F61" s="1"/>
      <x:c r="G61" s="1"/>
      <x:c r="H61" s="1"/>
      <x:c r="I61" s="1"/>
      <x:c r="J61" s="1"/>
      <x:c r="K61" s="1"/>
      <x:c r="L61" s="1"/>
      <x:c r="M61" s="1"/>
      <x:c r="N61" s="1"/>
      <x:c r="O61" s="1"/>
    </x:row>
    <x:row r="62">
      <x:c r="A62" s="1"/>
      <x:c r="B62" s="1"/>
      <x:c r="C62" s="1"/>
      <x:c r="D62" s="1"/>
      <x:c r="E62" s="1"/>
      <x:c r="F62" s="1"/>
      <x:c r="G62" s="1"/>
      <x:c r="H62" s="1"/>
      <x:c r="I62" s="1"/>
      <x:c r="J62" s="1"/>
      <x:c r="K62" s="1"/>
      <x:c r="L62" s="1"/>
      <x:c r="M62" s="1"/>
      <x:c r="N62" s="1"/>
      <x:c r="O62" s="1"/>
    </x:row>
    <x:row r="63">
      <x:c r="A63" s="1"/>
      <x:c r="B63" s="1"/>
      <x:c r="C63" s="1"/>
      <x:c r="D63" s="1"/>
      <x:c r="E63" s="1"/>
      <x:c r="F63" s="1"/>
      <x:c r="G63" s="1"/>
      <x:c r="H63" s="1"/>
      <x:c r="I63" s="1"/>
      <x:c r="J63" s="1"/>
      <x:c r="K63" s="1"/>
      <x:c r="L63" s="1"/>
      <x:c r="M63" s="1"/>
      <x:c r="N63" s="1"/>
      <x:c r="O63" s="1"/>
    </x:row>
    <x:row r="64">
      <x:c r="A64" s="1"/>
      <x:c r="B64" s="1"/>
      <x:c r="C64" s="1"/>
      <x:c r="D64" s="1"/>
      <x:c r="E64" s="1"/>
      <x:c r="F64" s="1"/>
      <x:c r="G64" s="1"/>
      <x:c r="H64" s="1"/>
      <x:c r="I64" s="1"/>
      <x:c r="J64" s="1"/>
      <x:c r="K64" s="1"/>
      <x:c r="L64" s="1"/>
      <x:c r="M64" s="1"/>
      <x:c r="N64" s="1"/>
      <x:c r="O64" s="1"/>
    </x:row>
    <x:row r="65">
      <x:c r="A65" s="1"/>
      <x:c r="B65" s="1"/>
      <x:c r="C65" s="1"/>
      <x:c r="D65" s="1"/>
      <x:c r="E65" s="1"/>
      <x:c r="F65" s="1"/>
      <x:c r="G65" s="1"/>
      <x:c r="H65" s="1"/>
      <x:c r="I65" s="1"/>
      <x:c r="J65" s="1"/>
      <x:c r="K65" s="1"/>
      <x:c r="L65" s="1"/>
      <x:c r="M65" s="1"/>
      <x:c r="N65" s="1"/>
      <x:c r="O65" s="1"/>
    </x:row>
  </x:sheetData>
  <x:mergeCells>
    <x:mergeCell ref="A1:O2"/>
    <x:mergeCell ref="A3:O3"/>
    <x:mergeCell ref="A5:O5"/>
    <x:mergeCell ref="A6:O8"/>
    <x:mergeCell ref="A10:I10"/>
    <x:mergeCell ref="A28:M28"/>
    <x:mergeCell ref="A46:L46"/>
    <x:mergeCell ref="N46:O46"/>
    <x:mergeCell ref="A54:O54"/>
    <x:mergeCell ref="A55:O57"/>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1" hidden="0" customWidth="1"/>
    <x:col min="2" max="2" width="22" hidden="0" customWidth="1"/>
    <x:col min="3" max="3" width="20" hidden="0" customWidth="1"/>
    <x:col min="4" max="4" width="12"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4" hidden="0" customWidth="1"/>
    <x:col min="14" max="14" width="18" hidden="0" customWidth="1"/>
    <x:col min="15" max="15" width="18" hidden="0" customWidth="1"/>
  </x:cols>
  <x:sheetData>
    <x:row r="1">
      <x:c r="A1" s="5" t="str">
        <x:v>Trajectory rubric | D6_6c-H06</x:v>
      </x:c>
      <x:c r="B1" s="5"/>
      <x:c r="C1" s="5"/>
      <x:c r="D1" s="5"/>
      <x:c r="E1" s="5"/>
      <x:c r="F1" s="5"/>
      <x:c r="G1" s="5"/>
      <x:c r="H1" s="5"/>
      <x:c r="I1" s="5"/>
      <x:c r="J1" s="5"/>
      <x:c r="K1" s="5"/>
      <x:c r="L1" s="5"/>
      <x:c r="M1" s="5"/>
      <x:c r="N1" s="5"/>
      <x:c r="O1" s="5"/>
    </x:row>
    <x:row r="2">
      <x:c r="A2" s="5"/>
      <x:c r="B2" s="5"/>
      <x:c r="C2" s="5"/>
      <x:c r="D2" s="5"/>
      <x:c r="E2" s="5"/>
      <x:c r="F2" s="5"/>
      <x:c r="G2" s="5"/>
      <x:c r="H2" s="5"/>
      <x:c r="I2" s="5"/>
      <x:c r="J2" s="5"/>
      <x:c r="K2" s="5"/>
      <x:c r="L2" s="5"/>
      <x:c r="M2" s="5"/>
      <x:c r="N2" s="5"/>
      <x:c r="O2" s="5"/>
    </x:row>
    <x:row r="3">
      <x:c r="A3" s="8" t="str">
        <x:v>100-point rubric for a 30-call parallel trajectory</x:v>
      </x:c>
      <x:c r="B3" s="8"/>
      <x:c r="C3" s="8"/>
      <x:c r="D3" s="8"/>
      <x:c r="E3" s="8"/>
      <x:c r="F3" s="8"/>
      <x:c r="G3" s="8"/>
      <x:c r="H3" s="8"/>
      <x:c r="I3" s="8"/>
      <x:c r="J3" s="8"/>
      <x:c r="K3" s="8"/>
      <x:c r="L3" s="8"/>
      <x:c r="M3" s="8"/>
      <x:c r="N3" s="8"/>
      <x:c r="O3" s="8"/>
    </x:row>
    <x:row r="4">
      <x:c r="A4" s="1"/>
      <x:c r="B4" s="1"/>
      <x:c r="C4" s="1"/>
      <x:c r="D4" s="1"/>
      <x:c r="E4" s="1"/>
      <x:c r="F4" s="1"/>
      <x:c r="G4" s="1"/>
      <x:c r="H4" s="1"/>
      <x:c r="I4" s="1"/>
      <x:c r="J4" s="1"/>
      <x:c r="K4" s="1"/>
      <x:c r="L4" s="1"/>
      <x:c r="M4" s="1"/>
      <x:c r="N4" s="1"/>
      <x:c r="O4" s="1"/>
    </x:row>
    <x:row r="5">
      <x:c r="A5" s="11" t="str">
        <x:v>Scoring rubric</x:v>
      </x:c>
      <x:c r="B5" s="11" t="str">
        <x:v>Scoring rubric</x:v>
      </x:c>
      <x:c r="C5" s="11" t="str">
        <x:v>Scoring rubric</x:v>
      </x:c>
      <x:c r="D5" s="11" t="str">
        <x:v>Scoring rubric</x:v>
      </x:c>
      <x:c r="E5" s="11" t="str">
        <x:v>Scoring rubric</x:v>
      </x:c>
      <x:c r="F5" s="11" t="str">
        <x:v>Scoring rubric</x:v>
      </x:c>
      <x:c r="G5" s="11" t="str">
        <x:v>Scoring rubric</x:v>
      </x:c>
      <x:c r="H5" s="11" t="str">
        <x:v>Scoring rubric</x:v>
      </x:c>
      <x:c r="I5" s="11" t="str">
        <x:v>Scoring rubric</x:v>
      </x:c>
      <x:c r="J5" s="11" t="str">
        <x:v>Scoring rubric</x:v>
      </x:c>
      <x:c r="K5" s="11" t="str">
        <x:v>Scoring rubric</x:v>
      </x:c>
      <x:c r="L5" s="11" t="str">
        <x:v>Scoring rubric</x:v>
      </x:c>
      <x:c r="M5" s="11" t="str">
        <x:v>Scoring rubric</x:v>
      </x:c>
      <x:c r="N5" s="11" t="str">
        <x:v>Scoring rubric</x:v>
      </x:c>
      <x:c r="O5" s="11" t="str">
        <x:v>Scoring rubric</x:v>
      </x:c>
    </x:row>
    <x:row r="6">
      <x:c r="A6" s="44" t="str">
        <x:v>Dimension</x:v>
      </x:c>
      <x:c r="B6" s="44" t="str">
        <x:v>Points</x:v>
      </x:c>
      <x:c r="C6" s="44" t="str">
        <x:v>Full-credit evidence</x:v>
      </x:c>
      <x:c r="D6" s="44" t="str">
        <x:v>Partial credit</x:v>
      </x:c>
      <x:c r="E6" s="44" t="str">
        <x:v>Critical error</x:v>
      </x:c>
      <x:c r="F6" s="44" t="str"/>
      <x:c r="G6" s="44" t="str"/>
      <x:c r="H6" s="44" t="str"/>
      <x:c r="I6" s="44" t="str"/>
      <x:c r="J6" s="44" t="str"/>
      <x:c r="K6" s="44" t="str"/>
      <x:c r="L6" s="44" t="str"/>
      <x:c r="M6" s="44" t="str"/>
      <x:c r="N6" s="44" t="str"/>
      <x:c r="O6" s="44" t="str"/>
    </x:row>
    <x:row r="7" ht="52" customHeight="1">
      <x:c r="A7" s="48" t="str">
        <x:v>Call-matrix fidelity</x:v>
      </x:c>
      <x:c r="B7" s="48" t="n">
        <x:v>15</x:v>
      </x:c>
      <x:c r="C7" s="48" t="str">
        <x:v>Defines all 15 candidate-state rows with consistent units and IDs.</x:v>
      </x:c>
      <x:c r="D7" s="48" t="str">
        <x:v>One minor input mismatch.</x:v>
      </x:c>
      <x:c r="E7" s="48" t="str">
        <x:v>Missing states or silent parameter drift.</x:v>
      </x:c>
      <x:c r="F7" s="48" t="str"/>
      <x:c r="G7" s="48" t="str"/>
      <x:c r="H7" s="48" t="str"/>
      <x:c r="I7" s="48" t="str"/>
      <x:c r="J7" s="48" t="str"/>
      <x:c r="K7" s="48" t="str"/>
      <x:c r="L7" s="48" t="str"/>
      <x:c r="M7" s="48" t="str"/>
      <x:c r="N7" s="48" t="str"/>
      <x:c r="O7" s="48" t="str"/>
    </x:row>
    <x:row r="8" ht="52" customHeight="1">
      <x:c r="A8" s="48" t="str">
        <x:v>simulate_ro branch</x:v>
      </x:c>
      <x:c r="B8" s="48" t="n">
        <x:v>20</x:v>
      </x:c>
      <x:c r="C8" s="48" t="str">
        <x:v>Completes 15 membrane calls and reports water, NaCl, CP and recovery.</x:v>
      </x:c>
      <x:c r="D8" s="48" t="str">
        <x:v>One or two transcription errors.</x:v>
      </x:c>
      <x:c r="E8" s="48" t="str">
        <x:v>Uses membrane results to invent plant energy.</x:v>
      </x:c>
      <x:c r="F8" s="48" t="str"/>
      <x:c r="G8" s="48" t="str"/>
      <x:c r="H8" s="48" t="str"/>
      <x:c r="I8" s="48" t="str"/>
      <x:c r="J8" s="48" t="str"/>
      <x:c r="K8" s="48" t="str"/>
      <x:c r="L8" s="48" t="str"/>
      <x:c r="M8" s="48" t="str"/>
      <x:c r="N8" s="48" t="str"/>
      <x:c r="O8" s="48" t="str"/>
    </x:row>
    <x:row r="9" ht="52" customHeight="1">
      <x:c r="A9" s="48" t="str">
        <x:v>simulate_swro_system branch</x:v>
      </x:c>
      <x:c r="B9" s="48" t="n">
        <x:v>20</x:v>
      </x:c>
      <x:c r="C9" s="48" t="str">
        <x:v>Completes 15 plant calls and reports product, SEC, LCOW and CAPEX.</x:v>
      </x:c>
      <x:c r="D9" s="48" t="str">
        <x:v>One or two transcription errors.</x:v>
      </x:c>
      <x:c r="E9" s="48" t="str">
        <x:v>Omits a state or uses the wrong ERD.</x:v>
      </x:c>
      <x:c r="F9" s="48" t="str"/>
      <x:c r="G9" s="48" t="str"/>
      <x:c r="H9" s="48" t="str"/>
      <x:c r="I9" s="48" t="str"/>
      <x:c r="J9" s="48" t="str"/>
      <x:c r="K9" s="48" t="str"/>
      <x:c r="L9" s="48" t="str"/>
      <x:c r="M9" s="48" t="str"/>
      <x:c r="N9" s="48" t="str"/>
      <x:c r="O9" s="48" t="str"/>
    </x:row>
    <x:row r="10" ht="52" customHeight="1">
      <x:c r="A10" s="48" t="str">
        <x:v>Join and robust feasibility</x:v>
      </x:c>
      <x:c r="B10" s="48" t="n">
        <x:v>25</x:v>
      </x:c>
      <x:c r="C10" s="48" t="str">
        <x:v>Joins by call ID, applies every state-specific constraint, and computes worst-case metrics.</x:v>
      </x:c>
      <x:c r="D10" s="48" t="str">
        <x:v>One non-decisive omission.</x:v>
      </x:c>
      <x:c r="E10" s="48" t="str">
        <x:v>Averages away a failed state or mixes strategies.</x:v>
      </x:c>
      <x:c r="F10" s="48" t="str"/>
      <x:c r="G10" s="48" t="str"/>
      <x:c r="H10" s="48" t="str"/>
      <x:c r="I10" s="48" t="str"/>
      <x:c r="J10" s="48" t="str"/>
      <x:c r="K10" s="48" t="str"/>
      <x:c r="L10" s="48" t="str"/>
      <x:c r="M10" s="48" t="str"/>
      <x:c r="N10" s="48" t="str"/>
      <x:c r="O10" s="48" t="str"/>
    </x:row>
    <x:row r="11" ht="52" customHeight="1">
      <x:c r="A11" s="48" t="str">
        <x:v>Decision and explanation</x:v>
      </x:c>
      <x:c r="B11" s="48" t="n">
        <x:v>20</x:v>
      </x:c>
      <x:c r="C11" s="48" t="str">
        <x:v>Selects D, cites decisive metrics and explains at least three rejected strategies.</x:v>
      </x:c>
      <x:c r="D11" s="48" t="str">
        <x:v>Correct winner with limited explanation.</x:v>
      </x:c>
      <x:c r="E11" s="48" t="str">
        <x:v>Wrong winner or ranking before feasibility filtering.</x:v>
      </x:c>
      <x:c r="F11" s="48" t="str"/>
      <x:c r="G11" s="48" t="str"/>
      <x:c r="H11" s="48" t="str"/>
      <x:c r="I11" s="48" t="str"/>
      <x:c r="J11" s="48" t="str"/>
      <x:c r="K11" s="48" t="str"/>
      <x:c r="L11" s="48" t="str"/>
      <x:c r="M11" s="48" t="str"/>
      <x:c r="N11" s="48" t="str"/>
      <x:c r="O11" s="48" t="str"/>
    </x:row>
    <x:row r="12">
      <x:c r="A12" s="1"/>
      <x:c r="B12" s="1"/>
      <x:c r="C12" s="1"/>
      <x:c r="D12" s="1"/>
      <x:c r="E12" s="1"/>
      <x:c r="F12" s="1"/>
      <x:c r="G12" s="1"/>
      <x:c r="H12" s="1"/>
      <x:c r="I12" s="1"/>
      <x:c r="J12" s="1"/>
      <x:c r="K12" s="1"/>
      <x:c r="L12" s="1"/>
      <x:c r="M12" s="1"/>
      <x:c r="N12" s="1"/>
      <x:c r="O12" s="1"/>
    </x:row>
    <x:row r="13">
      <x:c r="A13" s="154" t="str">
        <x:v>Critical cap: an answer without evidence from both simulator families cannot score above 50, even if the final strategy is guessed correctly.</x:v>
      </x:c>
      <x:c r="B13" s="155"/>
      <x:c r="C13" s="155"/>
      <x:c r="D13" s="155"/>
      <x:c r="E13" s="155"/>
      <x:c r="F13" s="155"/>
      <x:c r="G13" s="155"/>
      <x:c r="H13" s="155"/>
      <x:c r="I13" s="155"/>
      <x:c r="J13" s="155"/>
      <x:c r="K13" s="155"/>
      <x:c r="L13" s="155"/>
      <x:c r="M13" s="155"/>
      <x:c r="N13" s="155"/>
      <x:c r="O13" s="156"/>
    </x:row>
    <x:row r="14">
      <x:c r="A14" s="157"/>
      <x:c r="B14" s="158"/>
      <x:c r="C14" s="158"/>
      <x:c r="D14" s="158"/>
      <x:c r="E14" s="158"/>
      <x:c r="F14" s="158"/>
      <x:c r="G14" s="158"/>
      <x:c r="H14" s="158"/>
      <x:c r="I14" s="158"/>
      <x:c r="J14" s="158"/>
      <x:c r="K14" s="158"/>
      <x:c r="L14" s="158"/>
      <x:c r="M14" s="158"/>
      <x:c r="N14" s="158"/>
      <x:c r="O14" s="159"/>
    </x:row>
    <x:row r="15">
      <x:c r="A15" s="1"/>
      <x:c r="B15" s="1"/>
      <x:c r="C15" s="1"/>
      <x:c r="D15" s="1"/>
      <x:c r="E15" s="1"/>
      <x:c r="F15" s="1"/>
      <x:c r="G15" s="1"/>
      <x:c r="H15" s="1"/>
      <x:c r="I15" s="1"/>
      <x:c r="J15" s="1"/>
      <x:c r="K15" s="1"/>
      <x:c r="L15" s="1"/>
      <x:c r="M15" s="1"/>
      <x:c r="N15" s="1"/>
      <x:c r="O15" s="1"/>
    </x:row>
    <x:row r="16">
      <x:c r="A16" s="1"/>
      <x:c r="B16" s="1"/>
      <x:c r="C16" s="1"/>
      <x:c r="D16" s="1"/>
      <x:c r="E16" s="1"/>
      <x:c r="F16" s="1"/>
      <x:c r="G16" s="1"/>
      <x:c r="H16" s="1"/>
      <x:c r="I16" s="1"/>
      <x:c r="J16" s="1"/>
      <x:c r="K16" s="1"/>
      <x:c r="L16" s="1"/>
      <x:c r="M16" s="1"/>
      <x:c r="N16" s="1"/>
      <x:c r="O16" s="1"/>
    </x:row>
    <x:row r="17">
      <x:c r="A17" s="1"/>
      <x:c r="B17" s="1"/>
      <x:c r="C17" s="1"/>
      <x:c r="D17" s="1"/>
      <x:c r="E17" s="1"/>
      <x:c r="F17" s="1"/>
      <x:c r="G17" s="1"/>
      <x:c r="H17" s="1"/>
      <x:c r="I17" s="1"/>
      <x:c r="J17" s="1"/>
      <x:c r="K17" s="1"/>
      <x:c r="L17" s="1"/>
      <x:c r="M17" s="1"/>
      <x:c r="N17" s="1"/>
      <x:c r="O17" s="1"/>
    </x:row>
    <x:row r="18">
      <x:c r="A18" s="1"/>
      <x:c r="B18" s="1"/>
      <x:c r="C18" s="1"/>
      <x:c r="D18" s="1"/>
      <x:c r="E18" s="1"/>
      <x:c r="F18" s="1"/>
      <x:c r="G18" s="1"/>
      <x:c r="H18" s="1"/>
      <x:c r="I18" s="1"/>
      <x:c r="J18" s="1"/>
      <x:c r="K18" s="1"/>
      <x:c r="L18" s="1"/>
      <x:c r="M18" s="1"/>
      <x:c r="N18" s="1"/>
      <x:c r="O18" s="1"/>
    </x:row>
    <x:row r="19">
      <x:c r="A19" s="1"/>
      <x:c r="B19" s="1"/>
      <x:c r="C19" s="1"/>
      <x:c r="D19" s="1"/>
      <x:c r="E19" s="1"/>
      <x:c r="F19" s="1"/>
      <x:c r="G19" s="1"/>
      <x:c r="H19" s="1"/>
      <x:c r="I19" s="1"/>
      <x:c r="J19" s="1"/>
      <x:c r="K19" s="1"/>
      <x:c r="L19" s="1"/>
      <x:c r="M19" s="1"/>
      <x:c r="N19" s="1"/>
      <x:c r="O19" s="1"/>
    </x:row>
    <x:row r="20">
      <x:c r="A20" s="1"/>
      <x:c r="B20" s="1"/>
      <x:c r="C20" s="1"/>
      <x:c r="D20" s="1"/>
      <x:c r="E20" s="1"/>
      <x:c r="F20" s="1"/>
      <x:c r="G20" s="1"/>
      <x:c r="H20" s="1"/>
      <x:c r="I20" s="1"/>
      <x:c r="J20" s="1"/>
      <x:c r="K20" s="1"/>
      <x:c r="L20" s="1"/>
      <x:c r="M20" s="1"/>
      <x:c r="N20" s="1"/>
      <x:c r="O20" s="1"/>
    </x:row>
    <x:row r="21">
      <x:c r="A21" s="1"/>
      <x:c r="B21" s="1"/>
      <x:c r="C21" s="1"/>
      <x:c r="D21" s="1"/>
      <x:c r="E21" s="1"/>
      <x:c r="F21" s="1"/>
      <x:c r="G21" s="1"/>
      <x:c r="H21" s="1"/>
      <x:c r="I21" s="1"/>
      <x:c r="J21" s="1"/>
      <x:c r="K21" s="1"/>
      <x:c r="L21" s="1"/>
      <x:c r="M21" s="1"/>
      <x:c r="N21" s="1"/>
      <x:c r="O21" s="1"/>
    </x:row>
    <x:row r="22">
      <x:c r="A22" s="1"/>
      <x:c r="B22" s="1"/>
      <x:c r="C22" s="1"/>
      <x:c r="D22" s="1"/>
      <x:c r="E22" s="1"/>
      <x:c r="F22" s="1"/>
      <x:c r="G22" s="1"/>
      <x:c r="H22" s="1"/>
      <x:c r="I22" s="1"/>
      <x:c r="J22" s="1"/>
      <x:c r="K22" s="1"/>
      <x:c r="L22" s="1"/>
      <x:c r="M22" s="1"/>
      <x:c r="N22" s="1"/>
      <x:c r="O22" s="1"/>
    </x:row>
    <x:row r="23">
      <x:c r="A23" s="1"/>
      <x:c r="B23" s="1"/>
      <x:c r="C23" s="1"/>
      <x:c r="D23" s="1"/>
      <x:c r="E23" s="1"/>
      <x:c r="F23" s="1"/>
      <x:c r="G23" s="1"/>
      <x:c r="H23" s="1"/>
      <x:c r="I23" s="1"/>
      <x:c r="J23" s="1"/>
      <x:c r="K23" s="1"/>
      <x:c r="L23" s="1"/>
      <x:c r="M23" s="1"/>
      <x:c r="N23" s="1"/>
      <x:c r="O23" s="1"/>
    </x:row>
    <x:row r="24">
      <x:c r="A24" s="1"/>
      <x:c r="B24" s="1"/>
      <x:c r="C24" s="1"/>
      <x:c r="D24" s="1"/>
      <x:c r="E24" s="1"/>
      <x:c r="F24" s="1"/>
      <x:c r="G24" s="1"/>
      <x:c r="H24" s="1"/>
      <x:c r="I24" s="1"/>
      <x:c r="J24" s="1"/>
      <x:c r="K24" s="1"/>
      <x:c r="L24" s="1"/>
      <x:c r="M24" s="1"/>
      <x:c r="N24" s="1"/>
      <x:c r="O24" s="1"/>
    </x:row>
    <x:row r="25">
      <x:c r="A25" s="1"/>
      <x:c r="B25" s="1"/>
      <x:c r="C25" s="1"/>
      <x:c r="D25" s="1"/>
      <x:c r="E25" s="1"/>
      <x:c r="F25" s="1"/>
      <x:c r="G25" s="1"/>
      <x:c r="H25" s="1"/>
      <x:c r="I25" s="1"/>
      <x:c r="J25" s="1"/>
      <x:c r="K25" s="1"/>
      <x:c r="L25" s="1"/>
      <x:c r="M25" s="1"/>
      <x:c r="N25" s="1"/>
      <x:c r="O25" s="1"/>
    </x:row>
    <x:row r="26">
      <x:c r="A26" s="1"/>
      <x:c r="B26" s="1"/>
      <x:c r="C26" s="1"/>
      <x:c r="D26" s="1"/>
      <x:c r="E26" s="1"/>
      <x:c r="F26" s="1"/>
      <x:c r="G26" s="1"/>
      <x:c r="H26" s="1"/>
      <x:c r="I26" s="1"/>
      <x:c r="J26" s="1"/>
      <x:c r="K26" s="1"/>
      <x:c r="L26" s="1"/>
      <x:c r="M26" s="1"/>
      <x:c r="N26" s="1"/>
      <x:c r="O26" s="1"/>
    </x:row>
    <x:row r="27">
      <x:c r="A27" s="1"/>
      <x:c r="B27" s="1"/>
      <x:c r="C27" s="1"/>
      <x:c r="D27" s="1"/>
      <x:c r="E27" s="1"/>
      <x:c r="F27" s="1"/>
      <x:c r="G27" s="1"/>
      <x:c r="H27" s="1"/>
      <x:c r="I27" s="1"/>
      <x:c r="J27" s="1"/>
      <x:c r="K27" s="1"/>
      <x:c r="L27" s="1"/>
      <x:c r="M27" s="1"/>
      <x:c r="N27" s="1"/>
      <x:c r="O27" s="1"/>
    </x:row>
    <x:row r="28">
      <x:c r="A28" s="1"/>
      <x:c r="B28" s="1"/>
      <x:c r="C28" s="1"/>
      <x:c r="D28" s="1"/>
      <x:c r="E28" s="1"/>
      <x:c r="F28" s="1"/>
      <x:c r="G28" s="1"/>
      <x:c r="H28" s="1"/>
      <x:c r="I28" s="1"/>
      <x:c r="J28" s="1"/>
      <x:c r="K28" s="1"/>
      <x:c r="L28" s="1"/>
      <x:c r="M28" s="1"/>
      <x:c r="N28" s="1"/>
      <x:c r="O28" s="1"/>
    </x:row>
    <x:row r="29">
      <x:c r="A29" s="1"/>
      <x:c r="B29" s="1"/>
      <x:c r="C29" s="1"/>
      <x:c r="D29" s="1"/>
      <x:c r="E29" s="1"/>
      <x:c r="F29" s="1"/>
      <x:c r="G29" s="1"/>
      <x:c r="H29" s="1"/>
      <x:c r="I29" s="1"/>
      <x:c r="J29" s="1"/>
      <x:c r="K29" s="1"/>
      <x:c r="L29" s="1"/>
      <x:c r="M29" s="1"/>
      <x:c r="N29" s="1"/>
      <x:c r="O29" s="1"/>
    </x:row>
    <x:row r="30">
      <x:c r="A30" s="1"/>
      <x:c r="B30" s="1"/>
      <x:c r="C30" s="1"/>
      <x:c r="D30" s="1"/>
      <x:c r="E30" s="1"/>
      <x:c r="F30" s="1"/>
      <x:c r="G30" s="1"/>
      <x:c r="H30" s="1"/>
      <x:c r="I30" s="1"/>
      <x:c r="J30" s="1"/>
      <x:c r="K30" s="1"/>
      <x:c r="L30" s="1"/>
      <x:c r="M30" s="1"/>
      <x:c r="N30" s="1"/>
      <x:c r="O30" s="1"/>
    </x:row>
    <x:row r="31">
      <x:c r="A31" s="1"/>
      <x:c r="B31" s="1"/>
      <x:c r="C31" s="1"/>
      <x:c r="D31" s="1"/>
      <x:c r="E31" s="1"/>
      <x:c r="F31" s="1"/>
      <x:c r="G31" s="1"/>
      <x:c r="H31" s="1"/>
      <x:c r="I31" s="1"/>
      <x:c r="J31" s="1"/>
      <x:c r="K31" s="1"/>
      <x:c r="L31" s="1"/>
      <x:c r="M31" s="1"/>
      <x:c r="N31" s="1"/>
      <x:c r="O31" s="1"/>
    </x:row>
    <x:row r="32">
      <x:c r="A32" s="1"/>
      <x:c r="B32" s="1"/>
      <x:c r="C32" s="1"/>
      <x:c r="D32" s="1"/>
      <x:c r="E32" s="1"/>
      <x:c r="F32" s="1"/>
      <x:c r="G32" s="1"/>
      <x:c r="H32" s="1"/>
      <x:c r="I32" s="1"/>
      <x:c r="J32" s="1"/>
      <x:c r="K32" s="1"/>
      <x:c r="L32" s="1"/>
      <x:c r="M32" s="1"/>
      <x:c r="N32" s="1"/>
      <x:c r="O32" s="1"/>
    </x:row>
    <x:row r="33">
      <x:c r="A33" s="1"/>
      <x:c r="B33" s="1"/>
      <x:c r="C33" s="1"/>
      <x:c r="D33" s="1"/>
      <x:c r="E33" s="1"/>
      <x:c r="F33" s="1"/>
      <x:c r="G33" s="1"/>
      <x:c r="H33" s="1"/>
      <x:c r="I33" s="1"/>
      <x:c r="J33" s="1"/>
      <x:c r="K33" s="1"/>
      <x:c r="L33" s="1"/>
      <x:c r="M33" s="1"/>
      <x:c r="N33" s="1"/>
      <x:c r="O33" s="1"/>
    </x:row>
    <x:row r="34">
      <x:c r="A34" s="1"/>
      <x:c r="B34" s="1"/>
      <x:c r="C34" s="1"/>
      <x:c r="D34" s="1"/>
      <x:c r="E34" s="1"/>
      <x:c r="F34" s="1"/>
      <x:c r="G34" s="1"/>
      <x:c r="H34" s="1"/>
      <x:c r="I34" s="1"/>
      <x:c r="J34" s="1"/>
      <x:c r="K34" s="1"/>
      <x:c r="L34" s="1"/>
      <x:c r="M34" s="1"/>
      <x:c r="N34" s="1"/>
      <x:c r="O34" s="1"/>
    </x:row>
    <x:row r="35">
      <x:c r="A35" s="1"/>
      <x:c r="B35" s="1"/>
      <x:c r="C35" s="1"/>
      <x:c r="D35" s="1"/>
      <x:c r="E35" s="1"/>
      <x:c r="F35" s="1"/>
      <x:c r="G35" s="1"/>
      <x:c r="H35" s="1"/>
      <x:c r="I35" s="1"/>
      <x:c r="J35" s="1"/>
      <x:c r="K35" s="1"/>
      <x:c r="L35" s="1"/>
      <x:c r="M35" s="1"/>
      <x:c r="N35" s="1"/>
      <x:c r="O35" s="1"/>
    </x:row>
    <x:row r="36">
      <x:c r="A36" s="1"/>
      <x:c r="B36" s="1"/>
      <x:c r="C36" s="1"/>
      <x:c r="D36" s="1"/>
      <x:c r="E36" s="1"/>
      <x:c r="F36" s="1"/>
      <x:c r="G36" s="1"/>
      <x:c r="H36" s="1"/>
      <x:c r="I36" s="1"/>
      <x:c r="J36" s="1"/>
      <x:c r="K36" s="1"/>
      <x:c r="L36" s="1"/>
      <x:c r="M36" s="1"/>
      <x:c r="N36" s="1"/>
      <x:c r="O36" s="1"/>
    </x:row>
    <x:row r="37">
      <x:c r="A37" s="1"/>
      <x:c r="B37" s="1"/>
      <x:c r="C37" s="1"/>
      <x:c r="D37" s="1"/>
      <x:c r="E37" s="1"/>
      <x:c r="F37" s="1"/>
      <x:c r="G37" s="1"/>
      <x:c r="H37" s="1"/>
      <x:c r="I37" s="1"/>
      <x:c r="J37" s="1"/>
      <x:c r="K37" s="1"/>
      <x:c r="L37" s="1"/>
      <x:c r="M37" s="1"/>
      <x:c r="N37" s="1"/>
      <x:c r="O37" s="1"/>
    </x:row>
    <x:row r="38">
      <x:c r="A38" s="1"/>
      <x:c r="B38" s="1"/>
      <x:c r="C38" s="1"/>
      <x:c r="D38" s="1"/>
      <x:c r="E38" s="1"/>
      <x:c r="F38" s="1"/>
      <x:c r="G38" s="1"/>
      <x:c r="H38" s="1"/>
      <x:c r="I38" s="1"/>
      <x:c r="J38" s="1"/>
      <x:c r="K38" s="1"/>
      <x:c r="L38" s="1"/>
      <x:c r="M38" s="1"/>
      <x:c r="N38" s="1"/>
      <x:c r="O38" s="1"/>
    </x:row>
    <x:row r="39">
      <x:c r="A39" s="1"/>
      <x:c r="B39" s="1"/>
      <x:c r="C39" s="1"/>
      <x:c r="D39" s="1"/>
      <x:c r="E39" s="1"/>
      <x:c r="F39" s="1"/>
      <x:c r="G39" s="1"/>
      <x:c r="H39" s="1"/>
      <x:c r="I39" s="1"/>
      <x:c r="J39" s="1"/>
      <x:c r="K39" s="1"/>
      <x:c r="L39" s="1"/>
      <x:c r="M39" s="1"/>
      <x:c r="N39" s="1"/>
      <x:c r="O39" s="1"/>
    </x:row>
    <x:row r="40">
      <x:c r="A40" s="1"/>
      <x:c r="B40" s="1"/>
      <x:c r="C40" s="1"/>
      <x:c r="D40" s="1"/>
      <x:c r="E40" s="1"/>
      <x:c r="F40" s="1"/>
      <x:c r="G40" s="1"/>
      <x:c r="H40" s="1"/>
      <x:c r="I40" s="1"/>
      <x:c r="J40" s="1"/>
      <x:c r="K40" s="1"/>
      <x:c r="L40" s="1"/>
      <x:c r="M40" s="1"/>
      <x:c r="N40" s="1"/>
      <x:c r="O40" s="1"/>
    </x:row>
    <x:row r="41">
      <x:c r="A41" s="1"/>
      <x:c r="B41" s="1"/>
      <x:c r="C41" s="1"/>
      <x:c r="D41" s="1"/>
      <x:c r="E41" s="1"/>
      <x:c r="F41" s="1"/>
      <x:c r="G41" s="1"/>
      <x:c r="H41" s="1"/>
      <x:c r="I41" s="1"/>
      <x:c r="J41" s="1"/>
      <x:c r="K41" s="1"/>
      <x:c r="L41" s="1"/>
      <x:c r="M41" s="1"/>
      <x:c r="N41" s="1"/>
      <x:c r="O41" s="1"/>
    </x:row>
    <x:row r="42">
      <x:c r="A42" s="1"/>
      <x:c r="B42" s="1"/>
      <x:c r="C42" s="1"/>
      <x:c r="D42" s="1"/>
      <x:c r="E42" s="1"/>
      <x:c r="F42" s="1"/>
      <x:c r="G42" s="1"/>
      <x:c r="H42" s="1"/>
      <x:c r="I42" s="1"/>
      <x:c r="J42" s="1"/>
      <x:c r="K42" s="1"/>
      <x:c r="L42" s="1"/>
      <x:c r="M42" s="1"/>
      <x:c r="N42" s="1"/>
      <x:c r="O42" s="1"/>
    </x:row>
    <x:row r="43">
      <x:c r="A43" s="1"/>
      <x:c r="B43" s="1"/>
      <x:c r="C43" s="1"/>
      <x:c r="D43" s="1"/>
      <x:c r="E43" s="1"/>
      <x:c r="F43" s="1"/>
      <x:c r="G43" s="1"/>
      <x:c r="H43" s="1"/>
      <x:c r="I43" s="1"/>
      <x:c r="J43" s="1"/>
      <x:c r="K43" s="1"/>
      <x:c r="L43" s="1"/>
      <x:c r="M43" s="1"/>
      <x:c r="N43" s="1"/>
      <x:c r="O43" s="1"/>
    </x:row>
    <x:row r="44">
      <x:c r="A44" s="1"/>
      <x:c r="B44" s="1"/>
      <x:c r="C44" s="1"/>
      <x:c r="D44" s="1"/>
      <x:c r="E44" s="1"/>
      <x:c r="F44" s="1"/>
      <x:c r="G44" s="1"/>
      <x:c r="H44" s="1"/>
      <x:c r="I44" s="1"/>
      <x:c r="J44" s="1"/>
      <x:c r="K44" s="1"/>
      <x:c r="L44" s="1"/>
      <x:c r="M44" s="1"/>
      <x:c r="N44" s="1"/>
      <x:c r="O44" s="1"/>
    </x:row>
    <x:row r="45">
      <x:c r="A45" s="1"/>
      <x:c r="B45" s="1"/>
      <x:c r="C45" s="1"/>
      <x:c r="D45" s="1"/>
      <x:c r="E45" s="1"/>
      <x:c r="F45" s="1"/>
      <x:c r="G45" s="1"/>
      <x:c r="H45" s="1"/>
      <x:c r="I45" s="1"/>
      <x:c r="J45" s="1"/>
      <x:c r="K45" s="1"/>
      <x:c r="L45" s="1"/>
      <x:c r="M45" s="1"/>
      <x:c r="N45" s="1"/>
      <x:c r="O45" s="1"/>
    </x:row>
    <x:row r="46">
      <x:c r="A46" s="1"/>
      <x:c r="B46" s="1"/>
      <x:c r="C46" s="1"/>
      <x:c r="D46" s="1"/>
      <x:c r="E46" s="1"/>
      <x:c r="F46" s="1"/>
      <x:c r="G46" s="1"/>
      <x:c r="H46" s="1"/>
      <x:c r="I46" s="1"/>
      <x:c r="J46" s="1"/>
      <x:c r="K46" s="1"/>
      <x:c r="L46" s="1"/>
      <x:c r="M46" s="1"/>
      <x:c r="N46" s="1"/>
      <x:c r="O46" s="1"/>
    </x:row>
    <x:row r="47">
      <x:c r="A47" s="1"/>
      <x:c r="B47" s="1"/>
      <x:c r="C47" s="1"/>
      <x:c r="D47" s="1"/>
      <x:c r="E47" s="1"/>
      <x:c r="F47" s="1"/>
      <x:c r="G47" s="1"/>
      <x:c r="H47" s="1"/>
      <x:c r="I47" s="1"/>
      <x:c r="J47" s="1"/>
      <x:c r="K47" s="1"/>
      <x:c r="L47" s="1"/>
      <x:c r="M47" s="1"/>
      <x:c r="N47" s="1"/>
      <x:c r="O47" s="1"/>
    </x:row>
    <x:row r="48">
      <x:c r="A48" s="1"/>
      <x:c r="B48" s="1"/>
      <x:c r="C48" s="1"/>
      <x:c r="D48" s="1"/>
      <x:c r="E48" s="1"/>
      <x:c r="F48" s="1"/>
      <x:c r="G48" s="1"/>
      <x:c r="H48" s="1"/>
      <x:c r="I48" s="1"/>
      <x:c r="J48" s="1"/>
      <x:c r="K48" s="1"/>
      <x:c r="L48" s="1"/>
      <x:c r="M48" s="1"/>
      <x:c r="N48" s="1"/>
      <x:c r="O48" s="1"/>
    </x:row>
    <x:row r="49">
      <x:c r="A49" s="1"/>
      <x:c r="B49" s="1"/>
      <x:c r="C49" s="1"/>
      <x:c r="D49" s="1"/>
      <x:c r="E49" s="1"/>
      <x:c r="F49" s="1"/>
      <x:c r="G49" s="1"/>
      <x:c r="H49" s="1"/>
      <x:c r="I49" s="1"/>
      <x:c r="J49" s="1"/>
      <x:c r="K49" s="1"/>
      <x:c r="L49" s="1"/>
      <x:c r="M49" s="1"/>
      <x:c r="N49" s="1"/>
      <x:c r="O49" s="1"/>
    </x:row>
    <x:row r="50">
      <x:c r="A50" s="1"/>
      <x:c r="B50" s="1"/>
      <x:c r="C50" s="1"/>
      <x:c r="D50" s="1"/>
      <x:c r="E50" s="1"/>
      <x:c r="F50" s="1"/>
      <x:c r="G50" s="1"/>
      <x:c r="H50" s="1"/>
      <x:c r="I50" s="1"/>
      <x:c r="J50" s="1"/>
      <x:c r="K50" s="1"/>
      <x:c r="L50" s="1"/>
      <x:c r="M50" s="1"/>
      <x:c r="N50" s="1"/>
      <x:c r="O50" s="1"/>
    </x:row>
    <x:row r="51">
      <x:c r="A51" s="1"/>
      <x:c r="B51" s="1"/>
      <x:c r="C51" s="1"/>
      <x:c r="D51" s="1"/>
      <x:c r="E51" s="1"/>
      <x:c r="F51" s="1"/>
      <x:c r="G51" s="1"/>
      <x:c r="H51" s="1"/>
      <x:c r="I51" s="1"/>
      <x:c r="J51" s="1"/>
      <x:c r="K51" s="1"/>
      <x:c r="L51" s="1"/>
      <x:c r="M51" s="1"/>
      <x:c r="N51" s="1"/>
      <x:c r="O51" s="1"/>
    </x:row>
    <x:row r="52">
      <x:c r="A52" s="1"/>
      <x:c r="B52" s="1"/>
      <x:c r="C52" s="1"/>
      <x:c r="D52" s="1"/>
      <x:c r="E52" s="1"/>
      <x:c r="F52" s="1"/>
      <x:c r="G52" s="1"/>
      <x:c r="H52" s="1"/>
      <x:c r="I52" s="1"/>
      <x:c r="J52" s="1"/>
      <x:c r="K52" s="1"/>
      <x:c r="L52" s="1"/>
      <x:c r="M52" s="1"/>
      <x:c r="N52" s="1"/>
      <x:c r="O52" s="1"/>
    </x:row>
    <x:row r="53">
      <x:c r="A53" s="1"/>
      <x:c r="B53" s="1"/>
      <x:c r="C53" s="1"/>
      <x:c r="D53" s="1"/>
      <x:c r="E53" s="1"/>
      <x:c r="F53" s="1"/>
      <x:c r="G53" s="1"/>
      <x:c r="H53" s="1"/>
      <x:c r="I53" s="1"/>
      <x:c r="J53" s="1"/>
      <x:c r="K53" s="1"/>
      <x:c r="L53" s="1"/>
      <x:c r="M53" s="1"/>
      <x:c r="N53" s="1"/>
      <x:c r="O53" s="1"/>
    </x:row>
    <x:row r="54">
      <x:c r="A54" s="1"/>
      <x:c r="B54" s="1"/>
      <x:c r="C54" s="1"/>
      <x:c r="D54" s="1"/>
      <x:c r="E54" s="1"/>
      <x:c r="F54" s="1"/>
      <x:c r="G54" s="1"/>
      <x:c r="H54" s="1"/>
      <x:c r="I54" s="1"/>
      <x:c r="J54" s="1"/>
      <x:c r="K54" s="1"/>
      <x:c r="L54" s="1"/>
      <x:c r="M54" s="1"/>
      <x:c r="N54" s="1"/>
      <x:c r="O54" s="1"/>
    </x:row>
    <x:row r="55">
      <x:c r="A55" s="1"/>
      <x:c r="B55" s="1"/>
      <x:c r="C55" s="1"/>
      <x:c r="D55" s="1"/>
      <x:c r="E55" s="1"/>
      <x:c r="F55" s="1"/>
      <x:c r="G55" s="1"/>
      <x:c r="H55" s="1"/>
      <x:c r="I55" s="1"/>
      <x:c r="J55" s="1"/>
      <x:c r="K55" s="1"/>
      <x:c r="L55" s="1"/>
      <x:c r="M55" s="1"/>
      <x:c r="N55" s="1"/>
      <x:c r="O55" s="1"/>
    </x:row>
    <x:row r="56">
      <x:c r="A56" s="1"/>
      <x:c r="B56" s="1"/>
      <x:c r="C56" s="1"/>
      <x:c r="D56" s="1"/>
      <x:c r="E56" s="1"/>
      <x:c r="F56" s="1"/>
      <x:c r="G56" s="1"/>
      <x:c r="H56" s="1"/>
      <x:c r="I56" s="1"/>
      <x:c r="J56" s="1"/>
      <x:c r="K56" s="1"/>
      <x:c r="L56" s="1"/>
      <x:c r="M56" s="1"/>
      <x:c r="N56" s="1"/>
      <x:c r="O56" s="1"/>
    </x:row>
    <x:row r="57">
      <x:c r="A57" s="1"/>
      <x:c r="B57" s="1"/>
      <x:c r="C57" s="1"/>
      <x:c r="D57" s="1"/>
      <x:c r="E57" s="1"/>
      <x:c r="F57" s="1"/>
      <x:c r="G57" s="1"/>
      <x:c r="H57" s="1"/>
      <x:c r="I57" s="1"/>
      <x:c r="J57" s="1"/>
      <x:c r="K57" s="1"/>
      <x:c r="L57" s="1"/>
      <x:c r="M57" s="1"/>
      <x:c r="N57" s="1"/>
      <x:c r="O57" s="1"/>
    </x:row>
    <x:row r="58">
      <x:c r="A58" s="1"/>
      <x:c r="B58" s="1"/>
      <x:c r="C58" s="1"/>
      <x:c r="D58" s="1"/>
      <x:c r="E58" s="1"/>
      <x:c r="F58" s="1"/>
      <x:c r="G58" s="1"/>
      <x:c r="H58" s="1"/>
      <x:c r="I58" s="1"/>
      <x:c r="J58" s="1"/>
      <x:c r="K58" s="1"/>
      <x:c r="L58" s="1"/>
      <x:c r="M58" s="1"/>
      <x:c r="N58" s="1"/>
      <x:c r="O58" s="1"/>
    </x:row>
    <x:row r="59">
      <x:c r="A59" s="1"/>
      <x:c r="B59" s="1"/>
      <x:c r="C59" s="1"/>
      <x:c r="D59" s="1"/>
      <x:c r="E59" s="1"/>
      <x:c r="F59" s="1"/>
      <x:c r="G59" s="1"/>
      <x:c r="H59" s="1"/>
      <x:c r="I59" s="1"/>
      <x:c r="J59" s="1"/>
      <x:c r="K59" s="1"/>
      <x:c r="L59" s="1"/>
      <x:c r="M59" s="1"/>
      <x:c r="N59" s="1"/>
      <x:c r="O59" s="1"/>
    </x:row>
    <x:row r="60">
      <x:c r="A60" s="1"/>
      <x:c r="B60" s="1"/>
      <x:c r="C60" s="1"/>
      <x:c r="D60" s="1"/>
      <x:c r="E60" s="1"/>
      <x:c r="F60" s="1"/>
      <x:c r="G60" s="1"/>
      <x:c r="H60" s="1"/>
      <x:c r="I60" s="1"/>
      <x:c r="J60" s="1"/>
      <x:c r="K60" s="1"/>
      <x:c r="L60" s="1"/>
      <x:c r="M60" s="1"/>
      <x:c r="N60" s="1"/>
      <x:c r="O60" s="1"/>
    </x:row>
    <x:row r="61">
      <x:c r="A61" s="1"/>
      <x:c r="B61" s="1"/>
      <x:c r="C61" s="1"/>
      <x:c r="D61" s="1"/>
      <x:c r="E61" s="1"/>
      <x:c r="F61" s="1"/>
      <x:c r="G61" s="1"/>
      <x:c r="H61" s="1"/>
      <x:c r="I61" s="1"/>
      <x:c r="J61" s="1"/>
      <x:c r="K61" s="1"/>
      <x:c r="L61" s="1"/>
      <x:c r="M61" s="1"/>
      <x:c r="N61" s="1"/>
      <x:c r="O61" s="1"/>
    </x:row>
    <x:row r="62">
      <x:c r="A62" s="1"/>
      <x:c r="B62" s="1"/>
      <x:c r="C62" s="1"/>
      <x:c r="D62" s="1"/>
      <x:c r="E62" s="1"/>
      <x:c r="F62" s="1"/>
      <x:c r="G62" s="1"/>
      <x:c r="H62" s="1"/>
      <x:c r="I62" s="1"/>
      <x:c r="J62" s="1"/>
      <x:c r="K62" s="1"/>
      <x:c r="L62" s="1"/>
      <x:c r="M62" s="1"/>
      <x:c r="N62" s="1"/>
      <x:c r="O62" s="1"/>
    </x:row>
    <x:row r="63">
      <x:c r="A63" s="1"/>
      <x:c r="B63" s="1"/>
      <x:c r="C63" s="1"/>
      <x:c r="D63" s="1"/>
      <x:c r="E63" s="1"/>
      <x:c r="F63" s="1"/>
      <x:c r="G63" s="1"/>
      <x:c r="H63" s="1"/>
      <x:c r="I63" s="1"/>
      <x:c r="J63" s="1"/>
      <x:c r="K63" s="1"/>
      <x:c r="L63" s="1"/>
      <x:c r="M63" s="1"/>
      <x:c r="N63" s="1"/>
      <x:c r="O63" s="1"/>
    </x:row>
    <x:row r="64">
      <x:c r="A64" s="1"/>
      <x:c r="B64" s="1"/>
      <x:c r="C64" s="1"/>
      <x:c r="D64" s="1"/>
      <x:c r="E64" s="1"/>
      <x:c r="F64" s="1"/>
      <x:c r="G64" s="1"/>
      <x:c r="H64" s="1"/>
      <x:c r="I64" s="1"/>
      <x:c r="J64" s="1"/>
      <x:c r="K64" s="1"/>
      <x:c r="L64" s="1"/>
      <x:c r="M64" s="1"/>
      <x:c r="N64" s="1"/>
      <x:c r="O64" s="1"/>
    </x:row>
    <x:row r="65">
      <x:c r="A65" s="1"/>
      <x:c r="B65" s="1"/>
      <x:c r="C65" s="1"/>
      <x:c r="D65" s="1"/>
      <x:c r="E65" s="1"/>
      <x:c r="F65" s="1"/>
      <x:c r="G65" s="1"/>
      <x:c r="H65" s="1"/>
      <x:c r="I65" s="1"/>
      <x:c r="J65" s="1"/>
      <x:c r="K65" s="1"/>
      <x:c r="L65" s="1"/>
      <x:c r="M65" s="1"/>
      <x:c r="N65" s="1"/>
      <x:c r="O65" s="1"/>
    </x:row>
  </x:sheetData>
  <x:mergeCells>
    <x:mergeCell ref="A1:O2"/>
    <x:mergeCell ref="A3:O3"/>
    <x:mergeCell ref="A5:O5"/>
    <x:mergeCell ref="E6:O6"/>
    <x:mergeCell ref="E7:O7"/>
    <x:mergeCell ref="E8:O8"/>
    <x:mergeCell ref="E9:O9"/>
    <x:mergeCell ref="E10:O10"/>
    <x:mergeCell ref="E11:O11"/>
    <x:mergeCell ref="A13:O14"/>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1" hidden="0" customWidth="1"/>
    <x:col min="2" max="2" width="22" hidden="0" customWidth="1"/>
    <x:col min="3" max="3" width="20" hidden="0" customWidth="1"/>
    <x:col min="4" max="4" width="12"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4" hidden="0" customWidth="1"/>
    <x:col min="14" max="14" width="18" hidden="0" customWidth="1"/>
    <x:col min="15" max="15" width="18" hidden="0" customWidth="1"/>
  </x:cols>
  <x:sheetData>
    <x:row r="1">
      <x:c r="A1" s="5" t="str">
        <x:v>Tool efficiency | D6_6c-H06</x:v>
      </x:c>
      <x:c r="B1" s="5"/>
      <x:c r="C1" s="5"/>
      <x:c r="D1" s="5"/>
      <x:c r="E1" s="5"/>
      <x:c r="F1" s="5"/>
      <x:c r="G1" s="5"/>
      <x:c r="H1" s="5"/>
      <x:c r="I1" s="5"/>
      <x:c r="J1" s="5"/>
      <x:c r="K1" s="5"/>
      <x:c r="L1" s="5"/>
      <x:c r="M1" s="5"/>
      <x:c r="N1" s="5"/>
      <x:c r="O1" s="5"/>
    </x:row>
    <x:row r="2">
      <x:c r="A2" s="5"/>
      <x:c r="B2" s="5"/>
      <x:c r="C2" s="5"/>
      <x:c r="D2" s="5"/>
      <x:c r="E2" s="5"/>
      <x:c r="F2" s="5"/>
      <x:c r="G2" s="5"/>
      <x:c r="H2" s="5"/>
      <x:c r="I2" s="5"/>
      <x:c r="J2" s="5"/>
      <x:c r="K2" s="5"/>
      <x:c r="L2" s="5"/>
      <x:c r="M2" s="5"/>
      <x:c r="N2" s="5"/>
      <x:c r="O2" s="5"/>
    </x:row>
    <x:row r="3">
      <x:c r="A3" s="8" t="str">
        <x:v>Reference path for mandatory parallel multi-call simulation</x:v>
      </x:c>
      <x:c r="B3" s="8"/>
      <x:c r="C3" s="8"/>
      <x:c r="D3" s="8"/>
      <x:c r="E3" s="8"/>
      <x:c r="F3" s="8"/>
      <x:c r="G3" s="8"/>
      <x:c r="H3" s="8"/>
      <x:c r="I3" s="8"/>
      <x:c r="J3" s="8"/>
      <x:c r="K3" s="8"/>
      <x:c r="L3" s="8"/>
      <x:c r="M3" s="8"/>
      <x:c r="N3" s="8"/>
      <x:c r="O3" s="8"/>
    </x:row>
    <x:row r="4">
      <x:c r="A4" s="1"/>
      <x:c r="B4" s="1"/>
      <x:c r="C4" s="1"/>
      <x:c r="D4" s="1"/>
      <x:c r="E4" s="1"/>
      <x:c r="F4" s="1"/>
      <x:c r="G4" s="1"/>
      <x:c r="H4" s="1"/>
      <x:c r="I4" s="1"/>
      <x:c r="J4" s="1"/>
      <x:c r="K4" s="1"/>
      <x:c r="L4" s="1"/>
      <x:c r="M4" s="1"/>
      <x:c r="N4" s="1"/>
      <x:c r="O4" s="1"/>
    </x:row>
    <x:row r="5">
      <x:c r="A5" s="11" t="str">
        <x:v>Preferred trajectory</x:v>
      </x:c>
      <x:c r="B5" s="11" t="str">
        <x:v>Preferred trajectory</x:v>
      </x:c>
      <x:c r="C5" s="11" t="str">
        <x:v>Preferred trajectory</x:v>
      </x:c>
      <x:c r="D5" s="11" t="str">
        <x:v>Preferred trajectory</x:v>
      </x:c>
      <x:c r="E5" s="11" t="str">
        <x:v>Preferred trajectory</x:v>
      </x:c>
      <x:c r="F5" s="11" t="str">
        <x:v>Preferred trajectory</x:v>
      </x:c>
      <x:c r="G5" s="11" t="str">
        <x:v>Preferred trajectory</x:v>
      </x:c>
      <x:c r="H5" s="11" t="str">
        <x:v>Preferred trajectory</x:v>
      </x:c>
      <x:c r="I5" s="11" t="str">
        <x:v>Preferred trajectory</x:v>
      </x:c>
      <x:c r="J5" s="11" t="str">
        <x:v>Preferred trajectory</x:v>
      </x:c>
      <x:c r="K5" s="11" t="str">
        <x:v>Preferred trajectory</x:v>
      </x:c>
      <x:c r="L5" s="11" t="str">
        <x:v>Preferred trajectory</x:v>
      </x:c>
      <x:c r="M5" s="11" t="str">
        <x:v>Preferred trajectory</x:v>
      </x:c>
      <x:c r="N5" s="11" t="str">
        <x:v>Preferred trajectory</x:v>
      </x:c>
      <x:c r="O5" s="11" t="str">
        <x:v>Preferred trajectory</x:v>
      </x:c>
    </x:row>
    <x:row r="6">
      <x:c r="A6" s="44" t="str">
        <x:v>Step</x:v>
      </x:c>
      <x:c r="B6" s="44" t="str">
        <x:v>Branch</x:v>
      </x:c>
      <x:c r="C6" s="44" t="str">
        <x:v>Action</x:v>
      </x:c>
      <x:c r="D6" s="44" t="str">
        <x:v>Calls</x:v>
      </x:c>
      <x:c r="E6" s="44" t="str">
        <x:v>Efficiency reason</x:v>
      </x:c>
      <x:c r="F6" s="44" t="str">
        <x:v>Failure mode</x:v>
      </x:c>
      <x:c r="G6" s="44" t="str"/>
      <x:c r="H6" s="44" t="str"/>
      <x:c r="I6" s="44" t="str"/>
      <x:c r="J6" s="44" t="str"/>
      <x:c r="K6" s="44" t="str"/>
      <x:c r="L6" s="44" t="str"/>
      <x:c r="M6" s="44" t="str"/>
      <x:c r="N6" s="44" t="str"/>
      <x:c r="O6" s="44" t="str"/>
    </x:row>
    <x:row r="7" ht="48" customHeight="1">
      <x:c r="A7" s="48" t="n">
        <x:v>1</x:v>
      </x:c>
      <x:c r="B7" s="48" t="str">
        <x:v>Shared</x:v>
      </x:c>
      <x:c r="C7" s="48" t="str">
        <x:v>Create and lock 15 candidate-state input rows.</x:v>
      </x:c>
      <x:c r="D7" s="48" t="n">
        <x:v>0</x:v>
      </x:c>
      <x:c r="E7" s="48" t="str">
        <x:v>Prevents drift between simulator branches.</x:v>
      </x:c>
      <x:c r="F7" s="48" t="str">
        <x:v>Changing a package after one branch runs.</x:v>
      </x:c>
      <x:c r="G7" s="48" t="str"/>
      <x:c r="H7" s="48" t="str"/>
      <x:c r="I7" s="48" t="str"/>
      <x:c r="J7" s="48" t="str"/>
      <x:c r="K7" s="48" t="str"/>
      <x:c r="L7" s="48" t="str"/>
      <x:c r="M7" s="48" t="str"/>
      <x:c r="N7" s="48" t="str"/>
      <x:c r="O7" s="48" t="str"/>
    </x:row>
    <x:row r="8" ht="48" customHeight="1">
      <x:c r="A8" s="48" t="n">
        <x:v>2</x:v>
      </x:c>
      <x:c r="B8" s="48" t="str">
        <x:v>A</x:v>
      </x:c>
      <x:c r="C8" s="48" t="str">
        <x:v>Dispatch 15 independent simulate_ro calls and retain IDs.</x:v>
      </x:c>
      <x:c r="D8" s="48" t="n">
        <x:v>15</x:v>
      </x:c>
      <x:c r="E8" s="48" t="str">
        <x:v>No artificial serial dependency.</x:v>
      </x:c>
      <x:c r="F8" s="48" t="str">
        <x:v>Using one representative state for all rows.</x:v>
      </x:c>
      <x:c r="G8" s="48" t="str"/>
      <x:c r="H8" s="48" t="str"/>
      <x:c r="I8" s="48" t="str"/>
      <x:c r="J8" s="48" t="str"/>
      <x:c r="K8" s="48" t="str"/>
      <x:c r="L8" s="48" t="str"/>
      <x:c r="M8" s="48" t="str"/>
      <x:c r="N8" s="48" t="str"/>
      <x:c r="O8" s="48" t="str"/>
    </x:row>
    <x:row r="9" ht="48" customHeight="1">
      <x:c r="A9" s="48" t="n">
        <x:v>3</x:v>
      </x:c>
      <x:c r="B9" s="48" t="str">
        <x:v>B</x:v>
      </x:c>
      <x:c r="C9" s="48" t="str">
        <x:v>Dispatch 15 independent simulate_swro_system calls with the same IDs.</x:v>
      </x:c>
      <x:c r="D9" s="48" t="n">
        <x:v>15</x:v>
      </x:c>
      <x:c r="E9" s="48" t="str">
        <x:v>Energy and cost come from the whole-plant model.</x:v>
      </x:c>
      <x:c r="F9" s="48" t="str">
        <x:v>Inferring SEC or LCOW from membrane flux.</x:v>
      </x:c>
      <x:c r="G9" s="48" t="str"/>
      <x:c r="H9" s="48" t="str"/>
      <x:c r="I9" s="48" t="str"/>
      <x:c r="J9" s="48" t="str"/>
      <x:c r="K9" s="48" t="str"/>
      <x:c r="L9" s="48" t="str"/>
      <x:c r="M9" s="48" t="str"/>
      <x:c r="N9" s="48" t="str"/>
      <x:c r="O9" s="48" t="str"/>
    </x:row>
    <x:row r="10" ht="48" customHeight="1">
      <x:c r="A10" s="48" t="n">
        <x:v>4</x:v>
      </x:c>
      <x:c r="B10" s="48" t="str">
        <x:v>Join</x:v>
      </x:c>
      <x:c r="C10" s="48" t="str">
        <x:v>Join only after both branches finish; calculate margins and worst cases.</x:v>
      </x:c>
      <x:c r="D10" s="48" t="n">
        <x:v>0</x:v>
      </x:c>
      <x:c r="E10" s="48" t="str">
        <x:v>Preserves package lineage and robustness.</x:v>
      </x:c>
      <x:c r="F10" s="48" t="str">
        <x:v>Mixing states or averaging away failures.</x:v>
      </x:c>
      <x:c r="G10" s="48" t="str"/>
      <x:c r="H10" s="48" t="str"/>
      <x:c r="I10" s="48" t="str"/>
      <x:c r="J10" s="48" t="str"/>
      <x:c r="K10" s="48" t="str"/>
      <x:c r="L10" s="48" t="str"/>
      <x:c r="M10" s="48" t="str"/>
      <x:c r="N10" s="48" t="str"/>
      <x:c r="O10" s="48" t="str"/>
    </x:row>
    <x:row r="11" ht="48" customHeight="1">
      <x:c r="A11" s="48" t="n">
        <x:v>5</x:v>
      </x:c>
      <x:c r="B11" s="48" t="str">
        <x:v>Decision</x:v>
      </x:c>
      <x:c r="C11" s="48" t="str">
        <x:v>Filter infeasible strategies, calculate the required weighted metric and explain rejections.</x:v>
      </x:c>
      <x:c r="D11" s="48" t="n">
        <x:v>0</x:v>
      </x:c>
      <x:c r="E11" s="48" t="str">
        <x:v>Produces an auditable recommendation.</x:v>
      </x:c>
      <x:c r="F11" s="48" t="str">
        <x:v>Ranking before applying hard constraints.</x:v>
      </x:c>
      <x:c r="G11" s="48" t="str"/>
      <x:c r="H11" s="48" t="str"/>
      <x:c r="I11" s="48" t="str"/>
      <x:c r="J11" s="48" t="str"/>
      <x:c r="K11" s="48" t="str"/>
      <x:c r="L11" s="48" t="str"/>
      <x:c r="M11" s="48" t="str"/>
      <x:c r="N11" s="48" t="str"/>
      <x:c r="O11" s="48" t="str"/>
    </x:row>
    <x:row r="12">
      <x:c r="A12" s="1"/>
      <x:c r="B12" s="1"/>
      <x:c r="C12" s="1"/>
      <x:c r="D12" s="1"/>
      <x:c r="E12" s="1"/>
      <x:c r="F12" s="1"/>
      <x:c r="G12" s="1"/>
      <x:c r="H12" s="1"/>
      <x:c r="I12" s="1"/>
      <x:c r="J12" s="1"/>
      <x:c r="K12" s="1"/>
      <x:c r="L12" s="1"/>
      <x:c r="M12" s="1"/>
      <x:c r="N12" s="1"/>
      <x:c r="O12" s="1"/>
    </x:row>
    <x:row r="13">
      <x:c r="A13" s="11" t="str">
        <x:v>Call budget and prohibition</x:v>
      </x:c>
      <x:c r="B13" s="11" t="str">
        <x:v>Call budget and prohibition</x:v>
      </x:c>
      <x:c r="C13" s="11" t="str">
        <x:v>Call budget and prohibition</x:v>
      </x:c>
      <x:c r="D13" s="11" t="str">
        <x:v>Call budget and prohibition</x:v>
      </x:c>
      <x:c r="E13" s="11" t="str">
        <x:v>Call budget and prohibition</x:v>
      </x:c>
      <x:c r="F13" s="11" t="str">
        <x:v>Call budget and prohibition</x:v>
      </x:c>
      <x:c r="G13" s="11" t="str">
        <x:v>Call budget and prohibition</x:v>
      </x:c>
      <x:c r="H13" s="11" t="str">
        <x:v>Call budget and prohibition</x:v>
      </x:c>
      <x:c r="I13" s="11" t="str">
        <x:v>Call budget and prohibition</x:v>
      </x:c>
      <x:c r="J13" s="11" t="str">
        <x:v>Call budget and prohibition</x:v>
      </x:c>
      <x:c r="K13" s="11" t="str">
        <x:v>Call budget and prohibition</x:v>
      </x:c>
      <x:c r="L13" s="11" t="str">
        <x:v>Call budget and prohibition</x:v>
      </x:c>
      <x:c r="M13" s="11" t="str">
        <x:v>Call budget and prohibition</x:v>
      </x:c>
      <x:c r="N13" s="11" t="str">
        <x:v>Call budget and prohibition</x:v>
      </x:c>
      <x:c r="O13" s="11" t="str">
        <x:v>Call budget and prohibition</x:v>
      </x:c>
    </x:row>
    <x:row r="14">
      <x:c r="A14" s="137" t="str">
        <x:v>Formal budget: 15 simulate_ro + 15 simulate_swro_system = 30 required calls per benchmark. The two 15-call batches may run concurrently. No call may be skipped merely because another state looks similar; equilibrate_feed is unnecessary because these tasks contain no mineral-speciation constraint.</x:v>
      </x:c>
      <x:c r="B14" s="138"/>
      <x:c r="C14" s="138"/>
      <x:c r="D14" s="138"/>
      <x:c r="E14" s="138"/>
      <x:c r="F14" s="138"/>
      <x:c r="G14" s="138"/>
      <x:c r="H14" s="138"/>
      <x:c r="I14" s="138"/>
      <x:c r="J14" s="138"/>
      <x:c r="K14" s="138"/>
      <x:c r="L14" s="138"/>
      <x:c r="M14" s="138"/>
      <x:c r="N14" s="138"/>
      <x:c r="O14" s="139"/>
    </x:row>
    <x:row r="15">
      <x:c r="A15" s="140"/>
      <x:c r="B15" s="141"/>
      <x:c r="C15" s="141"/>
      <x:c r="D15" s="141"/>
      <x:c r="E15" s="141"/>
      <x:c r="F15" s="141"/>
      <x:c r="G15" s="141"/>
      <x:c r="H15" s="141"/>
      <x:c r="I15" s="141"/>
      <x:c r="J15" s="141"/>
      <x:c r="K15" s="141"/>
      <x:c r="L15" s="141"/>
      <x:c r="M15" s="141"/>
      <x:c r="N15" s="141"/>
      <x:c r="O15" s="142"/>
    </x:row>
    <x:row r="16">
      <x:c r="A16" s="140"/>
      <x:c r="B16" s="141"/>
      <x:c r="C16" s="141"/>
      <x:c r="D16" s="141"/>
      <x:c r="E16" s="141"/>
      <x:c r="F16" s="141"/>
      <x:c r="G16" s="141"/>
      <x:c r="H16" s="141"/>
      <x:c r="I16" s="141"/>
      <x:c r="J16" s="141"/>
      <x:c r="K16" s="141"/>
      <x:c r="L16" s="141"/>
      <x:c r="M16" s="141"/>
      <x:c r="N16" s="141"/>
      <x:c r="O16" s="142"/>
    </x:row>
    <x:row r="17">
      <x:c r="A17" s="143"/>
      <x:c r="B17" s="144"/>
      <x:c r="C17" s="144"/>
      <x:c r="D17" s="144"/>
      <x:c r="E17" s="144"/>
      <x:c r="F17" s="144"/>
      <x:c r="G17" s="144"/>
      <x:c r="H17" s="144"/>
      <x:c r="I17" s="144"/>
      <x:c r="J17" s="144"/>
      <x:c r="K17" s="144"/>
      <x:c r="L17" s="144"/>
      <x:c r="M17" s="144"/>
      <x:c r="N17" s="144"/>
      <x:c r="O17" s="145"/>
    </x:row>
    <x:row r="18">
      <x:c r="A18" s="1"/>
      <x:c r="B18" s="1"/>
      <x:c r="C18" s="1"/>
      <x:c r="D18" s="1"/>
      <x:c r="E18" s="1"/>
      <x:c r="F18" s="1"/>
      <x:c r="G18" s="1"/>
      <x:c r="H18" s="1"/>
      <x:c r="I18" s="1"/>
      <x:c r="J18" s="1"/>
      <x:c r="K18" s="1"/>
      <x:c r="L18" s="1"/>
      <x:c r="M18" s="1"/>
      <x:c r="N18" s="1"/>
      <x:c r="O18" s="1"/>
    </x:row>
    <x:row r="19">
      <x:c r="A19" s="1"/>
      <x:c r="B19" s="1"/>
      <x:c r="C19" s="1"/>
      <x:c r="D19" s="1"/>
      <x:c r="E19" s="1"/>
      <x:c r="F19" s="1"/>
      <x:c r="G19" s="1"/>
      <x:c r="H19" s="1"/>
      <x:c r="I19" s="1"/>
      <x:c r="J19" s="1"/>
      <x:c r="K19" s="1"/>
      <x:c r="L19" s="1"/>
      <x:c r="M19" s="1"/>
      <x:c r="N19" s="1"/>
      <x:c r="O19" s="1"/>
    </x:row>
    <x:row r="20">
      <x:c r="A20" s="1"/>
      <x:c r="B20" s="1"/>
      <x:c r="C20" s="1"/>
      <x:c r="D20" s="1"/>
      <x:c r="E20" s="1"/>
      <x:c r="F20" s="1"/>
      <x:c r="G20" s="1"/>
      <x:c r="H20" s="1"/>
      <x:c r="I20" s="1"/>
      <x:c r="J20" s="1"/>
      <x:c r="K20" s="1"/>
      <x:c r="L20" s="1"/>
      <x:c r="M20" s="1"/>
      <x:c r="N20" s="1"/>
      <x:c r="O20" s="1"/>
    </x:row>
    <x:row r="21">
      <x:c r="A21" s="1"/>
      <x:c r="B21" s="1"/>
      <x:c r="C21" s="1"/>
      <x:c r="D21" s="1"/>
      <x:c r="E21" s="1"/>
      <x:c r="F21" s="1"/>
      <x:c r="G21" s="1"/>
      <x:c r="H21" s="1"/>
      <x:c r="I21" s="1"/>
      <x:c r="J21" s="1"/>
      <x:c r="K21" s="1"/>
      <x:c r="L21" s="1"/>
      <x:c r="M21" s="1"/>
      <x:c r="N21" s="1"/>
      <x:c r="O21" s="1"/>
    </x:row>
    <x:row r="22">
      <x:c r="A22" s="1"/>
      <x:c r="B22" s="1"/>
      <x:c r="C22" s="1"/>
      <x:c r="D22" s="1"/>
      <x:c r="E22" s="1"/>
      <x:c r="F22" s="1"/>
      <x:c r="G22" s="1"/>
      <x:c r="H22" s="1"/>
      <x:c r="I22" s="1"/>
      <x:c r="J22" s="1"/>
      <x:c r="K22" s="1"/>
      <x:c r="L22" s="1"/>
      <x:c r="M22" s="1"/>
      <x:c r="N22" s="1"/>
      <x:c r="O22" s="1"/>
    </x:row>
    <x:row r="23">
      <x:c r="A23" s="1"/>
      <x:c r="B23" s="1"/>
      <x:c r="C23" s="1"/>
      <x:c r="D23" s="1"/>
      <x:c r="E23" s="1"/>
      <x:c r="F23" s="1"/>
      <x:c r="G23" s="1"/>
      <x:c r="H23" s="1"/>
      <x:c r="I23" s="1"/>
      <x:c r="J23" s="1"/>
      <x:c r="K23" s="1"/>
      <x:c r="L23" s="1"/>
      <x:c r="M23" s="1"/>
      <x:c r="N23" s="1"/>
      <x:c r="O23" s="1"/>
    </x:row>
    <x:row r="24">
      <x:c r="A24" s="1"/>
      <x:c r="B24" s="1"/>
      <x:c r="C24" s="1"/>
      <x:c r="D24" s="1"/>
      <x:c r="E24" s="1"/>
      <x:c r="F24" s="1"/>
      <x:c r="G24" s="1"/>
      <x:c r="H24" s="1"/>
      <x:c r="I24" s="1"/>
      <x:c r="J24" s="1"/>
      <x:c r="K24" s="1"/>
      <x:c r="L24" s="1"/>
      <x:c r="M24" s="1"/>
      <x:c r="N24" s="1"/>
      <x:c r="O24" s="1"/>
    </x:row>
    <x:row r="25">
      <x:c r="A25" s="1"/>
      <x:c r="B25" s="1"/>
      <x:c r="C25" s="1"/>
      <x:c r="D25" s="1"/>
      <x:c r="E25" s="1"/>
      <x:c r="F25" s="1"/>
      <x:c r="G25" s="1"/>
      <x:c r="H25" s="1"/>
      <x:c r="I25" s="1"/>
      <x:c r="J25" s="1"/>
      <x:c r="K25" s="1"/>
      <x:c r="L25" s="1"/>
      <x:c r="M25" s="1"/>
      <x:c r="N25" s="1"/>
      <x:c r="O25" s="1"/>
    </x:row>
    <x:row r="26">
      <x:c r="A26" s="1"/>
      <x:c r="B26" s="1"/>
      <x:c r="C26" s="1"/>
      <x:c r="D26" s="1"/>
      <x:c r="E26" s="1"/>
      <x:c r="F26" s="1"/>
      <x:c r="G26" s="1"/>
      <x:c r="H26" s="1"/>
      <x:c r="I26" s="1"/>
      <x:c r="J26" s="1"/>
      <x:c r="K26" s="1"/>
      <x:c r="L26" s="1"/>
      <x:c r="M26" s="1"/>
      <x:c r="N26" s="1"/>
      <x:c r="O26" s="1"/>
    </x:row>
    <x:row r="27">
      <x:c r="A27" s="1"/>
      <x:c r="B27" s="1"/>
      <x:c r="C27" s="1"/>
      <x:c r="D27" s="1"/>
      <x:c r="E27" s="1"/>
      <x:c r="F27" s="1"/>
      <x:c r="G27" s="1"/>
      <x:c r="H27" s="1"/>
      <x:c r="I27" s="1"/>
      <x:c r="J27" s="1"/>
      <x:c r="K27" s="1"/>
      <x:c r="L27" s="1"/>
      <x:c r="M27" s="1"/>
      <x:c r="N27" s="1"/>
      <x:c r="O27" s="1"/>
    </x:row>
    <x:row r="28">
      <x:c r="A28" s="1"/>
      <x:c r="B28" s="1"/>
      <x:c r="C28" s="1"/>
      <x:c r="D28" s="1"/>
      <x:c r="E28" s="1"/>
      <x:c r="F28" s="1"/>
      <x:c r="G28" s="1"/>
      <x:c r="H28" s="1"/>
      <x:c r="I28" s="1"/>
      <x:c r="J28" s="1"/>
      <x:c r="K28" s="1"/>
      <x:c r="L28" s="1"/>
      <x:c r="M28" s="1"/>
      <x:c r="N28" s="1"/>
      <x:c r="O28" s="1"/>
    </x:row>
    <x:row r="29">
      <x:c r="A29" s="1"/>
      <x:c r="B29" s="1"/>
      <x:c r="C29" s="1"/>
      <x:c r="D29" s="1"/>
      <x:c r="E29" s="1"/>
      <x:c r="F29" s="1"/>
      <x:c r="G29" s="1"/>
      <x:c r="H29" s="1"/>
      <x:c r="I29" s="1"/>
      <x:c r="J29" s="1"/>
      <x:c r="K29" s="1"/>
      <x:c r="L29" s="1"/>
      <x:c r="M29" s="1"/>
      <x:c r="N29" s="1"/>
      <x:c r="O29" s="1"/>
    </x:row>
    <x:row r="30">
      <x:c r="A30" s="1"/>
      <x:c r="B30" s="1"/>
      <x:c r="C30" s="1"/>
      <x:c r="D30" s="1"/>
      <x:c r="E30" s="1"/>
      <x:c r="F30" s="1"/>
      <x:c r="G30" s="1"/>
      <x:c r="H30" s="1"/>
      <x:c r="I30" s="1"/>
      <x:c r="J30" s="1"/>
      <x:c r="K30" s="1"/>
      <x:c r="L30" s="1"/>
      <x:c r="M30" s="1"/>
      <x:c r="N30" s="1"/>
      <x:c r="O30" s="1"/>
    </x:row>
    <x:row r="31">
      <x:c r="A31" s="1"/>
      <x:c r="B31" s="1"/>
      <x:c r="C31" s="1"/>
      <x:c r="D31" s="1"/>
      <x:c r="E31" s="1"/>
      <x:c r="F31" s="1"/>
      <x:c r="G31" s="1"/>
      <x:c r="H31" s="1"/>
      <x:c r="I31" s="1"/>
      <x:c r="J31" s="1"/>
      <x:c r="K31" s="1"/>
      <x:c r="L31" s="1"/>
      <x:c r="M31" s="1"/>
      <x:c r="N31" s="1"/>
      <x:c r="O31" s="1"/>
    </x:row>
    <x:row r="32">
      <x:c r="A32" s="1"/>
      <x:c r="B32" s="1"/>
      <x:c r="C32" s="1"/>
      <x:c r="D32" s="1"/>
      <x:c r="E32" s="1"/>
      <x:c r="F32" s="1"/>
      <x:c r="G32" s="1"/>
      <x:c r="H32" s="1"/>
      <x:c r="I32" s="1"/>
      <x:c r="J32" s="1"/>
      <x:c r="K32" s="1"/>
      <x:c r="L32" s="1"/>
      <x:c r="M32" s="1"/>
      <x:c r="N32" s="1"/>
      <x:c r="O32" s="1"/>
    </x:row>
    <x:row r="33">
      <x:c r="A33" s="1"/>
      <x:c r="B33" s="1"/>
      <x:c r="C33" s="1"/>
      <x:c r="D33" s="1"/>
      <x:c r="E33" s="1"/>
      <x:c r="F33" s="1"/>
      <x:c r="G33" s="1"/>
      <x:c r="H33" s="1"/>
      <x:c r="I33" s="1"/>
      <x:c r="J33" s="1"/>
      <x:c r="K33" s="1"/>
      <x:c r="L33" s="1"/>
      <x:c r="M33" s="1"/>
      <x:c r="N33" s="1"/>
      <x:c r="O33" s="1"/>
    </x:row>
    <x:row r="34">
      <x:c r="A34" s="1"/>
      <x:c r="B34" s="1"/>
      <x:c r="C34" s="1"/>
      <x:c r="D34" s="1"/>
      <x:c r="E34" s="1"/>
      <x:c r="F34" s="1"/>
      <x:c r="G34" s="1"/>
      <x:c r="H34" s="1"/>
      <x:c r="I34" s="1"/>
      <x:c r="J34" s="1"/>
      <x:c r="K34" s="1"/>
      <x:c r="L34" s="1"/>
      <x:c r="M34" s="1"/>
      <x:c r="N34" s="1"/>
      <x:c r="O34" s="1"/>
    </x:row>
    <x:row r="35">
      <x:c r="A35" s="1"/>
      <x:c r="B35" s="1"/>
      <x:c r="C35" s="1"/>
      <x:c r="D35" s="1"/>
      <x:c r="E35" s="1"/>
      <x:c r="F35" s="1"/>
      <x:c r="G35" s="1"/>
      <x:c r="H35" s="1"/>
      <x:c r="I35" s="1"/>
      <x:c r="J35" s="1"/>
      <x:c r="K35" s="1"/>
      <x:c r="L35" s="1"/>
      <x:c r="M35" s="1"/>
      <x:c r="N35" s="1"/>
      <x:c r="O35" s="1"/>
    </x:row>
    <x:row r="36">
      <x:c r="A36" s="1"/>
      <x:c r="B36" s="1"/>
      <x:c r="C36" s="1"/>
      <x:c r="D36" s="1"/>
      <x:c r="E36" s="1"/>
      <x:c r="F36" s="1"/>
      <x:c r="G36" s="1"/>
      <x:c r="H36" s="1"/>
      <x:c r="I36" s="1"/>
      <x:c r="J36" s="1"/>
      <x:c r="K36" s="1"/>
      <x:c r="L36" s="1"/>
      <x:c r="M36" s="1"/>
      <x:c r="N36" s="1"/>
      <x:c r="O36" s="1"/>
    </x:row>
    <x:row r="37">
      <x:c r="A37" s="1"/>
      <x:c r="B37" s="1"/>
      <x:c r="C37" s="1"/>
      <x:c r="D37" s="1"/>
      <x:c r="E37" s="1"/>
      <x:c r="F37" s="1"/>
      <x:c r="G37" s="1"/>
      <x:c r="H37" s="1"/>
      <x:c r="I37" s="1"/>
      <x:c r="J37" s="1"/>
      <x:c r="K37" s="1"/>
      <x:c r="L37" s="1"/>
      <x:c r="M37" s="1"/>
      <x:c r="N37" s="1"/>
      <x:c r="O37" s="1"/>
    </x:row>
    <x:row r="38">
      <x:c r="A38" s="1"/>
      <x:c r="B38" s="1"/>
      <x:c r="C38" s="1"/>
      <x:c r="D38" s="1"/>
      <x:c r="E38" s="1"/>
      <x:c r="F38" s="1"/>
      <x:c r="G38" s="1"/>
      <x:c r="H38" s="1"/>
      <x:c r="I38" s="1"/>
      <x:c r="J38" s="1"/>
      <x:c r="K38" s="1"/>
      <x:c r="L38" s="1"/>
      <x:c r="M38" s="1"/>
      <x:c r="N38" s="1"/>
      <x:c r="O38" s="1"/>
    </x:row>
    <x:row r="39">
      <x:c r="A39" s="1"/>
      <x:c r="B39" s="1"/>
      <x:c r="C39" s="1"/>
      <x:c r="D39" s="1"/>
      <x:c r="E39" s="1"/>
      <x:c r="F39" s="1"/>
      <x:c r="G39" s="1"/>
      <x:c r="H39" s="1"/>
      <x:c r="I39" s="1"/>
      <x:c r="J39" s="1"/>
      <x:c r="K39" s="1"/>
      <x:c r="L39" s="1"/>
      <x:c r="M39" s="1"/>
      <x:c r="N39" s="1"/>
      <x:c r="O39" s="1"/>
    </x:row>
    <x:row r="40">
      <x:c r="A40" s="1"/>
      <x:c r="B40" s="1"/>
      <x:c r="C40" s="1"/>
      <x:c r="D40" s="1"/>
      <x:c r="E40" s="1"/>
      <x:c r="F40" s="1"/>
      <x:c r="G40" s="1"/>
      <x:c r="H40" s="1"/>
      <x:c r="I40" s="1"/>
      <x:c r="J40" s="1"/>
      <x:c r="K40" s="1"/>
      <x:c r="L40" s="1"/>
      <x:c r="M40" s="1"/>
      <x:c r="N40" s="1"/>
      <x:c r="O40" s="1"/>
    </x:row>
    <x:row r="41">
      <x:c r="A41" s="1"/>
      <x:c r="B41" s="1"/>
      <x:c r="C41" s="1"/>
      <x:c r="D41" s="1"/>
      <x:c r="E41" s="1"/>
      <x:c r="F41" s="1"/>
      <x:c r="G41" s="1"/>
      <x:c r="H41" s="1"/>
      <x:c r="I41" s="1"/>
      <x:c r="J41" s="1"/>
      <x:c r="K41" s="1"/>
      <x:c r="L41" s="1"/>
      <x:c r="M41" s="1"/>
      <x:c r="N41" s="1"/>
      <x:c r="O41" s="1"/>
    </x:row>
    <x:row r="42">
      <x:c r="A42" s="1"/>
      <x:c r="B42" s="1"/>
      <x:c r="C42" s="1"/>
      <x:c r="D42" s="1"/>
      <x:c r="E42" s="1"/>
      <x:c r="F42" s="1"/>
      <x:c r="G42" s="1"/>
      <x:c r="H42" s="1"/>
      <x:c r="I42" s="1"/>
      <x:c r="J42" s="1"/>
      <x:c r="K42" s="1"/>
      <x:c r="L42" s="1"/>
      <x:c r="M42" s="1"/>
      <x:c r="N42" s="1"/>
      <x:c r="O42" s="1"/>
    </x:row>
    <x:row r="43">
      <x:c r="A43" s="1"/>
      <x:c r="B43" s="1"/>
      <x:c r="C43" s="1"/>
      <x:c r="D43" s="1"/>
      <x:c r="E43" s="1"/>
      <x:c r="F43" s="1"/>
      <x:c r="G43" s="1"/>
      <x:c r="H43" s="1"/>
      <x:c r="I43" s="1"/>
      <x:c r="J43" s="1"/>
      <x:c r="K43" s="1"/>
      <x:c r="L43" s="1"/>
      <x:c r="M43" s="1"/>
      <x:c r="N43" s="1"/>
      <x:c r="O43" s="1"/>
    </x:row>
    <x:row r="44">
      <x:c r="A44" s="1"/>
      <x:c r="B44" s="1"/>
      <x:c r="C44" s="1"/>
      <x:c r="D44" s="1"/>
      <x:c r="E44" s="1"/>
      <x:c r="F44" s="1"/>
      <x:c r="G44" s="1"/>
      <x:c r="H44" s="1"/>
      <x:c r="I44" s="1"/>
      <x:c r="J44" s="1"/>
      <x:c r="K44" s="1"/>
      <x:c r="L44" s="1"/>
      <x:c r="M44" s="1"/>
      <x:c r="N44" s="1"/>
      <x:c r="O44" s="1"/>
    </x:row>
    <x:row r="45">
      <x:c r="A45" s="1"/>
      <x:c r="B45" s="1"/>
      <x:c r="C45" s="1"/>
      <x:c r="D45" s="1"/>
      <x:c r="E45" s="1"/>
      <x:c r="F45" s="1"/>
      <x:c r="G45" s="1"/>
      <x:c r="H45" s="1"/>
      <x:c r="I45" s="1"/>
      <x:c r="J45" s="1"/>
      <x:c r="K45" s="1"/>
      <x:c r="L45" s="1"/>
      <x:c r="M45" s="1"/>
      <x:c r="N45" s="1"/>
      <x:c r="O45" s="1"/>
    </x:row>
    <x:row r="46">
      <x:c r="A46" s="1"/>
      <x:c r="B46" s="1"/>
      <x:c r="C46" s="1"/>
      <x:c r="D46" s="1"/>
      <x:c r="E46" s="1"/>
      <x:c r="F46" s="1"/>
      <x:c r="G46" s="1"/>
      <x:c r="H46" s="1"/>
      <x:c r="I46" s="1"/>
      <x:c r="J46" s="1"/>
      <x:c r="K46" s="1"/>
      <x:c r="L46" s="1"/>
      <x:c r="M46" s="1"/>
      <x:c r="N46" s="1"/>
      <x:c r="O46" s="1"/>
    </x:row>
    <x:row r="47">
      <x:c r="A47" s="1"/>
      <x:c r="B47" s="1"/>
      <x:c r="C47" s="1"/>
      <x:c r="D47" s="1"/>
      <x:c r="E47" s="1"/>
      <x:c r="F47" s="1"/>
      <x:c r="G47" s="1"/>
      <x:c r="H47" s="1"/>
      <x:c r="I47" s="1"/>
      <x:c r="J47" s="1"/>
      <x:c r="K47" s="1"/>
      <x:c r="L47" s="1"/>
      <x:c r="M47" s="1"/>
      <x:c r="N47" s="1"/>
      <x:c r="O47" s="1"/>
    </x:row>
    <x:row r="48">
      <x:c r="A48" s="1"/>
      <x:c r="B48" s="1"/>
      <x:c r="C48" s="1"/>
      <x:c r="D48" s="1"/>
      <x:c r="E48" s="1"/>
      <x:c r="F48" s="1"/>
      <x:c r="G48" s="1"/>
      <x:c r="H48" s="1"/>
      <x:c r="I48" s="1"/>
      <x:c r="J48" s="1"/>
      <x:c r="K48" s="1"/>
      <x:c r="L48" s="1"/>
      <x:c r="M48" s="1"/>
      <x:c r="N48" s="1"/>
      <x:c r="O48" s="1"/>
    </x:row>
    <x:row r="49">
      <x:c r="A49" s="1"/>
      <x:c r="B49" s="1"/>
      <x:c r="C49" s="1"/>
      <x:c r="D49" s="1"/>
      <x:c r="E49" s="1"/>
      <x:c r="F49" s="1"/>
      <x:c r="G49" s="1"/>
      <x:c r="H49" s="1"/>
      <x:c r="I49" s="1"/>
      <x:c r="J49" s="1"/>
      <x:c r="K49" s="1"/>
      <x:c r="L49" s="1"/>
      <x:c r="M49" s="1"/>
      <x:c r="N49" s="1"/>
      <x:c r="O49" s="1"/>
    </x:row>
    <x:row r="50">
      <x:c r="A50" s="1"/>
      <x:c r="B50" s="1"/>
      <x:c r="C50" s="1"/>
      <x:c r="D50" s="1"/>
      <x:c r="E50" s="1"/>
      <x:c r="F50" s="1"/>
      <x:c r="G50" s="1"/>
      <x:c r="H50" s="1"/>
      <x:c r="I50" s="1"/>
      <x:c r="J50" s="1"/>
      <x:c r="K50" s="1"/>
      <x:c r="L50" s="1"/>
      <x:c r="M50" s="1"/>
      <x:c r="N50" s="1"/>
      <x:c r="O50" s="1"/>
    </x:row>
    <x:row r="51">
      <x:c r="A51" s="1"/>
      <x:c r="B51" s="1"/>
      <x:c r="C51" s="1"/>
      <x:c r="D51" s="1"/>
      <x:c r="E51" s="1"/>
      <x:c r="F51" s="1"/>
      <x:c r="G51" s="1"/>
      <x:c r="H51" s="1"/>
      <x:c r="I51" s="1"/>
      <x:c r="J51" s="1"/>
      <x:c r="K51" s="1"/>
      <x:c r="L51" s="1"/>
      <x:c r="M51" s="1"/>
      <x:c r="N51" s="1"/>
      <x:c r="O51" s="1"/>
    </x:row>
    <x:row r="52">
      <x:c r="A52" s="1"/>
      <x:c r="B52" s="1"/>
      <x:c r="C52" s="1"/>
      <x:c r="D52" s="1"/>
      <x:c r="E52" s="1"/>
      <x:c r="F52" s="1"/>
      <x:c r="G52" s="1"/>
      <x:c r="H52" s="1"/>
      <x:c r="I52" s="1"/>
      <x:c r="J52" s="1"/>
      <x:c r="K52" s="1"/>
      <x:c r="L52" s="1"/>
      <x:c r="M52" s="1"/>
      <x:c r="N52" s="1"/>
      <x:c r="O52" s="1"/>
    </x:row>
    <x:row r="53">
      <x:c r="A53" s="1"/>
      <x:c r="B53" s="1"/>
      <x:c r="C53" s="1"/>
      <x:c r="D53" s="1"/>
      <x:c r="E53" s="1"/>
      <x:c r="F53" s="1"/>
      <x:c r="G53" s="1"/>
      <x:c r="H53" s="1"/>
      <x:c r="I53" s="1"/>
      <x:c r="J53" s="1"/>
      <x:c r="K53" s="1"/>
      <x:c r="L53" s="1"/>
      <x:c r="M53" s="1"/>
      <x:c r="N53" s="1"/>
      <x:c r="O53" s="1"/>
    </x:row>
    <x:row r="54">
      <x:c r="A54" s="1"/>
      <x:c r="B54" s="1"/>
      <x:c r="C54" s="1"/>
      <x:c r="D54" s="1"/>
      <x:c r="E54" s="1"/>
      <x:c r="F54" s="1"/>
      <x:c r="G54" s="1"/>
      <x:c r="H54" s="1"/>
      <x:c r="I54" s="1"/>
      <x:c r="J54" s="1"/>
      <x:c r="K54" s="1"/>
      <x:c r="L54" s="1"/>
      <x:c r="M54" s="1"/>
      <x:c r="N54" s="1"/>
      <x:c r="O54" s="1"/>
    </x:row>
    <x:row r="55">
      <x:c r="A55" s="1"/>
      <x:c r="B55" s="1"/>
      <x:c r="C55" s="1"/>
      <x:c r="D55" s="1"/>
      <x:c r="E55" s="1"/>
      <x:c r="F55" s="1"/>
      <x:c r="G55" s="1"/>
      <x:c r="H55" s="1"/>
      <x:c r="I55" s="1"/>
      <x:c r="J55" s="1"/>
      <x:c r="K55" s="1"/>
      <x:c r="L55" s="1"/>
      <x:c r="M55" s="1"/>
      <x:c r="N55" s="1"/>
      <x:c r="O55" s="1"/>
    </x:row>
    <x:row r="56">
      <x:c r="A56" s="1"/>
      <x:c r="B56" s="1"/>
      <x:c r="C56" s="1"/>
      <x:c r="D56" s="1"/>
      <x:c r="E56" s="1"/>
      <x:c r="F56" s="1"/>
      <x:c r="G56" s="1"/>
      <x:c r="H56" s="1"/>
      <x:c r="I56" s="1"/>
      <x:c r="J56" s="1"/>
      <x:c r="K56" s="1"/>
      <x:c r="L56" s="1"/>
      <x:c r="M56" s="1"/>
      <x:c r="N56" s="1"/>
      <x:c r="O56" s="1"/>
    </x:row>
    <x:row r="57">
      <x:c r="A57" s="1"/>
      <x:c r="B57" s="1"/>
      <x:c r="C57" s="1"/>
      <x:c r="D57" s="1"/>
      <x:c r="E57" s="1"/>
      <x:c r="F57" s="1"/>
      <x:c r="G57" s="1"/>
      <x:c r="H57" s="1"/>
      <x:c r="I57" s="1"/>
      <x:c r="J57" s="1"/>
      <x:c r="K57" s="1"/>
      <x:c r="L57" s="1"/>
      <x:c r="M57" s="1"/>
      <x:c r="N57" s="1"/>
      <x:c r="O57" s="1"/>
    </x:row>
    <x:row r="58">
      <x:c r="A58" s="1"/>
      <x:c r="B58" s="1"/>
      <x:c r="C58" s="1"/>
      <x:c r="D58" s="1"/>
      <x:c r="E58" s="1"/>
      <x:c r="F58" s="1"/>
      <x:c r="G58" s="1"/>
      <x:c r="H58" s="1"/>
      <x:c r="I58" s="1"/>
      <x:c r="J58" s="1"/>
      <x:c r="K58" s="1"/>
      <x:c r="L58" s="1"/>
      <x:c r="M58" s="1"/>
      <x:c r="N58" s="1"/>
      <x:c r="O58" s="1"/>
    </x:row>
    <x:row r="59">
      <x:c r="A59" s="1"/>
      <x:c r="B59" s="1"/>
      <x:c r="C59" s="1"/>
      <x:c r="D59" s="1"/>
      <x:c r="E59" s="1"/>
      <x:c r="F59" s="1"/>
      <x:c r="G59" s="1"/>
      <x:c r="H59" s="1"/>
      <x:c r="I59" s="1"/>
      <x:c r="J59" s="1"/>
      <x:c r="K59" s="1"/>
      <x:c r="L59" s="1"/>
      <x:c r="M59" s="1"/>
      <x:c r="N59" s="1"/>
      <x:c r="O59" s="1"/>
    </x:row>
    <x:row r="60">
      <x:c r="A60" s="1"/>
      <x:c r="B60" s="1"/>
      <x:c r="C60" s="1"/>
      <x:c r="D60" s="1"/>
      <x:c r="E60" s="1"/>
      <x:c r="F60" s="1"/>
      <x:c r="G60" s="1"/>
      <x:c r="H60" s="1"/>
      <x:c r="I60" s="1"/>
      <x:c r="J60" s="1"/>
      <x:c r="K60" s="1"/>
      <x:c r="L60" s="1"/>
      <x:c r="M60" s="1"/>
      <x:c r="N60" s="1"/>
      <x:c r="O60" s="1"/>
    </x:row>
    <x:row r="61">
      <x:c r="A61" s="1"/>
      <x:c r="B61" s="1"/>
      <x:c r="C61" s="1"/>
      <x:c r="D61" s="1"/>
      <x:c r="E61" s="1"/>
      <x:c r="F61" s="1"/>
      <x:c r="G61" s="1"/>
      <x:c r="H61" s="1"/>
      <x:c r="I61" s="1"/>
      <x:c r="J61" s="1"/>
      <x:c r="K61" s="1"/>
      <x:c r="L61" s="1"/>
      <x:c r="M61" s="1"/>
      <x:c r="N61" s="1"/>
      <x:c r="O61" s="1"/>
    </x:row>
    <x:row r="62">
      <x:c r="A62" s="1"/>
      <x:c r="B62" s="1"/>
      <x:c r="C62" s="1"/>
      <x:c r="D62" s="1"/>
      <x:c r="E62" s="1"/>
      <x:c r="F62" s="1"/>
      <x:c r="G62" s="1"/>
      <x:c r="H62" s="1"/>
      <x:c r="I62" s="1"/>
      <x:c r="J62" s="1"/>
      <x:c r="K62" s="1"/>
      <x:c r="L62" s="1"/>
      <x:c r="M62" s="1"/>
      <x:c r="N62" s="1"/>
      <x:c r="O62" s="1"/>
    </x:row>
    <x:row r="63">
      <x:c r="A63" s="1"/>
      <x:c r="B63" s="1"/>
      <x:c r="C63" s="1"/>
      <x:c r="D63" s="1"/>
      <x:c r="E63" s="1"/>
      <x:c r="F63" s="1"/>
      <x:c r="G63" s="1"/>
      <x:c r="H63" s="1"/>
      <x:c r="I63" s="1"/>
      <x:c r="J63" s="1"/>
      <x:c r="K63" s="1"/>
      <x:c r="L63" s="1"/>
      <x:c r="M63" s="1"/>
      <x:c r="N63" s="1"/>
      <x:c r="O63" s="1"/>
    </x:row>
    <x:row r="64">
      <x:c r="A64" s="1"/>
      <x:c r="B64" s="1"/>
      <x:c r="C64" s="1"/>
      <x:c r="D64" s="1"/>
      <x:c r="E64" s="1"/>
      <x:c r="F64" s="1"/>
      <x:c r="G64" s="1"/>
      <x:c r="H64" s="1"/>
      <x:c r="I64" s="1"/>
      <x:c r="J64" s="1"/>
      <x:c r="K64" s="1"/>
      <x:c r="L64" s="1"/>
      <x:c r="M64" s="1"/>
      <x:c r="N64" s="1"/>
      <x:c r="O64" s="1"/>
    </x:row>
    <x:row r="65">
      <x:c r="A65" s="1"/>
      <x:c r="B65" s="1"/>
      <x:c r="C65" s="1"/>
      <x:c r="D65" s="1"/>
      <x:c r="E65" s="1"/>
      <x:c r="F65" s="1"/>
      <x:c r="G65" s="1"/>
      <x:c r="H65" s="1"/>
      <x:c r="I65" s="1"/>
      <x:c r="J65" s="1"/>
      <x:c r="K65" s="1"/>
      <x:c r="L65" s="1"/>
      <x:c r="M65" s="1"/>
      <x:c r="N65" s="1"/>
      <x:c r="O65" s="1"/>
    </x:row>
  </x:sheetData>
  <x:mergeCells>
    <x:mergeCell ref="A1:O2"/>
    <x:mergeCell ref="A3:O3"/>
    <x:mergeCell ref="A5:O5"/>
    <x:mergeCell ref="F6:O6"/>
    <x:mergeCell ref="F7:O7"/>
    <x:mergeCell ref="F8:O8"/>
    <x:mergeCell ref="F9:O9"/>
    <x:mergeCell ref="F10:O10"/>
    <x:mergeCell ref="F11:O11"/>
    <x:mergeCell ref="A13:O13"/>
    <x:mergeCell ref="A14:O17"/>
  </x:mergeCells>
  <x:pageMargins left="0.7" right="0.7" top="0.75" bottom="0.75" header="0.3" footer="0.3"/>
</x:worksheet>
</file>