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a7202fe94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95952dad0894961"/>
    <x:sheet xmlns:r="http://schemas.openxmlformats.org/officeDocument/2006/relationships" name="Gold_Answer_A" sheetId="2" r:id="R88bee69afe18484d"/>
    <x:sheet xmlns:r="http://schemas.openxmlformats.org/officeDocument/2006/relationships" name="Trajectory_Rubric" sheetId="3" r:id="R145ff2a1ff0f410d"/>
    <x:sheet xmlns:r="http://schemas.openxmlformats.org/officeDocument/2006/relationships" name="Tool_Efficiency" sheetId="4" r:id="Raf09a6c3af4a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"/>
    <x:numFmt numFmtId="202" formatCode="0.00E+00"/>
    <x:numFmt numFmtId="203" formatCode="0.00000000"/>
    <x:numFmt numFmtId="204" formatCode="0.00%"/>
  </x:numFmts>
  <x:fonts count="7">
    <x:font>
      <x:sz val="11"/>
      <x:name val="Carlito"/>
    </x:font>
    <x:font>
      <x:sz val="10"/>
      <x:color rgb="FF1F2937"/>
      <x:name val="Aptos"/>
    </x:font>
    <x:font>
      <x:b/>
      <x:sz val="17"/>
      <x:color rgb="FFFFFFFF"/>
      <x:name val="Aptos"/>
    </x:font>
    <x:font>
      <x:sz val="10"/>
      <x:color rgb="FF9C6500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37562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204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73907a10047b1" /><Relationship Type="http://schemas.openxmlformats.org/officeDocument/2006/relationships/theme" Target="/xl/theme/theme1.xml" Id="R36895ebc03b146d4" /><Relationship Type="http://schemas.openxmlformats.org/officeDocument/2006/relationships/sharedStrings" Target="/xl/sharedStrings.xml" Id="R8054ade402f142ea" /><Relationship Type="http://schemas.openxmlformats.org/officeDocument/2006/relationships/worksheet" Target="/xl/worksheets/sheet1.xml" Id="Rc95952dad0894961" /><Relationship Type="http://schemas.openxmlformats.org/officeDocument/2006/relationships/worksheet" Target="/xl/worksheets/sheet2.xml" Id="R88bee69afe18484d" /><Relationship Type="http://schemas.openxmlformats.org/officeDocument/2006/relationships/worksheet" Target="/xl/worksheets/sheet3.xml" Id="R145ff2a1ff0f410d" /><Relationship Type="http://schemas.openxmlformats.org/officeDocument/2006/relationships/worksheet" Target="/xl/worksheets/sheet4.xml" Id="Raf09a6c3af4a40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93dfefcaea46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boundary by candidate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Production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'Gold_Answer_A'!$K$10:$K$13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'Gold_Answer_A'!$L$10:$L$13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93dfefcaea46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efdf331f284b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28" hidden="0" customWidth="1"/>
    <x:col min="9" max="9" width="24" hidden="0" customWidth="1"/>
    <x:col min="10" max="10" width="2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9" customHeight="1">
      <x:c r="A1" s="6" t="str">
        <x:v>N03｜High-Sulfate BWRO: Maximum Safe Pressure without Softening</x:v>
      </x:c>
      <x:c r="B1" s="6" t="str">
        <x:v>N03｜High-Sulfate BWRO: Maximum Safe Pressure without Softening</x:v>
      </x:c>
      <x:c r="C1" s="6" t="str">
        <x:v>N03｜High-Sulfate BWRO: Maximum Safe Pressure without Softening</x:v>
      </x:c>
      <x:c r="D1" s="6" t="str">
        <x:v>N03｜High-Sulfate BWRO: Maximum Safe Pressure without Softening</x:v>
      </x:c>
      <x:c r="E1" s="6" t="str">
        <x:v>N03｜High-Sulfate BWRO: Maximum Safe Pressure without Softening</x:v>
      </x:c>
      <x:c r="F1" s="6" t="str">
        <x:v>N03｜High-Sulfate BWRO: Maximum Safe Pressure without Softening</x:v>
      </x:c>
      <x:c r="G1" s="6" t="str">
        <x:v>N03｜High-Sulfate BWRO: Maximum Safe Pressure without Softening</x:v>
      </x:c>
      <x:c r="H1" s="6" t="str">
        <x:v>N03｜High-Sulfate BWRO: Maximum Safe Pressure without Softening</x:v>
      </x:c>
      <x:c r="I1" s="6" t="str">
        <x:v>N03｜High-Sulfate BWRO: Maximum Safe Pressure without Softening</x:v>
      </x:c>
      <x:c r="J1" s="6" t="str">
        <x:v>N03｜High-Sulfate BWRO: Maximum Safe Pressure without Softening</x:v>
      </x:c>
      <x:c r="K1" s="6" t="str">
        <x:v>N03｜High-Sulfate BWRO: Maximum Safe Pressure without Softening</x:v>
      </x:c>
      <x:c r="L1" s="6" t="str">
        <x:v>N03｜High-Sulfate BWRO: Maximum Safe Pressure without Softening</x:v>
      </x:c>
      <x:c r="M1" s="6" t="str">
        <x:v>N03｜High-Sulfate BWRO: Maximum Safe Pressure without Softening</x:v>
      </x:c>
      <x:c r="N1" s="6" t="str">
        <x:v>N03｜High-Sulfate BWRO: Maximum Safe Pressure without Softening</x:v>
      </x:c>
    </x:row>
    <x:row r="2" ht="29" customHeight="1">
      <x:c r="A2" s="6" t="str">
        <x:v>N03｜High-Sulfate BWRO: Maximum Safe Pressure without Softening</x:v>
      </x:c>
      <x:c r="B2" s="6" t="str">
        <x:v>N03｜High-Sulfate BWRO: Maximum Safe Pressure without Softening</x:v>
      </x:c>
      <x:c r="C2" s="6" t="str">
        <x:v>N03｜High-Sulfate BWRO: Maximum Safe Pressure without Softening</x:v>
      </x:c>
      <x:c r="D2" s="6" t="str">
        <x:v>N03｜High-Sulfate BWRO: Maximum Safe Pressure without Softening</x:v>
      </x:c>
      <x:c r="E2" s="6" t="str">
        <x:v>N03｜High-Sulfate BWRO: Maximum Safe Pressure without Softening</x:v>
      </x:c>
      <x:c r="F2" s="6" t="str">
        <x:v>N03｜High-Sulfate BWRO: Maximum Safe Pressure without Softening</x:v>
      </x:c>
      <x:c r="G2" s="6" t="str">
        <x:v>N03｜High-Sulfate BWRO: Maximum Safe Pressure without Softening</x:v>
      </x:c>
      <x:c r="H2" s="6" t="str">
        <x:v>N03｜High-Sulfate BWRO: Maximum Safe Pressure without Softening</x:v>
      </x:c>
      <x:c r="I2" s="6" t="str">
        <x:v>N03｜High-Sulfate BWRO: Maximum Safe Pressure without Softening</x:v>
      </x:c>
      <x:c r="J2" s="6" t="str">
        <x:v>N03｜High-Sulfate BWRO: Maximum Safe Pressure without Softening</x:v>
      </x:c>
      <x:c r="K2" s="6" t="str">
        <x:v>N03｜High-Sulfate BWRO: Maximum Safe Pressure without Softening</x:v>
      </x:c>
      <x:c r="L2" s="6" t="str">
        <x:v>N03｜High-Sulfate BWRO: Maximum Safe Pressure without Softening</x:v>
      </x:c>
      <x:c r="M2" s="6" t="str">
        <x:v>N03｜High-Sulfate BWRO: Maximum Safe Pressure without Softening</x:v>
      </x:c>
      <x:c r="N2" s="6" t="str">
        <x:v>N03｜High-Sulfate BWRO: Maximum Safe Pressure without Softening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2" customHeight="1">
      <x:c r="A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B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C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D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E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F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G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H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I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J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K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L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M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N4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</x:row>
    <x:row r="5" ht="32" customHeight="1">
      <x:c r="A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B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C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D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E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F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G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H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I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J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K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L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M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N5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</x:row>
    <x:row r="6" ht="32" customHeight="1">
      <x:c r="A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B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C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D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E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F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G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H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I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J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K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L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M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  <x:c r="N6" s="9" t="str">
        <x:v>A mining-site BWRO plant has no route for softener regenerant. Permeate-water flow must be at least 0.250 kg/s, and the highest pressure with all equilibrium SIs below zero should be selected. Run simulate_ro at 30/34/38/42 bar and pass each actual recovery separately to equilibrate_feed; do not substitute one nominal recovery.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RO / whole-plant model inputs</x:v>
      </x:c>
      <x:c r="B8" s="11" t="str">
        <x:v>RO / whole-plant model inputs</x:v>
      </x:c>
      <x:c r="C8" s="11" t="str">
        <x:v>RO / whole-plant model inputs</x:v>
      </x:c>
      <x:c r="D8" s="11" t="str">
        <x:v>RO / whole-plant model inputs</x:v>
      </x:c>
      <x:c r="E8" s="11" t="str">
        <x:v>RO / whole-plant model inputs</x:v>
      </x:c>
      <x:c r="F8" s="11" t="str">
        <x:v>RO / whole-plant model inputs</x:v>
      </x:c>
      <x:c r="G8" s="2"/>
      <x:c r="H8" s="11" t="str">
        <x:v>Candidate designs and hard constraints</x:v>
      </x:c>
      <x:c r="I8" s="11" t="str">
        <x:v>Candidate designs and hard constraints</x:v>
      </x:c>
      <x:c r="J8" s="11" t="str">
        <x:v>Candidate designs and hard constraints</x:v>
      </x:c>
      <x:c r="K8" s="11" t="str">
        <x:v>Candidate designs and hard constraints</x:v>
      </x:c>
      <x:c r="L8" s="11" t="str">
        <x:v>Candidate designs and hard constraints</x:v>
      </x:c>
      <x:c r="M8" s="11" t="str">
        <x:v>Candidate designs and hard constraints</x:v>
      </x:c>
      <x:c r="N8" s="11" t="str">
        <x:v>Candidate designs and hard constraints</x:v>
      </x:c>
    </x:row>
    <x:row r="9" ht="31" customHeight="1">
      <x:c r="A9" s="16" t="str">
        <x:v>Parameter</x:v>
      </x:c>
      <x:c r="B9" s="16" t="str">
        <x:v>Value</x:v>
      </x:c>
      <x:c r="C9" s="16" t="str">
        <x:v>Unit</x:v>
      </x:c>
      <x:c r="D9" s="2"/>
      <x:c r="E9" s="2"/>
      <x:c r="F9" s="2"/>
      <x:c r="G9" s="2"/>
      <x:c r="H9" s="18" t="str">
        <x:v>1. Pressure: 30/34/38/42 bar</x:v>
      </x:c>
      <x:c r="I9" s="18" t="str">
        <x:v>1. Pressure: 30/34/38/42 bar</x:v>
      </x:c>
      <x:c r="J9" s="18" t="str">
        <x:v>1. Pressure: 30/34/38/42 bar</x:v>
      </x:c>
      <x:c r="K9" s="18" t="str">
        <x:v>1. Pressure: 30/34/38/42 bar</x:v>
      </x:c>
      <x:c r="L9" s="18" t="str">
        <x:v>1. Pressure: 30/34/38/42 bar</x:v>
      </x:c>
      <x:c r="M9" s="18" t="str">
        <x:v>1. Pressure: 30/34/38/42 bar</x:v>
      </x:c>
      <x:c r="N9" s="18" t="str">
        <x:v>1. Pressure: 30/34/38/42 bar</x:v>
      </x:c>
    </x:row>
    <x:row r="10" ht="31" customHeight="1">
      <x:c r="A10" s="18" t="str">
        <x:v>Feed flow</x:v>
      </x:c>
      <x:c r="B10" s="19" t="n">
        <x:v>1</x:v>
      </x:c>
      <x:c r="C10" s="18" t="str">
        <x:v>kg/s</x:v>
      </x:c>
      <x:c r="D10" s="2"/>
      <x:c r="E10" s="2"/>
      <x:c r="F10" s="2"/>
      <x:c r="G10" s="2"/>
      <x:c r="H10" s="18" t="str">
        <x:v>2. Permeate water ≥0.250 kg/s</x:v>
      </x:c>
      <x:c r="I10" s="18" t="str">
        <x:v>2. Permeate water ≥0.250 kg/s</x:v>
      </x:c>
      <x:c r="J10" s="18" t="str">
        <x:v>2. Permeate water ≥0.250 kg/s</x:v>
      </x:c>
      <x:c r="K10" s="18" t="str">
        <x:v>2. Permeate water ≥0.250 kg/s</x:v>
      </x:c>
      <x:c r="L10" s="18" t="str">
        <x:v>2. Permeate water ≥0.250 kg/s</x:v>
      </x:c>
      <x:c r="M10" s="18" t="str">
        <x:v>2. Permeate water ≥0.250 kg/s</x:v>
      </x:c>
      <x:c r="N10" s="18" t="str">
        <x:v>2. Permeate water ≥0.250 kg/s</x:v>
      </x:c>
    </x:row>
    <x:row r="11" ht="31" customHeight="1">
      <x:c r="A11" s="18" t="str">
        <x:v>NaCl mass fraction</x:v>
      </x:c>
      <x:c r="B11" s="20" t="n">
        <x:v>0.018</x:v>
      </x:c>
      <x:c r="C11" s="18" t="str">
        <x:v>kg/kg</x:v>
      </x:c>
      <x:c r="D11" s="2"/>
      <x:c r="E11" s="2"/>
      <x:c r="F11" s="2"/>
      <x:c r="G11" s="2"/>
      <x:c r="H11" s="18" t="str">
        <x:v>3. All mineral SIs &lt;0</x:v>
      </x:c>
      <x:c r="I11" s="18" t="str">
        <x:v>3. All mineral SIs &lt;0</x:v>
      </x:c>
      <x:c r="J11" s="18" t="str">
        <x:v>3. All mineral SIs &lt;0</x:v>
      </x:c>
      <x:c r="K11" s="18" t="str">
        <x:v>3. All mineral SIs &lt;0</x:v>
      </x:c>
      <x:c r="L11" s="18" t="str">
        <x:v>3. All mineral SIs &lt;0</x:v>
      </x:c>
      <x:c r="M11" s="18" t="str">
        <x:v>3. All mineral SIs &lt;0</x:v>
      </x:c>
      <x:c r="N11" s="18" t="str">
        <x:v>3. All mineral SIs &lt;0</x:v>
      </x:c>
    </x:row>
    <x:row r="12" ht="31" customHeight="1">
      <x:c r="A12" s="18" t="str">
        <x:v>Temperature</x:v>
      </x:c>
      <x:c r="B12" s="19" t="n">
        <x:v>25</x:v>
      </x:c>
      <x:c r="C12" s="18" t="str">
        <x:v>°C</x:v>
      </x:c>
      <x:c r="D12" s="2"/>
      <x:c r="E12" s="2"/>
      <x:c r="F12" s="2"/>
      <x:c r="G12" s="2"/>
      <x:c r="H12" s="18" t="str">
        <x:v>4. Choose highest passing pressure</x:v>
      </x:c>
      <x:c r="I12" s="18" t="str">
        <x:v>4. Choose highest passing pressure</x:v>
      </x:c>
      <x:c r="J12" s="18" t="str">
        <x:v>4. Choose highest passing pressure</x:v>
      </x:c>
      <x:c r="K12" s="18" t="str">
        <x:v>4. Choose highest passing pressure</x:v>
      </x:c>
      <x:c r="L12" s="18" t="str">
        <x:v>4. Choose highest passing pressure</x:v>
      </x:c>
      <x:c r="M12" s="18" t="str">
        <x:v>4. Choose highest passing pressure</x:v>
      </x:c>
      <x:c r="N12" s="18" t="str">
        <x:v>4. Choose highest passing pressure</x:v>
      </x:c>
    </x:row>
    <x:row r="13" ht="31" customHeight="1">
      <x:c r="A13" s="18" t="str">
        <x:v>Membrane area</x:v>
      </x:c>
      <x:c r="B13" s="19" t="n">
        <x:v>50</x:v>
      </x:c>
      <x:c r="C13" s="18" t="str">
        <x:v>m²</x:v>
      </x:c>
      <x:c r="D13" s="2"/>
      <x:c r="E13" s="2"/>
      <x:c r="F13" s="2"/>
      <x:c r="G13" s="2"/>
      <x:c r="H13" s="18" t="str">
        <x:v>5. No acidification or softening</x:v>
      </x:c>
      <x:c r="I13" s="18" t="str">
        <x:v>5. No acidification or softening</x:v>
      </x:c>
      <x:c r="J13" s="18" t="str">
        <x:v>5. No acidification or softening</x:v>
      </x:c>
      <x:c r="K13" s="18" t="str">
        <x:v>5. No acidification or softening</x:v>
      </x:c>
      <x:c r="L13" s="18" t="str">
        <x:v>5. No acidification or softening</x:v>
      </x:c>
      <x:c r="M13" s="18" t="str">
        <x:v>5. No acidification or softening</x:v>
      </x:c>
      <x:c r="N13" s="18" t="str">
        <x:v>5. No acidification or softening</x:v>
      </x:c>
    </x:row>
    <x:row r="14" ht="31" customHeight="1">
      <x:c r="A14" s="18" t="str">
        <x:v>Membrane A</x:v>
      </x:c>
      <x:c r="B14" s="21" t="n">
        <x:v>4.2e-12</x:v>
      </x:c>
      <x:c r="C14" s="18" t="str">
        <x:v>m/(Pa·s)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1" customHeight="1">
      <x:c r="A15" s="18" t="str">
        <x:v>Membrane B</x:v>
      </x:c>
      <x:c r="B15" s="21" t="n">
        <x:v>3.5e-8</x:v>
      </x:c>
      <x:c r="C15" s="18" t="str">
        <x:v>m/s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1" customHeight="1">
      <x:c r="A16" s="18" t="str">
        <x:v>Pressure drop</x:v>
      </x:c>
      <x:c r="B16" s="19" t="n">
        <x:v>2</x:v>
      </x:c>
      <x:c r="C16" s="18" t="str">
        <x:v>bar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1" customHeight="1">
      <x:c r="A20" s="11" t="str">
        <x:v>Ionic composition for equilibrate_feed</x:v>
      </x:c>
      <x:c r="B20" s="11" t="str">
        <x:v>Ionic composition for equilibrate_feed</x:v>
      </x:c>
      <x:c r="C20" s="11" t="str">
        <x:v>Ionic composition for equilibrate_feed</x:v>
      </x:c>
      <x:c r="D20" s="11" t="str">
        <x:v>Ionic composition for equilibrate_feed</x:v>
      </x:c>
      <x:c r="E20" s="11" t="str">
        <x:v>Ionic composition for equilibrate_feed</x:v>
      </x:c>
      <x:c r="F20" s="11" t="str">
        <x:v>Ionic composition for equilibrate_feed</x:v>
      </x:c>
      <x:c r="G20" s="2"/>
      <x:c r="H20" s="11" t="str">
        <x:v>Required tasks and scope</x:v>
      </x:c>
      <x:c r="I20" s="11" t="str">
        <x:v>Required tasks and scope</x:v>
      </x:c>
      <x:c r="J20" s="11" t="str">
        <x:v>Required tasks and scope</x:v>
      </x:c>
      <x:c r="K20" s="11" t="str">
        <x:v>Required tasks and scope</x:v>
      </x:c>
      <x:c r="L20" s="11" t="str">
        <x:v>Required tasks and scope</x:v>
      </x:c>
      <x:c r="M20" s="11" t="str">
        <x:v>Required tasks and scope</x:v>
      </x:c>
      <x:c r="N20" s="11" t="str">
        <x:v>Required tasks and scope</x:v>
      </x:c>
    </x:row>
    <x:row r="21" ht="31" customHeight="1">
      <x:c r="A21" s="16" t="str">
        <x:v>Species</x:v>
      </x:c>
      <x:c r="B21" s="16" t="str">
        <x:v>Flow mol/s</x:v>
      </x:c>
      <x:c r="C21" s="16" t="str">
        <x:v>Note</x:v>
      </x:c>
      <x:c r="D21" s="2"/>
      <x:c r="E21" s="2"/>
      <x:c r="F21" s="2"/>
      <x:c r="G21" s="2"/>
      <x:c r="H21" s="18" t="str">
        <x:v>1. Use simulate_ro for all candidates with non-target inputs fixed.</x:v>
      </x:c>
      <x:c r="I21" s="18" t="str">
        <x:v>1. Use simulate_ro for all candidates with non-target inputs fixed.</x:v>
      </x:c>
      <x:c r="J21" s="18" t="str">
        <x:v>1. Use simulate_ro for all candidates with non-target inputs fixed.</x:v>
      </x:c>
      <x:c r="K21" s="18" t="str">
        <x:v>1. Use simulate_ro for all candidates with non-target inputs fixed.</x:v>
      </x:c>
      <x:c r="L21" s="18" t="str">
        <x:v>1. Use simulate_ro for all candidates with non-target inputs fixed.</x:v>
      </x:c>
      <x:c r="M21" s="18" t="str">
        <x:v>1. Use simulate_ro for all candidates with non-target inputs fixed.</x:v>
      </x:c>
      <x:c r="N21" s="18" t="str">
        <x:v>1. Use simulate_ro for all candidates with non-target inputs fixed.</x:v>
      </x:c>
    </x:row>
    <x:row r="22" ht="31" customHeight="1">
      <x:c r="A22" s="18" t="str">
        <x:v>H2O</x:v>
      </x:c>
      <x:c r="B22" s="22" t="n">
        <x:v>55.5</x:v>
      </x:c>
      <x:c r="C22" s="18" t="str">
        <x:v>Model input</x:v>
      </x:c>
      <x:c r="D22" s="2"/>
      <x:c r="E22" s="2"/>
      <x:c r="F22" s="2"/>
      <x:c r="G22" s="2"/>
      <x:c r="H22" s="18" t="str">
        <x:v>2. Apply production and quality/energy constraints jointly, not one metric alone.</x:v>
      </x:c>
      <x:c r="I22" s="18" t="str">
        <x:v>2. Apply production and quality/energy constraints jointly, not one metric alone.</x:v>
      </x:c>
      <x:c r="J22" s="18" t="str">
        <x:v>2. Apply production and quality/energy constraints jointly, not one metric alone.</x:v>
      </x:c>
      <x:c r="K22" s="18" t="str">
        <x:v>2. Apply production and quality/energy constraints jointly, not one metric alone.</x:v>
      </x:c>
      <x:c r="L22" s="18" t="str">
        <x:v>2. Apply production and quality/energy constraints jointly, not one metric alone.</x:v>
      </x:c>
      <x:c r="M22" s="18" t="str">
        <x:v>2. Apply production and quality/energy constraints jointly, not one metric alone.</x:v>
      </x:c>
      <x:c r="N22" s="18" t="str">
        <x:v>2. Apply production and quality/energy constraints jointly, not one metric alone.</x:v>
      </x:c>
    </x:row>
    <x:row r="23" ht="31" customHeight="1">
      <x:c r="A23" s="18" t="str">
        <x:v>Na</x:v>
      </x:c>
      <x:c r="B23" s="22" t="n">
        <x:v>0.24</x:v>
      </x:c>
      <x:c r="C23" s="18" t="str">
        <x:v>Model input</x:v>
      </x:c>
      <x:c r="D23" s="2"/>
      <x:c r="E23" s="2"/>
      <x:c r="F23" s="2"/>
      <x:c r="G23" s="2"/>
      <x:c r="H23" s="18" t="str">
        <x:v>3. Pass actual candidate recovery into equilibrate_feed; do not substitute nominal recovery.</x:v>
      </x:c>
      <x:c r="I23" s="18" t="str">
        <x:v>3. Pass actual candidate recovery into equilibrate_feed; do not substitute nominal recovery.</x:v>
      </x:c>
      <x:c r="J23" s="18" t="str">
        <x:v>3. Pass actual candidate recovery into equilibrate_feed; do not substitute nominal recovery.</x:v>
      </x:c>
      <x:c r="K23" s="18" t="str">
        <x:v>3. Pass actual candidate recovery into equilibrate_feed; do not substitute nominal recovery.</x:v>
      </x:c>
      <x:c r="L23" s="18" t="str">
        <x:v>3. Pass actual candidate recovery into equilibrate_feed; do not substitute nominal recovery.</x:v>
      </x:c>
      <x:c r="M23" s="18" t="str">
        <x:v>3. Pass actual candidate recovery into equilibrate_feed; do not substitute nominal recovery.</x:v>
      </x:c>
      <x:c r="N23" s="18" t="str">
        <x:v>3. Pass actual candidate recovery into equilibrate_feed; do not substitute nominal recovery.</x:v>
      </x:c>
    </x:row>
    <x:row r="24" ht="31" customHeight="1">
      <x:c r="A24" s="18" t="str">
        <x:v>Cl</x:v>
      </x:c>
      <x:c r="B24" s="22" t="n">
        <x:v>0.209</x:v>
      </x:c>
      <x:c r="C24" s="18" t="str">
        <x:v>Model input</x:v>
      </x:c>
      <x:c r="D24" s="2"/>
      <x:c r="E24" s="2"/>
      <x:c r="F24" s="2"/>
      <x:c r="G24" s="2"/>
      <x:c r="H24" s="18" t="str">
        <x:v>4. Prove the boundary with adjacent fail/pass cases and state the stopping rule.</x:v>
      </x:c>
      <x:c r="I24" s="18" t="str">
        <x:v>4. Prove the boundary with adjacent fail/pass cases and state the stopping rule.</x:v>
      </x:c>
      <x:c r="J24" s="18" t="str">
        <x:v>4. Prove the boundary with adjacent fail/pass cases and state the stopping rule.</x:v>
      </x:c>
      <x:c r="K24" s="18" t="str">
        <x:v>4. Prove the boundary with adjacent fail/pass cases and state the stopping rule.</x:v>
      </x:c>
      <x:c r="L24" s="18" t="str">
        <x:v>4. Prove the boundary with adjacent fail/pass cases and state the stopping rule.</x:v>
      </x:c>
      <x:c r="M24" s="18" t="str">
        <x:v>4. Prove the boundary with adjacent fail/pass cases and state the stopping rule.</x:v>
      </x:c>
      <x:c r="N24" s="18" t="str">
        <x:v>4. Prove the boundary with adjacent fail/pass cases and state the stopping rule.</x:v>
      </x:c>
    </x:row>
    <x:row r="25" ht="31" customHeight="1">
      <x:c r="A25" s="18" t="str">
        <x:v>Mg</x:v>
      </x:c>
      <x:c r="B25" s="22" t="n">
        <x:v>0.01</x:v>
      </x:c>
      <x:c r="C25" s="18" t="str">
        <x:v>Model input</x:v>
      </x:c>
      <x:c r="D25" s="2"/>
      <x:c r="E25" s="2"/>
      <x:c r="F25" s="2"/>
      <x:c r="G25" s="2"/>
      <x:c r="H25" s="18" t="str">
        <x:v>5. Record key simulations, final conclusion, and omitted kinetics/fouling/control uncertainty.</x:v>
      </x:c>
      <x:c r="I25" s="18" t="str">
        <x:v>5. Record key simulations, final conclusion, and omitted kinetics/fouling/control uncertainty.</x:v>
      </x:c>
      <x:c r="J25" s="18" t="str">
        <x:v>5. Record key simulations, final conclusion, and omitted kinetics/fouling/control uncertainty.</x:v>
      </x:c>
      <x:c r="K25" s="18" t="str">
        <x:v>5. Record key simulations, final conclusion, and omitted kinetics/fouling/control uncertainty.</x:v>
      </x:c>
      <x:c r="L25" s="18" t="str">
        <x:v>5. Record key simulations, final conclusion, and omitted kinetics/fouling/control uncertainty.</x:v>
      </x:c>
      <x:c r="M25" s="18" t="str">
        <x:v>5. Record key simulations, final conclusion, and omitted kinetics/fouling/control uncertainty.</x:v>
      </x:c>
      <x:c r="N25" s="18" t="str">
        <x:v>5. Record key simulations, final conclusion, and omitted kinetics/fouling/control uncertainty.</x:v>
      </x:c>
    </x:row>
    <x:row r="26" ht="31" customHeight="1">
      <x:c r="A26" s="18" t="str">
        <x:v>SO4</x:v>
      </x:c>
      <x:c r="B26" s="22" t="n">
        <x:v>0.04</x:v>
      </x:c>
      <x:c r="C26" s="18" t="str">
        <x:v>Model input</x:v>
      </x:c>
      <x:c r="D26" s="2"/>
      <x:c r="E26" s="2"/>
      <x:c r="F26" s="2"/>
      <x:c r="G26" s="2"/>
      <x:c r="H26" s="18" t="str">
        <x:v>Low-alkalinity, high-sulfate mine water; Gypsum sets the pressure cap.</x:v>
      </x:c>
      <x:c r="I26" s="18" t="str">
        <x:v>Low-alkalinity, high-sulfate mine water; Gypsum sets the pressure cap.</x:v>
      </x:c>
      <x:c r="J26" s="18" t="str">
        <x:v>Low-alkalinity, high-sulfate mine water; Gypsum sets the pressure cap.</x:v>
      </x:c>
      <x:c r="K26" s="18" t="str">
        <x:v>Low-alkalinity, high-sulfate mine water; Gypsum sets the pressure cap.</x:v>
      </x:c>
      <x:c r="L26" s="18" t="str">
        <x:v>Low-alkalinity, high-sulfate mine water; Gypsum sets the pressure cap.</x:v>
      </x:c>
      <x:c r="M26" s="18" t="str">
        <x:v>Low-alkalinity, high-sulfate mine water; Gypsum sets the pressure cap.</x:v>
      </x:c>
      <x:c r="N26" s="18" t="str">
        <x:v>Low-alkalinity, high-sulfate mine water; Gypsum sets the pressure cap.</x:v>
      </x:c>
    </x:row>
    <x:row r="27" ht="31" customHeight="1">
      <x:c r="A27" s="18" t="str">
        <x:v>Ca</x:v>
      </x:c>
      <x:c r="B27" s="22" t="n">
        <x:v>0.015</x:v>
      </x:c>
      <x:c r="C27" s="18" t="str">
        <x:v>Model input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1" customHeight="1">
      <x:c r="A28" s="18" t="str">
        <x:v>HCO3</x:v>
      </x:c>
      <x:c r="B28" s="22" t="n">
        <x:v>0.001</x:v>
      </x:c>
      <x:c r="C28" s="18" t="str">
        <x:v>Model input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F8"/>
    <x:mergeCell ref="H8:N8"/>
    <x:mergeCell ref="H9:N9"/>
    <x:mergeCell ref="H10:N10"/>
    <x:mergeCell ref="H11:N11"/>
    <x:mergeCell ref="H12:N12"/>
    <x:mergeCell ref="H13:N13"/>
    <x:mergeCell ref="A20:F20"/>
    <x:mergeCell ref="H20:N20"/>
    <x:mergeCell ref="H21:N21"/>
    <x:mergeCell ref="H22:N22"/>
    <x:mergeCell ref="H23:N23"/>
    <x:mergeCell ref="H24:N24"/>
    <x:mergeCell ref="H25:N25"/>
    <x:mergeCell ref="H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9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9" customHeight="1">
      <x:c r="A1" s="6" t="str">
        <x:v>N03｜Gold Answer</x:v>
      </x:c>
      <x:c r="B1" s="6" t="str">
        <x:v>N03｜Gold Answer</x:v>
      </x:c>
      <x:c r="C1" s="6" t="str">
        <x:v>N03｜Gold Answer</x:v>
      </x:c>
      <x:c r="D1" s="6" t="str">
        <x:v>N03｜Gold Answer</x:v>
      </x:c>
      <x:c r="E1" s="6" t="str">
        <x:v>N03｜Gold Answer</x:v>
      </x:c>
      <x:c r="F1" s="6" t="str">
        <x:v>N03｜Gold Answer</x:v>
      </x:c>
      <x:c r="G1" s="6" t="str">
        <x:v>N03｜Gold Answer</x:v>
      </x:c>
      <x:c r="H1" s="6" t="str">
        <x:v>N03｜Gold Answer</x:v>
      </x:c>
      <x:c r="I1" s="6" t="str">
        <x:v>N03｜Gold Answer</x:v>
      </x:c>
      <x:c r="J1" s="6" t="str">
        <x:v>N03｜Gold Answer</x:v>
      </x:c>
      <x:c r="K1" s="6" t="str">
        <x:v>N03｜Gold Answer</x:v>
      </x:c>
      <x:c r="L1" s="6" t="str">
        <x:v>N03｜Gold Answer</x:v>
      </x:c>
      <x:c r="M1" s="6" t="str">
        <x:v>N03｜Gold Answer</x:v>
      </x:c>
      <x:c r="N1" s="6" t="str">
        <x:v>N03｜Gold Answer</x:v>
      </x:c>
    </x:row>
    <x:row r="2" ht="29" customHeight="1">
      <x:c r="A2" s="6" t="str">
        <x:v>N03｜Gold Answer</x:v>
      </x:c>
      <x:c r="B2" s="6" t="str">
        <x:v>N03｜Gold Answer</x:v>
      </x:c>
      <x:c r="C2" s="6" t="str">
        <x:v>N03｜Gold Answer</x:v>
      </x:c>
      <x:c r="D2" s="6" t="str">
        <x:v>N03｜Gold Answer</x:v>
      </x:c>
      <x:c r="E2" s="6" t="str">
        <x:v>N03｜Gold Answer</x:v>
      </x:c>
      <x:c r="F2" s="6" t="str">
        <x:v>N03｜Gold Answer</x:v>
      </x:c>
      <x:c r="G2" s="6" t="str">
        <x:v>N03｜Gold Answer</x:v>
      </x:c>
      <x:c r="H2" s="6" t="str">
        <x:v>N03｜Gold Answer</x:v>
      </x:c>
      <x:c r="I2" s="6" t="str">
        <x:v>N03｜Gold Answer</x:v>
      </x:c>
      <x:c r="J2" s="6" t="str">
        <x:v>N03｜Gold Answer</x:v>
      </x:c>
      <x:c r="K2" s="6" t="str">
        <x:v>N03｜Gold Answer</x:v>
      </x:c>
      <x:c r="L2" s="6" t="str">
        <x:v>N03｜Gold Answer</x:v>
      </x:c>
      <x:c r="M2" s="6" t="str">
        <x:v>N03｜Gold Answer</x:v>
      </x:c>
      <x:c r="N2" s="6" t="str">
        <x:v>N03｜Gold Answer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B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C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D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E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F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G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H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I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J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K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L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M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N4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5">
      <x:c r="A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B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C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D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E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F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G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H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I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J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K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L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M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N5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6">
      <x:c r="A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B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C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D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E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F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G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H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I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J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K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L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M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N6" s="25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Step 1｜simulate_ro</x:v>
      </x:c>
      <x:c r="B8" s="11" t="str">
        <x:v>Step 1｜simulate_ro</x:v>
      </x:c>
      <x:c r="C8" s="11" t="str">
        <x:v>Step 1｜simulate_ro</x:v>
      </x:c>
      <x:c r="D8" s="11" t="str">
        <x:v>Step 1｜simulate_ro</x:v>
      </x:c>
      <x:c r="E8" s="11" t="str">
        <x:v>Step 1｜simulate_ro</x:v>
      </x:c>
      <x:c r="F8" s="11" t="str">
        <x:v>Step 1｜simulate_ro</x:v>
      </x:c>
      <x:c r="G8" s="11" t="str">
        <x:v>Step 1｜simulate_ro</x:v>
      </x:c>
      <x:c r="H8" s="11" t="str">
        <x:v>Step 1｜simulate_ro</x:v>
      </x:c>
      <x:c r="I8" s="2"/>
      <x:c r="J8" s="2"/>
      <x:c r="K8" s="2"/>
      <x:c r="L8" s="2"/>
      <x:c r="M8" s="2"/>
      <x:c r="N8" s="2"/>
    </x:row>
    <x:row r="9">
      <x:c r="A9" s="16" t="str">
        <x:v>Case</x:v>
      </x:c>
      <x:c r="B9" s="16" t="str">
        <x:v>Pressure bar</x:v>
      </x:c>
      <x:c r="C9" s="16" t="str">
        <x:v>Permeate water kg/s</x:v>
      </x:c>
      <x:c r="D9" s="16" t="str">
        <x:v>NaCl ppm</x:v>
      </x:c>
      <x:c r="E9" s="16" t="str">
        <x:v>Recovery %</x:v>
      </x:c>
      <x:c r="F9" s="16" t="str">
        <x:v>Flux LMH</x:v>
      </x:c>
      <x:c r="G9" s="16" t="str">
        <x:v>Brine NaCl g/L</x:v>
      </x:c>
      <x:c r="H9" s="16" t="str">
        <x:v>Flow decision</x:v>
      </x:c>
      <x:c r="I9" s="2"/>
      <x:c r="J9" s="2" t="str">
        <x:v>Candidate</x:v>
      </x:c>
      <x:c r="K9" s="2" t="str">
        <x:v>Production</x:v>
      </x:c>
      <x:c r="L9" s="2" t="str">
        <x:v>Target</x:v>
      </x:c>
      <x:c r="M9" s="2"/>
      <x:c r="N9" s="2"/>
    </x:row>
    <x:row r="10" ht="38" customHeight="1">
      <x:c r="A10" s="18" t="str">
        <x:v>P30</x:v>
      </x:c>
      <x:c r="B10" s="18" t="n">
        <x:v>30</x:v>
      </x:c>
      <x:c r="C10" s="20" t="n">
        <x:v>0.211410525</x:v>
      </x:c>
      <x:c r="D10" s="20" t="n">
        <x:v>187.4048915</x:v>
      </x:c>
      <x:c r="E10" s="20" t="n">
        <x:v>21.4311509</x:v>
      </x:c>
      <x:c r="F10" s="20" t="n">
        <x:v>15.2215578</x:v>
      </x:c>
      <x:c r="G10" s="20" t="n">
        <x:v>23.05476452</x:v>
      </x:c>
      <x:c r="H10" s="18" t="str">
        <x:v>Flow fails</x:v>
      </x:c>
      <x:c r="I10" s="2"/>
      <x:c r="J10" s="2" t="str">
        <x:f>A10</x:f>
        <x:v>P30</x:v>
      </x:c>
      <x:c r="K10" s="2" t="n">
        <x:f>C10</x:f>
        <x:v>0.211410525</x:v>
      </x:c>
      <x:c r="L10" s="2" t="n">
        <x:f>0.25</x:f>
        <x:v>0.25</x:v>
      </x:c>
      <x:c r="M10" s="2"/>
      <x:c r="N10" s="2"/>
    </x:row>
    <x:row r="11" ht="38" customHeight="1">
      <x:c r="A11" s="26" t="str">
        <x:v>P34</x:v>
      </x:c>
      <x:c r="B11" s="26" t="n">
        <x:v>34</x:v>
      </x:c>
      <x:c r="C11" s="27" t="n">
        <x:v>0.2669244602</x:v>
      </x:c>
      <x:c r="D11" s="27" t="n">
        <x:v>159.4883353</x:v>
      </x:c>
      <x:c r="E11" s="27" t="n">
        <x:v>27.05853922</x:v>
      </x:c>
      <x:c r="F11" s="27" t="n">
        <x:v>19.21856113</x:v>
      </x:c>
      <x:c r="G11" s="27" t="n">
        <x:v>24.82863412</x:v>
      </x:c>
      <x:c r="H11" s="26" t="str">
        <x:v>Flow passes</x:v>
      </x:c>
      <x:c r="I11" s="2"/>
      <x:c r="J11" s="2" t="str">
        <x:f>A11</x:f>
        <x:v>P34</x:v>
      </x:c>
      <x:c r="K11" s="2" t="n">
        <x:f>C11</x:f>
        <x:v>0.2669244602</x:v>
      </x:c>
      <x:c r="L11" s="2" t="n">
        <x:f>0.25</x:f>
        <x:v>0.25</x:v>
      </x:c>
      <x:c r="M11" s="2"/>
      <x:c r="N11" s="2"/>
    </x:row>
    <x:row r="12" ht="38" customHeight="1">
      <x:c r="A12" s="18" t="str">
        <x:v>P38</x:v>
      </x:c>
      <x:c r="B12" s="18" t="n">
        <x:v>38</x:v>
      </x:c>
      <x:c r="C12" s="20" t="n">
        <x:v>0.3198960948</x:v>
      </x:c>
      <x:c r="D12" s="20" t="n">
        <x:v>143.0896207</x:v>
      </x:c>
      <x:c r="E12" s="20" t="n">
        <x:v>32.42822666</x:v>
      </x:c>
      <x:c r="F12" s="20" t="n">
        <x:v>23.03251882</x:v>
      </x:c>
      <x:c r="G12" s="20" t="n">
        <x:v>26.79594441</x:v>
      </x:c>
      <x:c r="H12" s="18" t="str">
        <x:v>Flow passes</x:v>
      </x:c>
      <x:c r="I12" s="2"/>
      <x:c r="J12" s="2" t="str">
        <x:f>A12</x:f>
        <x:v>P38</x:v>
      </x:c>
      <x:c r="K12" s="2" t="n">
        <x:f>C12</x:f>
        <x:v>0.3198960948</x:v>
      </x:c>
      <x:c r="L12" s="2" t="n">
        <x:f>0.25</x:f>
        <x:v>0.25</x:v>
      </x:c>
      <x:c r="M12" s="2"/>
      <x:c r="N12" s="2"/>
    </x:row>
    <x:row r="13" ht="38" customHeight="1">
      <x:c r="A13" s="18" t="str">
        <x:v>P42</x:v>
      </x:c>
      <x:c r="B13" s="18" t="n">
        <x:v>42</x:v>
      </x:c>
      <x:c r="C13" s="20" t="n">
        <x:v>0.3700947884</x:v>
      </x:c>
      <x:c r="D13" s="20" t="n">
        <x:v>133.0651235</x:v>
      </x:c>
      <x:c r="E13" s="20" t="n">
        <x:v>37.51683424</x:v>
      </x:c>
      <x:c r="F13" s="20" t="n">
        <x:v>26.64682477</x:v>
      </x:c>
      <x:c r="G13" s="20" t="n">
        <x:v>28.97131695</x:v>
      </x:c>
      <x:c r="H13" s="18" t="str">
        <x:v>Flow passes</x:v>
      </x:c>
      <x:c r="I13" s="2"/>
      <x:c r="J13" s="2" t="str">
        <x:f>A13</x:f>
        <x:v>P42</x:v>
      </x:c>
      <x:c r="K13" s="2" t="n">
        <x:f>C13</x:f>
        <x:v>0.3700947884</x:v>
      </x:c>
      <x:c r="L13" s="2" t="n">
        <x:f>0.25</x:f>
        <x:v>0.25</x:v>
      </x:c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Step 2｜equilibrate_feed</x:v>
      </x:c>
      <x:c r="B17" s="11" t="str">
        <x:v>Step 2｜equilibrate_feed</x:v>
      </x:c>
      <x:c r="C17" s="11" t="str">
        <x:v>Step 2｜equilibrate_feed</x:v>
      </x:c>
      <x:c r="D17" s="11" t="str">
        <x:v>Step 2｜equilibrate_feed</x:v>
      </x:c>
      <x:c r="E17" s="11" t="str">
        <x:v>Step 2｜equilibrate_feed</x:v>
      </x:c>
      <x:c r="F17" s="11" t="str">
        <x:v>Step 2｜equilibrate_feed</x:v>
      </x:c>
      <x:c r="G17" s="11" t="str">
        <x:v>Step 2｜equilibrate_feed</x:v>
      </x:c>
      <x:c r="H17" s="11" t="str">
        <x:v>Step 2｜equilibrate_feed</x:v>
      </x:c>
      <x:c r="I17" s="11" t="str">
        <x:v>Step 2｜equilibrate_feed</x:v>
      </x:c>
      <x:c r="J17" s="2"/>
      <x:c r="K17" s="2"/>
      <x:c r="L17" s="2"/>
      <x:c r="M17" s="2"/>
      <x:c r="N17" s="2"/>
    </x:row>
    <x:row r="18">
      <x:c r="A18" s="16" t="str">
        <x:v>Pressure case</x:v>
      </x:c>
      <x:c r="B18" s="16" t="str">
        <x:v>Actual recovery</x:v>
      </x:c>
      <x:c r="C18" s="16" t="str">
        <x:v>—</x:v>
      </x:c>
      <x:c r="D18" s="16" t="str">
        <x:v>Gypsum SI</x:v>
      </x:c>
      <x:c r="E18" s="16" t="str">
        <x:v>Anhydrite SI</x:v>
      </x:c>
      <x:c r="F18" s="16" t="str">
        <x:v>Calcite SI</x:v>
      </x:c>
      <x:c r="G18" s="16" t="str">
        <x:v>—</x:v>
      </x:c>
      <x:c r="H18" s="16" t="str">
        <x:v>pH</x:v>
      </x:c>
      <x:c r="I18" s="16" t="str">
        <x:v>Overall decision</x:v>
      </x:c>
      <x:c r="J18" s="2"/>
      <x:c r="K18" s="2"/>
      <x:c r="L18" s="2"/>
      <x:c r="M18" s="2"/>
      <x:c r="N18" s="2"/>
    </x:row>
    <x:row r="19" ht="39" customHeight="1">
      <x:c r="A19" s="18" t="str">
        <x:v>30 bar</x:v>
      </x:c>
      <x:c r="B19" s="20" t="n">
        <x:v>0.214311509</x:v>
      </x:c>
      <x:c r="C19" s="28"/>
      <x:c r="D19" s="20" t="n">
        <x:v>-0.039324675</x:v>
      </x:c>
      <x:c r="E19" s="20" t="n">
        <x:v>-0.3796705506</x:v>
      </x:c>
      <x:c r="F19" s="20" t="n">
        <x:v>-1.138631237</x:v>
      </x:c>
      <x:c r="G19" s="20"/>
      <x:c r="H19" s="20" t="n">
        <x:v>6.478817858</x:v>
      </x:c>
      <x:c r="I19" s="18" t="str">
        <x:v>SI passes, flow fails</x:v>
      </x:c>
      <x:c r="J19" s="2"/>
      <x:c r="K19" s="2"/>
      <x:c r="L19" s="2"/>
      <x:c r="M19" s="2"/>
      <x:c r="N19" s="2"/>
    </x:row>
    <x:row r="20" ht="39" customHeight="1">
      <x:c r="A20" s="26" t="str">
        <x:v>34 bar</x:v>
      </x:c>
      <x:c r="B20" s="27" t="n">
        <x:v>0.2705853922</x:v>
      </x:c>
      <x:c r="C20" s="29"/>
      <x:c r="D20" s="27" t="n">
        <x:v>-0.0072629515</x:v>
      </x:c>
      <x:c r="E20" s="27" t="n">
        <x:v>-0.346929509</x:v>
      </x:c>
      <x:c r="F20" s="27" t="n">
        <x:v>-1.09723393</x:v>
      </x:c>
      <x:c r="G20" s="27"/>
      <x:c r="H20" s="27" t="n">
        <x:v>6.471850826</x:v>
      </x:c>
      <x:c r="I20" s="26" t="str">
        <x:v>Highest overall pass / recommend</x:v>
      </x:c>
      <x:c r="J20" s="2"/>
      <x:c r="K20" s="2"/>
      <x:c r="L20" s="2"/>
      <x:c r="M20" s="2"/>
      <x:c r="N20" s="2"/>
    </x:row>
    <x:row r="21" ht="39" customHeight="1">
      <x:c r="A21" s="18" t="str">
        <x:v>38 bar</x:v>
      </x:c>
      <x:c r="B21" s="20" t="n">
        <x:v>0.3242822666</x:v>
      </x:c>
      <x:c r="C21" s="28"/>
      <x:c r="D21" s="20" t="n">
        <x:v>0.0254153306</x:v>
      </x:c>
      <x:c r="E21" s="20" t="n">
        <x:v>-0.313496987</x:v>
      </x:c>
      <x:c r="F21" s="20" t="n">
        <x:v>-1.054788494</x:v>
      </x:c>
      <x:c r="G21" s="20"/>
      <x:c r="H21" s="20" t="n">
        <x:v>6.464455142</x:v>
      </x:c>
      <x:c r="I21" s="18" t="str">
        <x:v>Gypsum supersaturated</x:v>
      </x:c>
      <x:c r="J21" s="2"/>
      <x:c r="K21" s="2"/>
      <x:c r="L21" s="2"/>
      <x:c r="M21" s="2"/>
      <x:c r="N21" s="2"/>
    </x:row>
    <x:row r="22" ht="39" customHeight="1">
      <x:c r="A22" s="18" t="str">
        <x:v>42 bar</x:v>
      </x:c>
      <x:c r="B22" s="20" t="n">
        <x:v>0.3751683424</x:v>
      </x:c>
      <x:c r="C22" s="28"/>
      <x:c r="D22" s="20" t="n">
        <x:v>0.0585544039</x:v>
      </x:c>
      <x:c r="E22" s="20" t="n">
        <x:v>-0.2795226763</x:v>
      </x:c>
      <x:c r="F22" s="20" t="n">
        <x:v>-1.011468063</x:v>
      </x:c>
      <x:c r="G22" s="20"/>
      <x:c r="H22" s="20" t="n">
        <x:v>6.456636278</x:v>
      </x:c>
      <x:c r="I22" s="18" t="str">
        <x:v>Gypsum supersaturated</x:v>
      </x:c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11" t="str">
        <x:v>Engineering calculations</x:v>
      </x:c>
      <x:c r="B25" s="11" t="str">
        <x:v>Engineering calculations</x:v>
      </x:c>
      <x:c r="C25" s="11" t="str">
        <x:v>Engineering calculations</x:v>
      </x:c>
      <x:c r="D25" s="2"/>
      <x:c r="E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F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G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H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I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J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K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L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M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N25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26">
      <x:c r="A26" s="16" t="str">
        <x:v>Metric</x:v>
      </x:c>
      <x:c r="B26" s="16" t="str">
        <x:v>Formula</x:v>
      </x:c>
      <x:c r="C26" s="16" t="str">
        <x:v>Result</x:v>
      </x:c>
      <x:c r="D26" s="2"/>
      <x:c r="E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F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G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H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I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J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K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L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M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N26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27">
      <x:c r="A27" s="18" t="str">
        <x:v>Daily permeate</x:v>
      </x:c>
      <x:c r="B27" s="18" t="str">
        <x:v>=C11*86400/1000</x:v>
      </x:c>
      <x:c r="C27" s="20" t="n">
        <x:f>C11*86400/1000</x:f>
        <x:v>23.06227336128</x:v>
      </x:c>
      <x:c r="D27" s="2"/>
      <x:c r="E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F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G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H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I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J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K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L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M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N27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28">
      <x:c r="A28" s="18" t="str">
        <x:v>Concentration factor</x:v>
      </x:c>
      <x:c r="B28" s="18" t="str">
        <x:v>=1/(1-E11/100)</x:v>
      </x:c>
      <x:c r="C28" s="20" t="n">
        <x:f>1/(1-E11/100)</x:f>
        <x:v>1.3709623982115156</x:v>
      </x:c>
      <x:c r="D28" s="2"/>
      <x:c r="E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F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G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H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I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J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K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L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M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N28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29">
      <x:c r="A29" s="18" t="str">
        <x:v>Gypsum margin</x:v>
      </x:c>
      <x:c r="B29" s="18" t="str">
        <x:v>=-D20</x:v>
      </x:c>
      <x:c r="C29" s="20" t="n">
        <x:f>-D20</x:f>
        <x:v>0.0072629515</x:v>
      </x:c>
      <x:c r="D29" s="2"/>
      <x:c r="E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F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G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H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I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J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K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L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M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N29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30">
      <x:c r="A30" s="18" t="str">
        <x:v>Production sacrificed vs 38 bar</x:v>
      </x:c>
      <x:c r="B30" s="18" t="str">
        <x:v>=C12-C11</x:v>
      </x:c>
      <x:c r="C30" s="20" t="n">
        <x:f>C12-C11</x:f>
        <x:v>0.052971634599999984</x:v>
      </x:c>
      <x:c r="D30" s="2"/>
      <x:c r="E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F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G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H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I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J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K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L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M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  <x:c r="N30" s="25" t="str">
        <x:v>Boundary evidence
30 bar fails flow at 0.21141 kg/s. At 34 bar flow passes and Gypsum SI is −0.00726. At 38 bar production rises to 0.31990 kg/s but Gypsum SI becomes +0.02542.
Final conclusion
With softening and acid prohibited, recommend the highest safe pressure of 34 bar. Permeate water is 0.26692 kg/s, NaCl 159.49 ppm, actual recovery 27.0585%, and Gypsum SI is only −0.00726; use online trend alarms and do not raise pressure.</x:v>
      </x:c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11" t="str">
        <x:v>Model boundary and reproducibility</x:v>
      </x:c>
      <x:c r="B33" s="11" t="str">
        <x:v>Model boundary and reproducibility</x:v>
      </x:c>
      <x:c r="C33" s="11" t="str">
        <x:v>Model boundary and reproducibility</x:v>
      </x:c>
      <x:c r="D33" s="11" t="str">
        <x:v>Model boundary and reproducibility</x:v>
      </x:c>
      <x:c r="E33" s="11" t="str">
        <x:v>Model boundary and reproducibility</x:v>
      </x:c>
      <x:c r="F33" s="11" t="str">
        <x:v>Model boundary and reproducibility</x:v>
      </x:c>
      <x:c r="G33" s="11" t="str">
        <x:v>Model boundary and reproducibility</x:v>
      </x:c>
      <x:c r="H33" s="11" t="str">
        <x:v>Model boundary and reproducibility</x:v>
      </x:c>
      <x:c r="I33" s="11" t="str">
        <x:v>Model boundary and reproducibility</x:v>
      </x:c>
      <x:c r="J33" s="11" t="str">
        <x:v>Model boundary and reproducibility</x:v>
      </x:c>
      <x:c r="K33" s="11" t="str">
        <x:v>Model boundary and reproducibility</x:v>
      </x:c>
      <x:c r="L33" s="11" t="str">
        <x:v>Model boundary and reproducibility</x:v>
      </x:c>
      <x:c r="M33" s="11" t="str">
        <x:v>Model boundary and reproducibility</x:v>
      </x:c>
      <x:c r="N33" s="11" t="str">
        <x:v>Model boundary and reproducibility</x:v>
      </x:c>
    </x:row>
    <x:row r="34" ht="28" customHeight="1">
      <x:c r="A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5" ht="28" customHeight="1">
      <x:c r="A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6" ht="28" customHeight="1">
      <x:c r="A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7" ht="28" customHeight="1">
      <x:c r="A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H8"/>
    <x:mergeCell ref="A17:I17"/>
    <x:mergeCell ref="A25:C25"/>
    <x:mergeCell ref="E25:N30"/>
    <x:mergeCell ref="A33:N33"/>
    <x:mergeCell ref="A34:N37"/>
  </x:mergeCells>
  <x:pageMargins left="0.7" right="0.7" top="0.75" bottom="0.75" header="0.3" footer="0.3"/>
  <x:drawing xmlns:r="http://schemas.openxmlformats.org/officeDocument/2006/relationships" r:id="R41efdf331f284bb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53" hidden="0" customWidth="1"/>
    <x:col min="4" max="4" width="43" hidden="0" customWidth="1"/>
    <x:col min="5" max="5" width="43" hidden="0" customWidth="1"/>
    <x:col min="6" max="6" width="12" hidden="0" customWidth="1"/>
    <x:col min="7" max="7" width="12" hidden="0" customWidth="1"/>
  </x:cols>
  <x:sheetData>
    <x:row r="1" ht="29" customHeight="1">
      <x:c r="A1" s="6" t="str">
        <x:v>N03｜Trajectory Rubric (100 points)</x:v>
      </x:c>
      <x:c r="B1" s="6" t="str">
        <x:v>N03｜Trajectory Rubric (100 points)</x:v>
      </x:c>
      <x:c r="C1" s="6" t="str">
        <x:v>N03｜Trajectory Rubric (100 points)</x:v>
      </x:c>
      <x:c r="D1" s="6" t="str">
        <x:v>N03｜Trajectory Rubric (100 points)</x:v>
      </x:c>
      <x:c r="E1" s="6" t="str">
        <x:v>N03｜Trajectory Rubric (100 points)</x:v>
      </x:c>
      <x:c r="F1" s="6" t="str">
        <x:v>N03｜Trajectory Rubric (100 points)</x:v>
      </x:c>
      <x:c r="G1" s="6" t="str">
        <x:v>N03｜Trajectory Rubric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N03｜Trajectory Rubric (100 points)</x:v>
      </x:c>
      <x:c r="B2" s="6" t="str">
        <x:v>N03｜Trajectory Rubric (100 points)</x:v>
      </x:c>
      <x:c r="C2" s="6" t="str">
        <x:v>N03｜Trajectory Rubric (100 points)</x:v>
      </x:c>
      <x:c r="D2" s="6" t="str">
        <x:v>N03｜Trajectory Rubric (100 points)</x:v>
      </x:c>
      <x:c r="E2" s="6" t="str">
        <x:v>N03｜Trajectory Rubric (100 points)</x:v>
      </x:c>
      <x:c r="F2" s="6" t="str">
        <x:v>N03｜Trajectory Rubric (100 points)</x:v>
      </x:c>
      <x:c r="G2" s="6" t="str">
        <x:v>N03｜Trajectory Rubric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Dimension</x:v>
      </x:c>
      <x:c r="B8" s="16" t="str">
        <x:v>Focus</x:v>
      </x:c>
      <x:c r="C8" s="16" t="str">
        <x:v>Full credit</x:v>
      </x:c>
      <x:c r="D8" s="16" t="str">
        <x:v>Partial credit</x:v>
      </x:c>
      <x:c r="E8" s="16" t="str">
        <x:v>Critical failure</x:v>
      </x:c>
      <x:c r="F8" s="16" t="str">
        <x:v>Weight</x:v>
      </x:c>
      <x:c r="G8" s="16" t="str">
        <x:v>Score</x:v>
      </x:c>
      <x:c r="H8" s="2"/>
      <x:c r="I8" s="2"/>
      <x:c r="J8" s="2"/>
      <x:c r="K8" s="2"/>
      <x:c r="L8" s="2"/>
      <x:c r="M8" s="2"/>
      <x:c r="N8" s="2"/>
    </x:row>
    <x:row r="9" ht="80" customHeight="1">
      <x:c r="A9" s="18" t="str">
        <x:v>TQ1 Problem representation</x:v>
      </x:c>
      <x:c r="B9" s="18" t="str">
        <x:v>Recognize production and second constraint</x:v>
      </x:c>
      <x:c r="C9" s="18" t="str">
        <x:v>Correctly represent: Permeate water ≥0.250 kg/s</x:v>
      </x:c>
      <x:c r="D9" s="18" t="str">
        <x:v>Main goal correct but one constraint missing</x:v>
      </x:c>
      <x:c r="E9" s="18" t="str">
        <x:v>Select on production or SI alone</x:v>
      </x:c>
      <x:c r="F9" s="18" t="n">
        <x:v>15</x:v>
      </x:c>
      <x:c r="G9" s="18"/>
      <x:c r="H9" s="2"/>
      <x:c r="I9" s="2"/>
      <x:c r="J9" s="2"/>
      <x:c r="K9" s="2"/>
      <x:c r="L9" s="2"/>
      <x:c r="M9" s="2"/>
      <x:c r="N9" s="2"/>
    </x:row>
    <x:row r="10" ht="80" customHeight="1">
      <x:c r="A10" s="18" t="str">
        <x:v>TQ2 Tool choice</x:v>
      </x:c>
      <x:c r="B10" s="18" t="str">
        <x:v>Use simulate_ro and equilibrate_feed correctly</x:v>
      </x:c>
      <x:c r="C10" s="18" t="str">
        <x:v>Clear model roles and correct units</x:v>
      </x:c>
      <x:c r="D10" s="18" t="str">
        <x:v>Right tools but incomplete unit/metadata basis</x:v>
      </x:c>
      <x:c r="E10" s="18" t="str">
        <x:v>Wrong module/plant tool or one tool only</x:v>
      </x:c>
      <x:c r="F10" s="18" t="n">
        <x:v>15</x:v>
      </x:c>
      <x:c r="G10" s="18"/>
      <x:c r="H10" s="2"/>
      <x:c r="I10" s="2"/>
      <x:c r="J10" s="2"/>
      <x:c r="K10" s="2"/>
      <x:c r="L10" s="2"/>
      <x:c r="M10" s="2"/>
      <x:c r="N10" s="2"/>
    </x:row>
    <x:row r="11" ht="80" customHeight="1">
      <x:c r="A11" s="18" t="str">
        <x:v>TQ3 Controlled comparison</x:v>
      </x:c>
      <x:c r="B11" s="18" t="str">
        <x:v>Hold non-target inputs fixed</x:v>
      </x:c>
      <x:c r="C11" s="18" t="str">
        <x:v>Only stated design variables change</x:v>
      </x:c>
      <x:c r="D11" s="18" t="str">
        <x:v>Minor non-controlling difference</x:v>
      </x:c>
      <x:c r="E11" s="18" t="str">
        <x:v>Change salinity, temperature, or composition across candidates</x:v>
      </x:c>
      <x:c r="F11" s="18" t="n">
        <x:v>15</x:v>
      </x:c>
      <x:c r="G11" s="18"/>
      <x:c r="H11" s="2"/>
      <x:c r="I11" s="2"/>
      <x:c r="J11" s="2"/>
      <x:c r="K11" s="2"/>
      <x:c r="L11" s="2"/>
      <x:c r="M11" s="2"/>
      <x:c r="N11" s="2"/>
    </x:row>
    <x:row r="12" ht="80" customHeight="1">
      <x:c r="A12" s="18" t="str">
        <x:v>TQ4 Cross-model coupling</x:v>
      </x:c>
      <x:c r="B12" s="18" t="str">
        <x:v>Pass actual recovery</x:v>
      </x:c>
      <x:c r="C12" s="18" t="str">
        <x:v>Selected and necessary boundary cases use actual simulate_ro recovery</x:v>
      </x:c>
      <x:c r="D12" s="18" t="str">
        <x:v>Rounding only</x:v>
      </x:c>
      <x:c r="E12" s="18" t="str">
        <x:v>Use nominal or target recovery</x:v>
      </x:c>
      <x:c r="F12" s="18" t="n">
        <x:v>20</x:v>
      </x:c>
      <x:c r="G12" s="18"/>
      <x:c r="H12" s="2"/>
      <x:c r="I12" s="2"/>
      <x:c r="J12" s="2"/>
      <x:c r="K12" s="2"/>
      <x:c r="L12" s="2"/>
      <x:c r="M12" s="2"/>
      <x:c r="N12" s="2"/>
    </x:row>
    <x:row r="13" ht="80" customHeight="1">
      <x:c r="A13" s="18" t="str">
        <x:v>TQ5 Boundary proof</x:v>
      </x:c>
      <x:c r="B13" s="18" t="str">
        <x:v>Adjacent fail/pass evidence</x:v>
      </x:c>
      <x:c r="C13" s="18" t="str">
        <x:v>30 bar fails flow at 0.21141 kg/s. At 34 bar flow passes and Gypsum SI is −0.00726. At 38 bar production rises to 0.31990 kg/s but Gypsum SI becomes +0.02542.</x:v>
      </x:c>
      <x:c r="D13" s="18" t="str">
        <x:v>Right answer but one boundary missing</x:v>
      </x:c>
      <x:c r="E13" s="18" t="str">
        <x:v>Report selected point only</x:v>
      </x:c>
      <x:c r="F13" s="18" t="n">
        <x:v>20</x:v>
      </x:c>
      <x:c r="G13" s="18"/>
      <x:c r="H13" s="2"/>
      <x:c r="I13" s="2"/>
      <x:c r="J13" s="2"/>
      <x:c r="K13" s="2"/>
      <x:c r="L13" s="2"/>
      <x:c r="M13" s="2"/>
      <x:c r="N13" s="2"/>
    </x:row>
    <x:row r="14" ht="80" customHeight="1">
      <x:c r="A14" s="18" t="str">
        <x:v>TQ6 Decision and scope</x:v>
      </x:c>
      <x:c r="B14" s="18" t="str">
        <x:v>Executable conclusion and model limits</x:v>
      </x:c>
      <x:c r="C14" s="18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D14" s="18" t="str">
        <x:v>Right conclusion but missing value or limitation</x:v>
      </x:c>
      <x:c r="E14" s="18" t="str">
        <x:v>Recommend failing case or treat SI as guarantee</x:v>
      </x:c>
      <x:c r="F14" s="18" t="n">
        <x:v>15</x:v>
      </x:c>
      <x:c r="G14" s="18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  <x:c r="H17" s="2"/>
      <x:c r="I17" s="2"/>
      <x:c r="J17" s="2"/>
      <x:c r="K17" s="2"/>
      <x:c r="L17" s="2"/>
      <x:c r="M17" s="2"/>
      <x:c r="N17" s="2"/>
    </x:row>
    <x:row r="18" ht="47" customHeight="1">
      <x:c r="A18" s="18" t="str">
        <x:v>Recommended case</x:v>
      </x:c>
      <x:c r="B18" s="18" t="str">
        <x:v>With softening and acid prohibited, recommend the highest safe pressure of 34 bar. Permeate water is 0.26692 kg/s, NaCl 159.49 ppm, actual recovery 27.0585%, and Gypsum SI is only −0.00726; use online trend alarms and do not raise pressure.</x:v>
      </x:c>
      <x:c r="C18" s="18"/>
      <x:c r="D18" s="18"/>
      <x:c r="E18" s="18"/>
      <x:c r="F18" s="18"/>
      <x:c r="G18" s="18"/>
      <x:c r="H18" s="2"/>
      <x:c r="I18" s="2"/>
      <x:c r="J18" s="2"/>
      <x:c r="K18" s="2"/>
      <x:c r="L18" s="2"/>
      <x:c r="M18" s="2"/>
      <x:c r="N18" s="2"/>
    </x:row>
    <x:row r="19" ht="47" customHeight="1">
      <x:c r="A19" s="18" t="str">
        <x:v>Boundary evidence</x:v>
      </x:c>
      <x:c r="B19" s="18" t="str">
        <x:v>30 bar fails flow at 0.21141 kg/s. At 34 bar flow passes and Gypsum SI is −0.00726. At 38 bar production rises to 0.31990 kg/s but Gypsum SI becomes +0.02542.</x:v>
      </x:c>
      <x:c r="C19" s="18"/>
      <x:c r="D19" s="18"/>
      <x:c r="E19" s="18"/>
      <x:c r="F19" s="18"/>
      <x:c r="G19" s="18"/>
      <x:c r="H19" s="2"/>
      <x:c r="I19" s="2"/>
      <x:c r="J19" s="2"/>
      <x:c r="K19" s="2"/>
      <x:c r="L19" s="2"/>
      <x:c r="M19" s="2"/>
      <x:c r="N19" s="2"/>
    </x:row>
    <x:row r="20" ht="47" customHeight="1">
      <x:c r="A20" s="18" t="str">
        <x:v>Reference calls</x:v>
      </x:c>
      <x:c r="B20" s="18" t="str">
        <x:v>4 simulate_ro + 4 equilibrate_feed</x:v>
      </x:c>
      <x:c r="C20" s="18"/>
      <x:c r="D20" s="18"/>
      <x:c r="E20" s="18"/>
      <x:c r="F20" s="18"/>
      <x:c r="G20" s="18"/>
      <x:c r="H20" s="2"/>
      <x:c r="I20" s="2"/>
      <x:c r="J20" s="2"/>
      <x:c r="K20" s="2"/>
      <x:c r="L20" s="2"/>
      <x:c r="M20" s="2"/>
      <x:c r="N20" s="2"/>
    </x:row>
    <x:row r="21" ht="47" customHeight="1">
      <x:c r="A21" s="18" t="str">
        <x:v>Stopping rule</x:v>
      </x:c>
      <x:c r="B21" s="18" t="str">
        <x:v>All hard constraints pass and adjacent failure is proven</x:v>
      </x:c>
      <x:c r="C21" s="18"/>
      <x:c r="D21" s="18"/>
      <x:c r="E21" s="18"/>
      <x:c r="F21" s="18"/>
      <x:c r="G21" s="18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52" hidden="0" customWidth="1"/>
    <x:col min="4" max="4" width="43" hidden="0" customWidth="1"/>
    <x:col min="5" max="5" width="43" hidden="0" customWidth="1"/>
    <x:col min="6" max="6" width="51" hidden="0" customWidth="1"/>
    <x:col min="7" max="7" width="12" hidden="0" customWidth="1"/>
  </x:cols>
  <x:sheetData>
    <x:row r="1" ht="29" customHeight="1">
      <x:c r="A1" s="6" t="str">
        <x:v>N03｜Tool Efficiency (100 points)</x:v>
      </x:c>
      <x:c r="B1" s="6" t="str">
        <x:v>N03｜Tool Efficiency (100 points)</x:v>
      </x:c>
      <x:c r="C1" s="6" t="str">
        <x:v>N03｜Tool Efficiency (100 points)</x:v>
      </x:c>
      <x:c r="D1" s="6" t="str">
        <x:v>N03｜Tool Efficiency (100 points)</x:v>
      </x:c>
      <x:c r="E1" s="6" t="str">
        <x:v>N03｜Tool Efficiency (100 points)</x:v>
      </x:c>
      <x:c r="F1" s="6" t="str">
        <x:v>N03｜Tool Efficiency (100 points)</x:v>
      </x:c>
      <x:c r="G1" s="6" t="str">
        <x:v>N03｜Tool Efficiency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N03｜Tool Efficiency (100 points)</x:v>
      </x:c>
      <x:c r="B2" s="6" t="str">
        <x:v>N03｜Tool Efficiency (100 points)</x:v>
      </x:c>
      <x:c r="C2" s="6" t="str">
        <x:v>N03｜Tool Efficiency (100 points)</x:v>
      </x:c>
      <x:c r="D2" s="6" t="str">
        <x:v>N03｜Tool Efficiency (100 points)</x:v>
      </x:c>
      <x:c r="E2" s="6" t="str">
        <x:v>N03｜Tool Efficiency (100 points)</x:v>
      </x:c>
      <x:c r="F2" s="6" t="str">
        <x:v>N03｜Tool Efficiency (100 points)</x:v>
      </x:c>
      <x:c r="G2" s="6" t="str">
        <x:v>N03｜Tool Efficiency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Reference trajectory: 4 simulate_ro + 4 equilibrate_feed. Efficiency means every call changes the next decision, locks a boundary, or proves reusable—not merely fewer calls.</x:v>
      </x:c>
      <x:c r="B4" s="9" t="str">
        <x:v>Reference trajectory: 4 simulate_ro + 4 equilibrate_feed. Efficiency means every call changes the next decision, locks a boundary, or proves reusable—not merely fewer calls.</x:v>
      </x:c>
      <x:c r="C4" s="9" t="str">
        <x:v>Reference trajectory: 4 simulate_ro + 4 equilibrate_feed. Efficiency means every call changes the next decision, locks a boundary, or proves reusable—not merely fewer calls.</x:v>
      </x:c>
      <x:c r="D4" s="9" t="str">
        <x:v>Reference trajectory: 4 simulate_ro + 4 equilibrate_feed. Efficiency means every call changes the next decision, locks a boundary, or proves reusable—not merely fewer calls.</x:v>
      </x:c>
      <x:c r="E4" s="9" t="str">
        <x:v>Reference trajectory: 4 simulate_ro + 4 equilibrate_feed. Efficiency means every call changes the next decision, locks a boundary, or proves reusable—not merely fewer calls.</x:v>
      </x:c>
      <x:c r="F4" s="9" t="str">
        <x:v>Reference trajectory: 4 simulate_ro + 4 equilibrate_feed. Efficiency means every call changes the next decision, locks a boundary, or proves reusable—not merely fewer calls.</x:v>
      </x:c>
      <x:c r="G4" s="9" t="str">
        <x:v>Reference trajectory: 4 simulate_ro + 4 equilibrate_feed. Efficiency means every call changes the next decision, locks a boundary, or proves reusable—not merely fewer calls.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Reference trajectory: 4 simulate_ro + 4 equilibrate_feed. Efficiency means every call changes the next decision, locks a boundary, or proves reusable—not merely fewer calls.</x:v>
      </x:c>
      <x:c r="B5" s="9" t="str">
        <x:v>Reference trajectory: 4 simulate_ro + 4 equilibrate_feed. Efficiency means every call changes the next decision, locks a boundary, or proves reusable—not merely fewer calls.</x:v>
      </x:c>
      <x:c r="C5" s="9" t="str">
        <x:v>Reference trajectory: 4 simulate_ro + 4 equilibrate_feed. Efficiency means every call changes the next decision, locks a boundary, or proves reusable—not merely fewer calls.</x:v>
      </x:c>
      <x:c r="D5" s="9" t="str">
        <x:v>Reference trajectory: 4 simulate_ro + 4 equilibrate_feed. Efficiency means every call changes the next decision, locks a boundary, or proves reusable—not merely fewer calls.</x:v>
      </x:c>
      <x:c r="E5" s="9" t="str">
        <x:v>Reference trajectory: 4 simulate_ro + 4 equilibrate_feed. Efficiency means every call changes the next decision, locks a boundary, or proves reusable—not merely fewer calls.</x:v>
      </x:c>
      <x:c r="F5" s="9" t="str">
        <x:v>Reference trajectory: 4 simulate_ro + 4 equilibrate_feed. Efficiency means every call changes the next decision, locks a boundary, or proves reusable—not merely fewer calls.</x:v>
      </x:c>
      <x:c r="G5" s="9" t="str">
        <x:v>Reference trajectory: 4 simulate_ro + 4 equilibrate_feed. Efficiency means every call changes the next decision, locks a boundary, or proves reusable—not merely fewer calls.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Reference trajectory: 4 simulate_ro + 4 equilibrate_feed. Efficiency means every call changes the next decision, locks a boundary, or proves reusable—not merely fewer calls.</x:v>
      </x:c>
      <x:c r="B6" s="9" t="str">
        <x:v>Reference trajectory: 4 simulate_ro + 4 equilibrate_feed. Efficiency means every call changes the next decision, locks a boundary, or proves reusable—not merely fewer calls.</x:v>
      </x:c>
      <x:c r="C6" s="9" t="str">
        <x:v>Reference trajectory: 4 simulate_ro + 4 equilibrate_feed. Efficiency means every call changes the next decision, locks a boundary, or proves reusable—not merely fewer calls.</x:v>
      </x:c>
      <x:c r="D6" s="9" t="str">
        <x:v>Reference trajectory: 4 simulate_ro + 4 equilibrate_feed. Efficiency means every call changes the next decision, locks a boundary, or proves reusable—not merely fewer calls.</x:v>
      </x:c>
      <x:c r="E6" s="9" t="str">
        <x:v>Reference trajectory: 4 simulate_ro + 4 equilibrate_feed. Efficiency means every call changes the next decision, locks a boundary, or proves reusable—not merely fewer calls.</x:v>
      </x:c>
      <x:c r="F6" s="9" t="str">
        <x:v>Reference trajectory: 4 simulate_ro + 4 equilibrate_feed. Efficiency means every call changes the next decision, locks a boundary, or proves reusable—not merely fewer calls.</x:v>
      </x:c>
      <x:c r="G6" s="9" t="str">
        <x:v>Reference trajectory: 4 simulate_ro + 4 equilibrate_feed. Efficiency means every call changes the next decision, locks a boundary, or proves reusable—not merely fewer calls.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Efficiency dimension</x:v>
      </x:c>
      <x:c r="B8" s="16" t="str">
        <x:v>Focus</x:v>
      </x:c>
      <x:c r="C8" s="16" t="str">
        <x:v>Full credit</x:v>
      </x:c>
      <x:c r="D8" s="16" t="str">
        <x:v>Medium</x:v>
      </x:c>
      <x:c r="E8" s="16" t="str">
        <x:v>Low</x:v>
      </x:c>
      <x:c r="F8" s="16" t="str">
        <x:v>Benchmark evidence</x:v>
      </x:c>
      <x:c r="G8" s="16" t="str">
        <x:v>Points</x:v>
      </x:c>
      <x:c r="H8" s="2"/>
      <x:c r="I8" s="2"/>
      <x:c r="J8" s="2"/>
      <x:c r="K8" s="2"/>
      <x:c r="L8" s="2"/>
      <x:c r="M8" s="2"/>
      <x:c r="N8" s="2"/>
    </x:row>
    <x:row r="9" ht="82" customHeight="1">
      <x:c r="A9" s="18" t="str">
        <x:v>E1 Tool routing</x:v>
      </x:c>
      <x:c r="B9" s="18" t="str">
        <x:v>Match model to decision level</x:v>
      </x:c>
      <x:c r="C9" s="18" t="str">
        <x:v>simulate_ro for production/energy; equilibrate_feed for scaling</x:v>
      </x:c>
      <x:c r="D9" s="18" t="str">
        <x:v>Right tools, unclear order</x:v>
      </x:c>
      <x:c r="E9" s="18" t="str">
        <x:v>Irrelevant tools or repeated solving</x:v>
      </x:c>
      <x:c r="F9" s="18" t="str">
        <x:v>Process first, chemistry second</x:v>
      </x:c>
      <x:c r="G9" s="18" t="n">
        <x:v>20</x:v>
      </x:c>
      <x:c r="H9" s="2"/>
      <x:c r="I9" s="2"/>
      <x:c r="J9" s="2"/>
      <x:c r="K9" s="2"/>
      <x:c r="L9" s="2"/>
      <x:c r="M9" s="2"/>
      <x:c r="N9" s="2"/>
    </x:row>
    <x:row r="10" ht="82" customHeight="1">
      <x:c r="A10" s="18" t="str">
        <x:v>E2 Input reuse</x:v>
      </x:c>
      <x:c r="B10" s="18" t="str">
        <x:v>Controlled variable/package comparison</x:v>
      </x:c>
      <x:c r="C10" s="18" t="str">
        <x:v>Hold all non-target inputs fixed</x:v>
      </x:c>
      <x:c r="D10" s="18" t="str">
        <x:v>Minor repeated-input error</x:v>
      </x:c>
      <x:c r="E10" s="18" t="str">
        <x:v>Candidates are not comparable</x:v>
      </x:c>
      <x:c r="F10" s="18" t="str">
        <x:v>Composition and fixed conditions held</x:v>
      </x:c>
      <x:c r="G10" s="18" t="n">
        <x:v>20</x:v>
      </x:c>
      <x:c r="H10" s="2"/>
      <x:c r="I10" s="2"/>
      <x:c r="J10" s="2"/>
      <x:c r="K10" s="2"/>
      <x:c r="L10" s="2"/>
      <x:c r="M10" s="2"/>
      <x:c r="N10" s="2"/>
    </x:row>
    <x:row r="11" ht="82" customHeight="1">
      <x:c r="A11" s="18" t="str">
        <x:v>E3 Information gain</x:v>
      </x:c>
      <x:c r="B11" s="18" t="str">
        <x:v>Screen production before necessary chemistry</x:v>
      </x:c>
      <x:c r="C11" s="18" t="str">
        <x:v>Prune hard-constraint failures early</x:v>
      </x:c>
      <x:c r="D11" s="18" t="str">
        <x:v>One or two low-value calls</x:v>
      </x:c>
      <x:c r="E11" s="18" t="str">
        <x:v>Blind Cartesian grid</x:v>
      </x:c>
      <x:c r="F11" s="18" t="str">
        <x:v>30 bar fails flow at 0.21141 kg/s. At 34 bar flow passes and Gypsum SI is −0.00726. At 38 bar production rises to 0.31990 kg/s but Gypsum SI becomes +0.02542.</x:v>
      </x:c>
      <x:c r="G11" s="18" t="n">
        <x:v>20</x:v>
      </x:c>
      <x:c r="H11" s="2"/>
      <x:c r="I11" s="2"/>
      <x:c r="J11" s="2"/>
      <x:c r="K11" s="2"/>
      <x:c r="L11" s="2"/>
      <x:c r="M11" s="2"/>
      <x:c r="N11" s="2"/>
    </x:row>
    <x:row r="12" ht="82" customHeight="1">
      <x:c r="A12" s="18" t="str">
        <x:v>E4 Adaptive pruning</x:v>
      </x:c>
      <x:c r="B12" s="18" t="str">
        <x:v>Stop failed branches</x:v>
      </x:c>
      <x:c r="C12" s="18" t="str">
        <x:v>Use salinity, SEC, SI, or site constraints to prune</x:v>
      </x:c>
      <x:c r="D12" s="18" t="str">
        <x:v>Minor redundancy</x:v>
      </x:c>
      <x:c r="E12" s="18" t="str">
        <x:v>Continue rejected routes</x:v>
      </x:c>
      <x:c r="F12" s="18" t="str">
        <x:v>Every failure changes next action</x:v>
      </x:c>
      <x:c r="G12" s="18" t="n">
        <x:v>20</x:v>
      </x:c>
      <x:c r="H12" s="2"/>
      <x:c r="I12" s="2"/>
      <x:c r="J12" s="2"/>
      <x:c r="K12" s="2"/>
      <x:c r="L12" s="2"/>
      <x:c r="M12" s="2"/>
      <x:c r="N12" s="2"/>
    </x:row>
    <x:row r="13" ht="82" customHeight="1">
      <x:c r="A13" s="18" t="str">
        <x:v>E5 Stop transparency</x:v>
      </x:c>
      <x:c r="B13" s="18" t="str">
        <x:v>Stop with sufficient evidence</x:v>
      </x:c>
      <x:c r="C13" s="18" t="str">
        <x:v>Report calls, reuse, boundaries, and limitations</x:v>
      </x:c>
      <x:c r="D13" s="18" t="str">
        <x:v>Slight over-call or one unclear basis</x:v>
      </x:c>
      <x:c r="E13" s="18" t="str">
        <x:v>Hidden assumptions or enumeration</x:v>
      </x:c>
      <x:c r="F13" s="18" t="str">
        <x:v>Recommend: With softening and acid prohibited, recommend the highest safe pressure of 34 bar. Permeate water is 0.26692 kg/s, NaCl 159.49 ppm, actual recovery 27.0585%, and Gypsum SI is only −0.00726; use online trend alarms and do not raise pressure.</x:v>
      </x:c>
      <x:c r="G13" s="18" t="n">
        <x:v>20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4" t="str">
        <x:v>Tool-efficiency total</x:v>
      </x:c>
      <x:c r="G15" s="24" t="n">
        <x:f>SUM(G9:G13)</x:f>
        <x:v>100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11" t="str">
        <x:v>Efficient reference trajectory</x:v>
      </x:c>
      <x:c r="B18" s="11" t="str">
        <x:v>Efficient reference trajectory</x:v>
      </x:c>
      <x:c r="C18" s="11" t="str">
        <x:v>Efficient reference trajectory</x:v>
      </x:c>
      <x:c r="D18" s="11" t="str">
        <x:v>Efficient reference trajectory</x:v>
      </x:c>
      <x:c r="E18" s="11" t="str">
        <x:v>Efficient reference trajectory</x:v>
      </x:c>
      <x:c r="F18" s="11" t="str">
        <x:v>Efficient reference trajectory</x:v>
      </x:c>
      <x:c r="G18" s="11" t="str">
        <x:v>Efficient reference trajectory</x:v>
      </x:c>
      <x:c r="H18" s="2"/>
      <x:c r="I18" s="2"/>
      <x:c r="J18" s="2"/>
      <x:c r="K18" s="2"/>
      <x:c r="L18" s="2"/>
      <x:c r="M18" s="2"/>
      <x:c r="N18" s="2"/>
    </x:row>
    <x:row r="19">
      <x:c r="A19" s="16" t="str">
        <x:v>Stage</x:v>
      </x:c>
      <x:c r="B19" s="16" t="str">
        <x:v>Action/tool</x:v>
      </x:c>
      <x:c r="C19" s="16" t="str">
        <x:v>Call logic</x:v>
      </x:c>
      <x:c r="D19" s="16" t="str">
        <x:v>Key observation</x:v>
      </x:c>
      <x:c r="E19" s="16" t="str">
        <x:v>Prune/reuse</x:v>
      </x:c>
      <x:c r="F19" s="16" t="str">
        <x:v>Next</x:v>
      </x:c>
      <x:c r="G19" s="16" t="str">
        <x:v>Role</x:v>
      </x:c>
      <x:c r="H19" s="2"/>
      <x:c r="I19" s="2"/>
      <x:c r="J19" s="2"/>
      <x:c r="K19" s="2"/>
      <x:c r="L19" s="2"/>
      <x:c r="M19" s="2"/>
      <x:c r="N19" s="2"/>
    </x:row>
    <x:row r="20" ht="53" customHeight="1">
      <x:c r="A20" s="18" t="str">
        <x:v>1</x:v>
      </x:c>
      <x:c r="B20" s="18" t="str">
        <x:v>Read definitions</x:v>
      </x:c>
      <x:c r="C20" s="18" t="str">
        <x:v>Confirm units and scope</x:v>
      </x:c>
      <x:c r="D20" s="18" t="str">
        <x:v>Prepare controlled inputs</x:v>
      </x:c>
      <x:c r="E20" s="18" t="str">
        <x:v>—</x:v>
      </x:c>
      <x:c r="F20" s="18" t="str">
        <x:v>Run candidates</x:v>
      </x:c>
      <x:c r="G20" s="18" t="str">
        <x:v>Metadata</x:v>
      </x:c>
      <x:c r="H20" s="2"/>
      <x:c r="I20" s="2"/>
      <x:c r="J20" s="2"/>
      <x:c r="K20" s="2"/>
      <x:c r="L20" s="2"/>
      <x:c r="M20" s="2"/>
      <x:c r="N20" s="2"/>
    </x:row>
    <x:row r="21" ht="53" customHeight="1">
      <x:c r="A21" s="18" t="str">
        <x:v>2</x:v>
      </x:c>
      <x:c r="B21" s="18" t="str">
        <x:v>simulate_ro</x:v>
      </x:c>
      <x:c r="C21" s="18" t="str">
        <x:v>Compare all design points</x:v>
      </x:c>
      <x:c r="D21" s="18" t="str">
        <x:v>Lock production/quality/energy candidates</x:v>
      </x:c>
      <x:c r="E21" s="18" t="str">
        <x:v>Prune hard failures</x:v>
      </x:c>
      <x:c r="F21" s="18" t="str">
        <x:v>Pass actual recovery</x:v>
      </x:c>
      <x:c r="G21" s="18" t="str">
        <x:v>Process</x:v>
      </x:c>
      <x:c r="H21" s="2"/>
      <x:c r="I21" s="2"/>
      <x:c r="J21" s="2"/>
      <x:c r="K21" s="2"/>
      <x:c r="L21" s="2"/>
      <x:c r="M21" s="2"/>
      <x:c r="N21" s="2"/>
    </x:row>
    <x:row r="22" ht="53" customHeight="1">
      <x:c r="A22" s="18" t="str">
        <x:v>3</x:v>
      </x:c>
      <x:c r="B22" s="18" t="str">
        <x:v>equilibrate_feed</x:v>
      </x:c>
      <x:c r="C22" s="18" t="str">
        <x:v>Evaluate only necessary unique recoveries</x:v>
      </x:c>
      <x:c r="D22" s="18" t="str">
        <x:v>Identify controlling mineral and boundary</x:v>
      </x:c>
      <x:c r="E22" s="18" t="str">
        <x:v>Reuse duplicate recovery</x:v>
      </x:c>
      <x:c r="F22" s="18" t="str">
        <x:v>Form joint decision</x:v>
      </x:c>
      <x:c r="G22" s="18" t="str">
        <x:v>Chemistry</x:v>
      </x:c>
      <x:c r="H22" s="2"/>
      <x:c r="I22" s="2"/>
      <x:c r="J22" s="2"/>
      <x:c r="K22" s="2"/>
      <x:c r="L22" s="2"/>
      <x:c r="M22" s="2"/>
      <x:c r="N22" s="2"/>
    </x:row>
    <x:row r="23" ht="53" customHeight="1">
      <x:c r="A23" s="18" t="str">
        <x:v>4</x:v>
      </x:c>
      <x:c r="B23" s="18" t="str">
        <x:v>Boundary check</x:v>
      </x:c>
      <x:c r="C23" s="18" t="str">
        <x:v>Compare adjacent fail/pass</x:v>
      </x:c>
      <x:c r="D23" s="18" t="str">
        <x:v>Prove minimum/maximum/uniqueness</x:v>
      </x:c>
      <x:c r="E23" s="18" t="str">
        <x:v>Stop low-value calls</x:v>
      </x:c>
      <x:c r="F23" s="18" t="str">
        <x:v>Engineering conversion</x:v>
      </x:c>
      <x:c r="G23" s="18" t="str">
        <x:v>Convergence</x:v>
      </x:c>
      <x:c r="H23" s="2"/>
      <x:c r="I23" s="2"/>
      <x:c r="J23" s="2"/>
      <x:c r="K23" s="2"/>
      <x:c r="L23" s="2"/>
      <x:c r="M23" s="2"/>
      <x:c r="N23" s="2"/>
    </x:row>
    <x:row r="24" ht="53" customHeight="1">
      <x:c r="A24" s="18" t="str">
        <x:v>5</x:v>
      </x:c>
      <x:c r="B24" s="18" t="str">
        <x:v>Stop</x:v>
      </x:c>
      <x:c r="C24" s="18" t="str">
        <x:v>Report limits and conclusion</x:v>
      </x:c>
      <x:c r="D24" s="18" t="str">
        <x:v>Evidence sufficient</x:v>
      </x:c>
      <x:c r="E24" s="18" t="str">
        <x:v>Do not extend grid</x:v>
      </x:c>
      <x:c r="F24" s="18" t="str">
        <x:v>Write Gold Answer</x:v>
      </x:c>
      <x:c r="G24" s="18" t="str">
        <x:v>Decision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