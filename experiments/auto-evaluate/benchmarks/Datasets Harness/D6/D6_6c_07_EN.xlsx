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d0058d90b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c8f86441b834473"/>
    <x:sheet xmlns:r="http://schemas.openxmlformats.org/officeDocument/2006/relationships" name="Gold_Answer_A" sheetId="2" r:id="R78af3020f26f4428"/>
    <x:sheet xmlns:r="http://schemas.openxmlformats.org/officeDocument/2006/relationships" name="Trajectory_Rubric" sheetId="3" r:id="Rffbc432f09fe4145"/>
    <x:sheet xmlns:r="http://schemas.openxmlformats.org/officeDocument/2006/relationships" name="Tool_Efficiency" sheetId="4" r:id="R55d1ec03ba0c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E+00"/>
    <x:numFmt numFmtId="202" formatCode="0.0%"/>
    <x:numFmt numFmtId="203" formatCode="0.000"/>
    <x:numFmt numFmtId="204" formatCode="0%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204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7188f80bc441b" /><Relationship Type="http://schemas.openxmlformats.org/officeDocument/2006/relationships/theme" Target="/xl/theme/theme1.xml" Id="R7eb3d5aba6c74e1f" /><Relationship Type="http://schemas.openxmlformats.org/officeDocument/2006/relationships/sharedStrings" Target="/xl/sharedStrings.xml" Id="R8d084a6cfb6e4dcd" /><Relationship Type="http://schemas.openxmlformats.org/officeDocument/2006/relationships/worksheet" Target="/xl/worksheets/sheet1.xml" Id="Rcc8f86441b834473" /><Relationship Type="http://schemas.openxmlformats.org/officeDocument/2006/relationships/worksheet" Target="/xl/worksheets/sheet2.xml" Id="R78af3020f26f4428" /><Relationship Type="http://schemas.openxmlformats.org/officeDocument/2006/relationships/worksheet" Target="/xl/worksheets/sheet3.xml" Id="Rffbc432f09fe4145" /><Relationship Type="http://schemas.openxmlformats.org/officeDocument/2006/relationships/worksheet" Target="/xl/worksheets/sheet4.xml" Id="R55d1ec03ba0c4d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D6_6c-07 | Variable-pressure strategy across summer and winter conditions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An SWRO plant is considering seasonal pressure control. Summer accounts for 60% of annual operating hours at 30°C and winter 40% at 12°C. Run every strategy-season row through both models, then aggregate worst-case quality/output and annual weighted SEC by strategy.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P1-S</x:v>
      </x:c>
      <x:c r="B12" s="29" t="str">
        <x:v>Fixed 60 bar - summer</x:v>
      </x:c>
      <x:c r="C12" s="30" t="n">
        <x:v>60</x:v>
      </x:c>
      <x:c r="D12" s="30" t="n">
        <x:v>70</x:v>
      </x:c>
      <x:c r="E12" s="30" t="n">
        <x:v>7000</x:v>
      </x:c>
      <x:c r="F12" s="30" t="n">
        <x:v>30</x:v>
      </x:c>
      <x:c r="G12" s="31" t="n">
        <x:v>4.2e-12</x:v>
      </x:c>
      <x:c r="H12" s="31" t="n">
        <x:v>3.5e-8</x:v>
      </x:c>
      <x:c r="I12" s="29" t="str">
        <x:v>PX</x:v>
      </x:c>
      <x:c r="J12" s="32" t="n">
        <x:v>0.95</x:v>
      </x:c>
      <x:c r="K12" s="32" t="n">
        <x:v>0.6</x:v>
      </x:c>
    </x:row>
    <x:row r="13">
      <x:c r="A13" s="29" t="str">
        <x:v>P1-W</x:v>
      </x:c>
      <x:c r="B13" s="29" t="str">
        <x:v>Fixed 60 bar - winter</x:v>
      </x:c>
      <x:c r="C13" s="30" t="n">
        <x:v>60</x:v>
      </x:c>
      <x:c r="D13" s="30" t="n">
        <x:v>70</x:v>
      </x:c>
      <x:c r="E13" s="30" t="n">
        <x:v>7000</x:v>
      </x:c>
      <x:c r="F13" s="30" t="n">
        <x:v>12</x:v>
      </x:c>
      <x:c r="G13" s="31" t="n">
        <x:v>4.2e-12</x:v>
      </x:c>
      <x:c r="H13" s="31" t="n">
        <x:v>3.5e-8</x:v>
      </x:c>
      <x:c r="I13" s="29" t="str">
        <x:v>PX</x:v>
      </x:c>
      <x:c r="J13" s="32" t="n">
        <x:v>0.95</x:v>
      </x:c>
      <x:c r="K13" s="32" t="n">
        <x:v>0.4</x:v>
      </x:c>
    </x:row>
    <x:row r="14">
      <x:c r="A14" s="29" t="str">
        <x:v>P2-S</x:v>
      </x:c>
      <x:c r="B14" s="29" t="str">
        <x:v>Fixed 65 bar - summer</x:v>
      </x:c>
      <x:c r="C14" s="30" t="n">
        <x:v>65</x:v>
      </x:c>
      <x:c r="D14" s="30" t="n">
        <x:v>60</x:v>
      </x:c>
      <x:c r="E14" s="30" t="n">
        <x:v>6000</x:v>
      </x:c>
      <x:c r="F14" s="30" t="n">
        <x:v>30</x:v>
      </x:c>
      <x:c r="G14" s="31" t="n">
        <x:v>4.2e-12</x:v>
      </x:c>
      <x:c r="H14" s="31" t="n">
        <x:v>3.5e-8</x:v>
      </x:c>
      <x:c r="I14" s="29" t="str">
        <x:v>PX</x:v>
      </x:c>
      <x:c r="J14" s="32" t="n">
        <x:v>0.95</x:v>
      </x:c>
      <x:c r="K14" s="32" t="n">
        <x:v>0.6</x:v>
      </x:c>
    </x:row>
    <x:row r="15">
      <x:c r="A15" s="29" t="str">
        <x:v>P2-W</x:v>
      </x:c>
      <x:c r="B15" s="29" t="str">
        <x:v>Fixed 65 bar - winter</x:v>
      </x:c>
      <x:c r="C15" s="30" t="n">
        <x:v>65</x:v>
      </x:c>
      <x:c r="D15" s="30" t="n">
        <x:v>60</x:v>
      </x:c>
      <x:c r="E15" s="30" t="n">
        <x:v>6000</x:v>
      </x:c>
      <x:c r="F15" s="30" t="n">
        <x:v>12</x:v>
      </x:c>
      <x:c r="G15" s="31" t="n">
        <x:v>4.2e-12</x:v>
      </x:c>
      <x:c r="H15" s="31" t="n">
        <x:v>3.5e-8</x:v>
      </x:c>
      <x:c r="I15" s="29" t="str">
        <x:v>PX</x:v>
      </x:c>
      <x:c r="J15" s="32" t="n">
        <x:v>0.95</x:v>
      </x:c>
      <x:c r="K15" s="32" t="n">
        <x:v>0.4</x:v>
      </x:c>
    </x:row>
    <x:row r="16">
      <x:c r="A16" s="29" t="str">
        <x:v>P3-S</x:v>
      </x:c>
      <x:c r="B16" s="29" t="str">
        <x:v>Variable - summer 56 bar</x:v>
      </x:c>
      <x:c r="C16" s="30" t="n">
        <x:v>56</x:v>
      </x:c>
      <x:c r="D16" s="30" t="n">
        <x:v>70</x:v>
      </x:c>
      <x:c r="E16" s="30" t="n">
        <x:v>7000</x:v>
      </x:c>
      <x:c r="F16" s="30" t="n">
        <x:v>30</x:v>
      </x:c>
      <x:c r="G16" s="31" t="n">
        <x:v>4.2e-12</x:v>
      </x:c>
      <x:c r="H16" s="31" t="n">
        <x:v>3.5e-8</x:v>
      </x:c>
      <x:c r="I16" s="29" t="str">
        <x:v>PX</x:v>
      </x:c>
      <x:c r="J16" s="32" t="n">
        <x:v>0.95</x:v>
      </x:c>
      <x:c r="K16" s="32" t="n">
        <x:v>0.6</x:v>
      </x:c>
    </x:row>
    <x:row r="17">
      <x:c r="A17" s="29" t="str">
        <x:v>P3-W</x:v>
      </x:c>
      <x:c r="B17" s="29" t="str">
        <x:v>Variable - winter 65 bar</x:v>
      </x:c>
      <x:c r="C17" s="30" t="n">
        <x:v>65</x:v>
      </x:c>
      <x:c r="D17" s="30" t="n">
        <x:v>70</x:v>
      </x:c>
      <x:c r="E17" s="30" t="n">
        <x:v>7000</x:v>
      </x:c>
      <x:c r="F17" s="30" t="n">
        <x:v>12</x:v>
      </x:c>
      <x:c r="G17" s="31" t="n">
        <x:v>4.2e-12</x:v>
      </x:c>
      <x:c r="H17" s="31" t="n">
        <x:v>3.5e-8</x:v>
      </x:c>
      <x:c r="I17" s="29" t="str">
        <x:v>PX</x:v>
      </x:c>
      <x:c r="J17" s="32" t="n">
        <x:v>0.95</x:v>
      </x:c>
      <x:c r="K17" s="32" t="n">
        <x:v>0.4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5" t="str">
        <x:v>Task and decision rule</x:v>
      </x:c>
      <x:c r="B19" s="15" t="str">
        <x:v>Task and decision rule</x:v>
      </x:c>
      <x:c r="C19" s="15" t="str">
        <x:v>Task and decision rule</x:v>
      </x:c>
      <x:c r="D19" s="15" t="str">
        <x:v>Task and decision rule</x:v>
      </x:c>
      <x:c r="E19" s="15" t="str">
        <x:v>Task and decision rule</x:v>
      </x:c>
      <x:c r="F19" s="15" t="str">
        <x:v>Task and decision rule</x:v>
      </x:c>
      <x:c r="G19" s="15" t="str">
        <x:v>Task and decision rule</x:v>
      </x:c>
      <x:c r="H19" s="15" t="str">
        <x:v>Task and decision rule</x:v>
      </x:c>
      <x:c r="I19" s="15" t="str">
        <x:v>Task and decision rule</x:v>
      </x:c>
      <x:c r="J19" s="15" t="str">
        <x:v>Task and decision rule</x:v>
      </x:c>
      <x:c r="K19" s="15" t="str">
        <x:v>Task and decision rule</x:v>
      </x:c>
    </x:row>
    <x:row r="20">
      <x:c r="A20" s="37" t="str">
        <x:v>In each season meet membrane water ≥0.340 kg/s, NaCl ≤370 mg/L, inlet CP ≤1.37 and plant product flow ≥0.038 m³/s; among feasible strategies select the lowest annual weighted SEC.</x:v>
      </x:c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5" t="str">
        <x:v>Required deliverables</x:v>
      </x:c>
      <x:c r="B25" s="15" t="str">
        <x:v>Required deliverables</x:v>
      </x:c>
      <x:c r="C25" s="15" t="str">
        <x:v>Required deliverables</x:v>
      </x:c>
      <x:c r="D25" s="15" t="str">
        <x:v>Required deliverables</x:v>
      </x:c>
      <x:c r="E25" s="15" t="str">
        <x:v>Required deliverables</x:v>
      </x:c>
      <x:c r="F25" s="15" t="str">
        <x:v>Required deliverables</x:v>
      </x:c>
      <x:c r="G25" s="15" t="str">
        <x:v>Required deliverables</x:v>
      </x:c>
      <x:c r="H25" s="15" t="str">
        <x:v>Required deliverables</x:v>
      </x:c>
      <x:c r="I25" s="15" t="str">
        <x:v>Required deliverables</x:v>
      </x:c>
      <x:c r="J25" s="15" t="str">
        <x:v>Required deliverables</x:v>
      </x:c>
      <x:c r="K25" s="15" t="str">
        <x:v>Required deliverables</x:v>
      </x:c>
    </x:row>
    <x:row r="26">
      <x:c r="A26" s="40" t="str">
        <x:v>1</x:v>
      </x:c>
      <x:c r="B26" s="29" t="str">
        <x:v>Run simulate_ro once for every candidate/season row and report water flux, membrane water flow, permeate NaCl, recovery and inlet CP.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2</x:v>
      </x:c>
      <x:c r="B27" s="29" t="str">
        <x:v>Independently run simulate_swro_system once for every candidate/season row and report plant product flow, SEC, LCOW and CAPEX.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40" t="str">
        <x:v>3</x:v>
      </x:c>
      <x:c r="B28" s="29" t="str">
        <x:v>Aggregate the two seasons by policy, apply all worst-case constraints, calculate weighted annual SEC, and recommend one policy.</x:v>
      </x:c>
      <x:c r="C28" s="29" t="str"/>
      <x:c r="D28" s="29" t="str"/>
      <x:c r="E28" s="29" t="str"/>
      <x:c r="F28" s="29" t="str"/>
      <x:c r="G28" s="29" t="str"/>
      <x:c r="H28" s="29" t="str"/>
      <x:c r="I28" s="29" t="str"/>
      <x:c r="J28" s="29" t="str"/>
      <x:c r="K28" s="29" t="str"/>
    </x:row>
    <x:row r="29">
      <x:c r="A29" s="40" t="str">
        <x:v>4</x:v>
      </x:c>
      <x:c r="B29" s="29" t="str">
        <x:v>Explain why at least two non-selected alternatives fail or rank lower. Do not infer plant energy from membrane flux.</x:v>
      </x:c>
      <x:c r="C29" s="29" t="str"/>
      <x:c r="D29" s="29" t="str"/>
      <x:c r="E29" s="29" t="str"/>
      <x:c r="F29" s="29" t="str"/>
      <x:c r="G29" s="29" t="str"/>
      <x:c r="H29" s="29" t="str"/>
      <x:c r="I29" s="29" t="str"/>
      <x:c r="J29" s="29" t="str"/>
      <x:c r="K29" s="29" t="str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9:K19"/>
    <x:mergeCell ref="A20:K23"/>
    <x:mergeCell ref="A25:K25"/>
    <x:mergeCell ref="B26:K26"/>
    <x:mergeCell ref="B27:K27"/>
    <x:mergeCell ref="B28:K28"/>
    <x:mergeCell ref="B29:K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D6_6c-07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P3 variable pressure: 56 bar in summer and 65 bar in winter, with 70 m² module / 7000 m² plant area and 95% PX. Worst-case membrane water is 0.3429 kg/s, maximum NaCl 363.0 mg/L, maximum CP 1.363 and minimum plant product flow 0.038755 m³/s; annual weighted SEC is 2.592 kWh/m³ versus 2.603 for P1 and 2.785 for P2.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P1-S</x:v>
      </x:c>
      <x:c r="B12" s="46" t="n">
        <x:v>19.827408</x:v>
      </x:c>
      <x:c r="C12" s="46" t="n">
        <x:v>0.38553293</x:v>
      </x:c>
      <x:c r="D12" s="46" t="n">
        <x:v>341.5085</x:v>
      </x:c>
      <x:c r="E12" s="46" t="n">
        <x:v>39.5818</x:v>
      </x:c>
      <x:c r="F12" s="46" t="n">
        <x:v>1.285383</x:v>
      </x:c>
      <x:c r="G12" s="29" t="str">
        <x:f>IF(AND(C12&gt;=0.34,D12&lt;=370,F12&lt;=1.37),"PASS","FAIL")</x:f>
        <x:v>PASS</x:v>
      </x:c>
      <x:c r="H12" s="1"/>
      <x:c r="I12" s="1"/>
      <x:c r="J12" s="1"/>
      <x:c r="K12" s="1"/>
    </x:row>
    <x:row r="13">
      <x:c r="A13" s="29" t="str">
        <x:v>P1-W</x:v>
      </x:c>
      <x:c r="B13" s="46" t="n">
        <x:v>21.207793</x:v>
      </x:c>
      <x:c r="C13" s="46" t="n">
        <x:v>0.41237376</x:v>
      </x:c>
      <x:c r="D13" s="46" t="n">
        <x:v>331.6712</x:v>
      </x:c>
      <x:c r="E13" s="46" t="n">
        <x:v>42.3374</x:v>
      </x:c>
      <x:c r="F13" s="46" t="n">
        <x:v>1.308843</x:v>
      </x:c>
      <x:c r="G13" s="29" t="str">
        <x:f>IF(AND(C13&gt;=0.34,D13&lt;=370,F13&lt;=1.37),"PASS","FAIL")</x:f>
        <x:v>PASS</x:v>
      </x:c>
      <x:c r="H13" s="1"/>
      <x:c r="I13" s="1"/>
      <x:c r="J13" s="1"/>
      <x:c r="K13" s="1"/>
    </x:row>
    <x:row r="14">
      <x:c r="A14" s="29" t="str">
        <x:v>P2-S</x:v>
      </x:c>
      <x:c r="B14" s="46" t="n">
        <x:v>24.136504</x:v>
      </x:c>
      <x:c r="C14" s="46" t="n">
        <x:v>0.40227507</x:v>
      </x:c>
      <x:c r="D14" s="46" t="n">
        <x:v>293.445</x:v>
      </x:c>
      <x:c r="E14" s="46" t="n">
        <x:v>41.3002</x:v>
      </x:c>
      <x:c r="F14" s="46" t="n">
        <x:v>1.323085</x:v>
      </x:c>
      <x:c r="G14" s="29" t="str">
        <x:f>IF(AND(C14&gt;=0.34,D14&lt;=370,F14&lt;=1.37),"PASS","FAIL")</x:f>
        <x:v>PASS</x:v>
      </x:c>
      <x:c r="H14" s="1"/>
      <x:c r="I14" s="1"/>
      <x:c r="J14" s="1"/>
      <x:c r="K14" s="1"/>
    </x:row>
    <x:row r="15">
      <x:c r="A15" s="29" t="str">
        <x:v>P2-W</x:v>
      </x:c>
      <x:c r="B15" s="46" t="n">
        <x:v>25.625134</x:v>
      </x:c>
      <x:c r="C15" s="46" t="n">
        <x:v>0.42708556</x:v>
      </x:c>
      <x:c r="D15" s="46" t="n">
        <x:v>286.9078</x:v>
      </x:c>
      <x:c r="E15" s="46" t="n">
        <x:v>43.8473</x:v>
      </x:c>
      <x:c r="F15" s="46" t="n">
        <x:v>1.346826</x:v>
      </x:c>
      <x:c r="G15" s="29" t="str">
        <x:f>IF(AND(C15&gt;=0.34,D15&lt;=370,F15&lt;=1.37),"PASS","FAIL")</x:f>
        <x:v>PASS</x:v>
      </x:c>
      <x:c r="H15" s="1"/>
      <x:c r="I15" s="1"/>
      <x:c r="J15" s="1"/>
      <x:c r="K15" s="1"/>
    </x:row>
    <x:row r="16">
      <x:c r="A16" s="29" t="str">
        <x:v>P3-S</x:v>
      </x:c>
      <x:c r="B16" s="46" t="n">
        <x:v>17.6353</x:v>
      </x:c>
      <x:c r="C16" s="46" t="n">
        <x:v>0.34290862</x:v>
      </x:c>
      <x:c r="D16" s="46" t="n">
        <x:v>363.0135</x:v>
      </x:c>
      <x:c r="E16" s="46" t="n">
        <x:v>35.2058</x:v>
      </x:c>
      <x:c r="F16" s="46" t="n">
        <x:v>1.244678</x:v>
      </x:c>
      <x:c r="G16" s="29" t="str">
        <x:f>IF(AND(C16&gt;=0.34,D16&lt;=370,F16&lt;=1.37),"PASS","FAIL")</x:f>
        <x:v>PASS</x:v>
      </x:c>
      <x:c r="H16" s="1"/>
      <x:c r="I16" s="1"/>
      <x:c r="J16" s="1"/>
      <x:c r="K16" s="1"/>
    </x:row>
    <x:row r="17">
      <x:c r="A17" s="29" t="str">
        <x:v>P3-W</x:v>
      </x:c>
      <x:c r="B17" s="46" t="n">
        <x:v>23.70457</x:v>
      </x:c>
      <x:c r="C17" s="46" t="n">
        <x:v>0.4609222</x:v>
      </x:c>
      <x:c r="D17" s="46" t="n">
        <x:v>318.0756</x:v>
      </x:c>
      <x:c r="E17" s="46" t="n">
        <x:v>47.3216</x:v>
      </x:c>
      <x:c r="F17" s="46" t="n">
        <x:v>1.362674</x:v>
      </x:c>
      <x:c r="G17" s="29" t="str">
        <x:f>IF(AND(C17&gt;=0.34,D17&lt;=370,F17&lt;=1.37),"PASS","FAIL")</x:f>
        <x:v>PASS</x:v>
      </x:c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5" t="str">
        <x:v>Branch B — simulate_swro_system (independent plant calls)</x:v>
      </x:c>
      <x:c r="B19" s="15" t="str">
        <x:v>Branch B — simulate_swro_system (independent plant calls)</x:v>
      </x:c>
      <x:c r="C19" s="15" t="str">
        <x:v>Branch B — simulate_swro_system (independent plant calls)</x:v>
      </x:c>
      <x:c r="D19" s="15" t="str">
        <x:v>Branch B — simulate_swro_system (independent plant calls)</x:v>
      </x:c>
      <x:c r="E19" s="15" t="str">
        <x:v>Branch B — simulate_swro_system (independent plant calls)</x:v>
      </x:c>
      <x:c r="F19" s="15" t="str">
        <x:v>Branch B — simulate_swro_system (independent plant calls)</x:v>
      </x:c>
      <x:c r="G19" s="15" t="str">
        <x:v>Branch B — simulate_swro_system (independent plant calls)</x:v>
      </x:c>
      <x:c r="H19" s="15" t="str">
        <x:v>Branch B — simulate_swro_system (independent plant calls)</x:v>
      </x:c>
      <x:c r="I19" s="1"/>
      <x:c r="J19" s="1"/>
      <x:c r="K19" s="1"/>
    </x:row>
    <x:row r="20">
      <x:c r="A20" s="25" t="str">
        <x:v>ID</x:v>
      </x:c>
      <x:c r="B20" s="25" t="str">
        <x:v>Product (m³/s)</x:v>
      </x:c>
      <x:c r="C20" s="25" t="str">
        <x:v>Product (m³/d)</x:v>
      </x:c>
      <x:c r="D20" s="25" t="str">
        <x:v>SEC (kWh/m³)</x:v>
      </x:c>
      <x:c r="E20" s="25" t="str">
        <x:v>LCOW ($/m³)</x:v>
      </x:c>
      <x:c r="F20" s="25" t="str">
        <x:v>CAPEX ($M)</x:v>
      </x:c>
      <x:c r="G20" s="25" t="str">
        <x:v>Plant result</x:v>
      </x:c>
      <x:c r="H20" s="25" t="str">
        <x:v>Call</x:v>
      </x:c>
      <x:c r="I20" s="1"/>
      <x:c r="J20" s="1"/>
      <x:c r="K20" s="1"/>
    </x:row>
    <x:row r="21">
      <x:c r="A21" s="29" t="str">
        <x:v>P1-S</x:v>
      </x:c>
      <x:c r="B21" s="46" t="n">
        <x:v>0.04263424</x:v>
      </x:c>
      <x:c r="C21" s="46" t="n">
        <x:f>B21*86400</x:f>
        <x:v>3683.5983359999996</x:v>
      </x:c>
      <x:c r="D21" s="46" t="n">
        <x:v>2.610806</x:v>
      </x:c>
      <x:c r="E21" s="46" t="n">
        <x:v>1.124078</x:v>
      </x:c>
      <x:c r="F21" s="46" t="n">
        <x:v>12.942613289999999</x:v>
      </x:c>
      <x:c r="G21" s="29" t="str">
        <x:f>IF(AND(B21&gt;=0.038,D21&lt;=3),"PASS","FAIL")</x:f>
        <x:v>PASS</x:v>
      </x:c>
      <x:c r="H21" s="29" t="str">
        <x:v>simulate_swro_system</x:v>
      </x:c>
      <x:c r="I21" s="1"/>
      <x:c r="J21" s="1"/>
      <x:c r="K21" s="1"/>
    </x:row>
    <x:row r="22">
      <x:c r="A22" s="29" t="str">
        <x:v>P1-W</x:v>
      </x:c>
      <x:c r="B22" s="46" t="n">
        <x:v>0.04511066</x:v>
      </x:c>
      <x:c r="C22" s="46" t="n">
        <x:f>B22*86400</x:f>
        <x:v>3897.5610239999996</x:v>
      </x:c>
      <x:c r="D22" s="46" t="n">
        <x:v>2.591107</x:v>
      </x:c>
      <x:c r="E22" s="46" t="n">
        <x:v>1.078225</x:v>
      </x:c>
      <x:c r="F22" s="46" t="n">
        <x:v>13.078112970000001</x:v>
      </x:c>
      <x:c r="G22" s="29" t="str">
        <x:f>IF(AND(B22&gt;=0.038,D22&lt;=3),"PASS","FAIL")</x:f>
        <x:v>PASS</x:v>
      </x:c>
      <x:c r="H22" s="29" t="str">
        <x:v>simulate_swro_system</x:v>
      </x:c>
      <x:c r="I22" s="1"/>
      <x:c r="J22" s="1"/>
      <x:c r="K22" s="1"/>
    </x:row>
    <x:row r="23">
      <x:c r="A23" s="29" t="str">
        <x:v>P2-S</x:v>
      </x:c>
      <x:c r="B23" s="46" t="n">
        <x:v>0.04302543</x:v>
      </x:c>
      <x:c r="C23" s="46" t="n">
        <x:f>B23*86400</x:f>
        <x:v>3717.3971520000005</x:v>
      </x:c>
      <x:c r="D23" s="46" t="n">
        <x:v>2.792769</x:v>
      </x:c>
      <x:c r="E23" s="46" t="n">
        <x:v>1.126494</x:v>
      </x:c>
      <x:c r="F23" s="46" t="n">
        <x:v>13.013872119999998</x:v>
      </x:c>
      <x:c r="G23" s="29" t="str">
        <x:f>IF(AND(B23&gt;=0.038,D23&lt;=3),"PASS","FAIL")</x:f>
        <x:v>PASS</x:v>
      </x:c>
      <x:c r="H23" s="29" t="str">
        <x:v>simulate_swro_system</x:v>
      </x:c>
      <x:c r="I23" s="1"/>
      <x:c r="J23" s="1"/>
      <x:c r="K23" s="1"/>
    </x:row>
    <x:row r="24">
      <x:c r="A24" s="29" t="str">
        <x:v>P2-W</x:v>
      </x:c>
      <x:c r="B24" s="46" t="n">
        <x:v>0.04531484</x:v>
      </x:c>
      <x:c r="C24" s="46" t="n">
        <x:f>B24*86400</x:f>
        <x:v>3915.2021760000002</x:v>
      </x:c>
      <x:c r="D24" s="46" t="n">
        <x:v>2.772251</x:v>
      </x:c>
      <x:c r="E24" s="46" t="n">
        <x:v>1.084835</x:v>
      </x:c>
      <x:c r="F24" s="46" t="n">
        <x:v>13.14300879</x:v>
      </x:c>
      <x:c r="G24" s="29" t="str">
        <x:f>IF(AND(B24&gt;=0.038,D24&lt;=3),"PASS","FAIL")</x:f>
        <x:v>PASS</x:v>
      </x:c>
      <x:c r="H24" s="29" t="str">
        <x:v>simulate_swro_system</x:v>
      </x:c>
      <x:c r="I24" s="1"/>
      <x:c r="J24" s="1"/>
      <x:c r="K24" s="1"/>
    </x:row>
    <x:row r="25">
      <x:c r="A25" s="29" t="str">
        <x:v>P3-S</x:v>
      </x:c>
      <x:c r="B25" s="46" t="n">
        <x:v>0.03875486</x:v>
      </x:c>
      <x:c r="C25" s="46" t="n">
        <x:f>B25*86400</x:f>
        <x:v>3348.4199040000003</x:v>
      </x:c>
      <x:c r="D25" s="46" t="n">
        <x:v>2.486773</x:v>
      </x:c>
      <x:c r="E25" s="46" t="n">
        <x:v>1.19112</x:v>
      </x:c>
      <x:c r="F25" s="46" t="n">
        <x:v>12.63789033</x:v>
      </x:c>
      <x:c r="G25" s="29" t="str">
        <x:f>IF(AND(B25&gt;=0.038,D25&lt;=3),"PASS","FAIL")</x:f>
        <x:v>PASS</x:v>
      </x:c>
      <x:c r="H25" s="29" t="str">
        <x:v>simulate_swro_system</x:v>
      </x:c>
      <x:c r="I25" s="1"/>
      <x:c r="J25" s="1"/>
      <x:c r="K25" s="1"/>
    </x:row>
    <x:row r="26">
      <x:c r="A26" s="29" t="str">
        <x:v>P3-W</x:v>
      </x:c>
      <x:c r="B26" s="46" t="n">
        <x:v>0.04953708</x:v>
      </x:c>
      <x:c r="C26" s="46" t="n">
        <x:f>B26*86400</x:f>
        <x:v>4280.003712</x:v>
      </x:c>
      <x:c r="D26" s="46" t="n">
        <x:v>2.750683</x:v>
      </x:c>
      <x:c r="E26" s="46" t="n">
        <x:v>1.026633</x:v>
      </x:c>
      <x:c r="F26" s="46" t="n">
        <x:v>13.44649873</x:v>
      </x:c>
      <x:c r="G26" s="29" t="str">
        <x:f>IF(AND(B26&gt;=0.038,D26&lt;=3),"PASS","FAIL")</x:f>
        <x:v>PASS</x:v>
      </x:c>
      <x:c r="H26" s="29" t="str">
        <x:v>simulate_swro_system</x:v>
      </x:c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5" t="str">
        <x:v>Joint constraints and ranking (join key: candidate/policy ID)</x:v>
      </x:c>
      <x:c r="B28" s="15" t="str">
        <x:v>Joint constraints and ranking (join key: candidate/policy ID)</x:v>
      </x:c>
      <x:c r="C28" s="15" t="str">
        <x:v>Joint constraints and ranking (join key: candidate/policy ID)</x:v>
      </x:c>
      <x:c r="D28" s="15" t="str">
        <x:v>Joint constraints and ranking (join key: candidate/policy ID)</x:v>
      </x:c>
      <x:c r="E28" s="15" t="str">
        <x:v>Joint constraints and ranking (join key: candidate/policy ID)</x:v>
      </x:c>
      <x:c r="F28" s="15" t="str">
        <x:v>Joint constraints and ranking (join key: candidate/policy ID)</x:v>
      </x:c>
      <x:c r="G28" s="15" t="str">
        <x:v>Joint constraints and ranking (join key: candidate/policy ID)</x:v>
      </x:c>
      <x:c r="H28" s="15" t="str">
        <x:v>Joint constraints and ranking (join key: candidate/policy ID)</x:v>
      </x:c>
      <x:c r="I28" s="15" t="str">
        <x:v>Joint constraints and ranking (join key: candidate/policy ID)</x:v>
      </x:c>
      <x:c r="J28" s="15" t="str">
        <x:v>Joint constraints and ranking (join key: candidate/policy ID)</x:v>
      </x:c>
      <x:c r="K28" s="15" t="str">
        <x:v>Joint constraints and ranking (join key: candidate/policy ID)</x:v>
      </x:c>
    </x:row>
    <x:row r="29">
      <x:c r="A29" s="25" t="str">
        <x:v>Policy</x:v>
      </x:c>
      <x:c r="B29" s="25" t="str">
        <x:v>Min water kg/s</x:v>
      </x:c>
      <x:c r="C29" s="25" t="str">
        <x:v>Max NaCl</x:v>
      </x:c>
      <x:c r="D29" s="25" t="str">
        <x:v>Max CP</x:v>
      </x:c>
      <x:c r="E29" s="25" t="str">
        <x:v>Min plant m³/s</x:v>
      </x:c>
      <x:c r="F29" s="25" t="str">
        <x:v>Annual SEC</x:v>
      </x:c>
      <x:c r="G29" s="25" t="str">
        <x:v>Annual LCOW</x:v>
      </x:c>
      <x:c r="H29" s="25" t="str">
        <x:v>All seasons</x:v>
      </x:c>
      <x:c r="I29" s="25" t="str">
        <x:v>Summer weight</x:v>
      </x:c>
      <x:c r="J29" s="25" t="str">
        <x:v>Winter weight</x:v>
      </x:c>
      <x:c r="K29" s="25" t="str">
        <x:v>Decision</x:v>
      </x:c>
    </x:row>
    <x:row r="30">
      <x:c r="A30" s="29" t="str">
        <x:v>P1</x:v>
      </x:c>
      <x:c r="B30" s="46" t="n">
        <x:f>MIN(C12,C13)</x:f>
        <x:v>0.38553293</x:v>
      </x:c>
      <x:c r="C30" s="46" t="n">
        <x:f>MAX(D12,D13)</x:f>
        <x:v>341.5085</x:v>
      </x:c>
      <x:c r="D30" s="46" t="n">
        <x:f>MAX(F12,F13)</x:f>
        <x:v>1.308843</x:v>
      </x:c>
      <x:c r="E30" s="46" t="n">
        <x:f>MIN(B21,B22)</x:f>
        <x:v>0.04263424</x:v>
      </x:c>
      <x:c r="F30" s="46" t="n">
        <x:f>0.6*D21+0.4*D22</x:f>
        <x:v>2.6029264000000003</x:v>
      </x:c>
      <x:c r="G30" s="46" t="n">
        <x:f>0.6*E21+0.4*E22</x:f>
        <x:v>1.1057367999999999</x:v>
      </x:c>
      <x:c r="H30" s="29" t="str">
        <x:f>IF(AND(B30&gt;=0.34,C30&lt;=370,D30&lt;=1.37,E30&gt;=0.038),"PASS","FAIL")</x:f>
        <x:v>PASS</x:v>
      </x:c>
      <x:c r="I30" s="47" t="n">
        <x:v>0.6</x:v>
      </x:c>
      <x:c r="J30" s="47" t="n">
        <x:v>0.4</x:v>
      </x:c>
      <x:c r="K30" s="29" t="str">
        <x:f>IF(H30="PASS","RANK BY SEC","FAIL")</x:f>
        <x:v>RANK BY SEC</x:v>
      </x:c>
    </x:row>
    <x:row r="31">
      <x:c r="A31" s="29" t="str">
        <x:v>P2</x:v>
      </x:c>
      <x:c r="B31" s="46" t="n">
        <x:f>MIN(C14,C15)</x:f>
        <x:v>0.40227507</x:v>
      </x:c>
      <x:c r="C31" s="46" t="n">
        <x:f>MAX(D14,D15)</x:f>
        <x:v>293.445</x:v>
      </x:c>
      <x:c r="D31" s="46" t="n">
        <x:f>MAX(F14,F15)</x:f>
        <x:v>1.346826</x:v>
      </x:c>
      <x:c r="E31" s="46" t="n">
        <x:f>MIN(B23,B24)</x:f>
        <x:v>0.04302543</x:v>
      </x:c>
      <x:c r="F31" s="46" t="n">
        <x:f>0.6*D23+0.4*D24</x:f>
        <x:v>2.7845617999999996</x:v>
      </x:c>
      <x:c r="G31" s="46" t="n">
        <x:f>0.6*E23+0.4*E24</x:f>
        <x:v>1.1098304</x:v>
      </x:c>
      <x:c r="H31" s="29" t="str">
        <x:f>IF(AND(B31&gt;=0.34,C31&lt;=370,D31&lt;=1.37,E31&gt;=0.038),"PASS","FAIL")</x:f>
        <x:v>PASS</x:v>
      </x:c>
      <x:c r="I31" s="47" t="n">
        <x:v>0.6</x:v>
      </x:c>
      <x:c r="J31" s="47" t="n">
        <x:v>0.4</x:v>
      </x:c>
      <x:c r="K31" s="29" t="str">
        <x:f>IF(H31="PASS","RANK BY SEC","FAIL")</x:f>
        <x:v>RANK BY SEC</x:v>
      </x:c>
    </x:row>
    <x:row r="32">
      <x:c r="A32" s="48" t="str">
        <x:v>P3</x:v>
      </x:c>
      <x:c r="B32" s="49" t="n">
        <x:f>MIN(C16,C17)</x:f>
        <x:v>0.34290862</x:v>
      </x:c>
      <x:c r="C32" s="49" t="n">
        <x:f>MAX(D16,D17)</x:f>
        <x:v>363.0135</x:v>
      </x:c>
      <x:c r="D32" s="49" t="n">
        <x:f>MAX(F16,F17)</x:f>
        <x:v>1.362674</x:v>
      </x:c>
      <x:c r="E32" s="49" t="n">
        <x:f>MIN(B25,B26)</x:f>
        <x:v>0.03875486</x:v>
      </x:c>
      <x:c r="F32" s="49" t="n">
        <x:f>0.6*D25+0.4*D26</x:f>
        <x:v>2.5923369999999997</x:v>
      </x:c>
      <x:c r="G32" s="49" t="n">
        <x:f>0.6*E25+0.4*E26</x:f>
        <x:v>1.1253252</x:v>
      </x:c>
      <x:c r="H32" s="48" t="str">
        <x:f>IF(AND(B32&gt;=0.34,C32&lt;=370,D32&lt;=1.37,E32&gt;=0.038),"PASS","FAIL")</x:f>
        <x:v>PASS</x:v>
      </x:c>
      <x:c r="I32" s="50" t="n">
        <x:v>0.6</x:v>
      </x:c>
      <x:c r="J32" s="50" t="n">
        <x:v>0.4</x:v>
      </x:c>
      <x:c r="K32" s="48" t="str">
        <x:f>IF(H32="PASS","RANK BY SEC","FAIL")</x:f>
        <x:v>RANK BY SEC</x:v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5" t="str">
        <x:v>Audit notes</x:v>
      </x:c>
      <x:c r="B35" s="15" t="str">
        <x:v>Audit notes</x:v>
      </x:c>
      <x:c r="C35" s="15" t="str">
        <x:v>Audit notes</x:v>
      </x:c>
      <x:c r="D35" s="15" t="str">
        <x:v>Audit notes</x:v>
      </x:c>
      <x:c r="E35" s="15" t="str">
        <x:v>Audit notes</x:v>
      </x:c>
      <x:c r="F35" s="15" t="str">
        <x:v>Audit notes</x:v>
      </x:c>
      <x:c r="G35" s="15" t="str">
        <x:v>Audit notes</x:v>
      </x:c>
      <x:c r="H35" s="15" t="str">
        <x:v>Audit notes</x:v>
      </x:c>
      <x:c r="I35" s="15" t="str">
        <x:v>Audit notes</x:v>
      </x:c>
      <x:c r="J35" s="15" t="str">
        <x:v>Audit notes</x:v>
      </x:c>
      <x:c r="K35" s="15" t="str">
        <x:v>Audit notes</x:v>
      </x:c>
    </x:row>
    <x:row r="36">
      <x:c r="A36" s="53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9:H19"/>
    <x:mergeCell ref="A28:K28"/>
    <x:mergeCell ref="A35:K35"/>
    <x:mergeCell ref="A36:K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D6_6c-07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6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6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6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policy/season, applies worst-case constraints and calculates 60/40 annual SEC.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P3,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7" t="str">
        <x:v>Critical rule: a numerically correct winner without evidence from both simulator families cannot receive more than 50 points.</x:v>
      </x:c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D6_6c-07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six strategy-season rows and lock the 60/40 weights.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6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6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policy-season, then aggregate worst cases and weighted annual metrics.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3" t="str">
        <x:v>Reference budget: 6 simulate_ro calls + 6 simulate_swro_system calls. Extra calls are justified only for correcting an error or testing a clearly stated sensitivity. equilibrate_feed is not needed because no mineral-speciation or scaling constraint is present.</x:v>
      </x:c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