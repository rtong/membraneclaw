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f9238060c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28b7923c85ff41b2"/>
    <x:sheet xmlns:r="http://schemas.openxmlformats.org/officeDocument/2006/relationships" name="Gold_Answer_A" sheetId="2" r:id="Rc9dba0f8d6dc4ebd"/>
    <x:sheet xmlns:r="http://schemas.openxmlformats.org/officeDocument/2006/relationships" name="Trajectory_Rubric" sheetId="3" r:id="R59718992b44340e3"/>
    <x:sheet xmlns:r="http://schemas.openxmlformats.org/officeDocument/2006/relationships" name="Tool_Efficiency" sheetId="4" r:id="R158004969b80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E+00"/>
    <x:numFmt numFmtId="202" formatCode="0.0%"/>
    <x:numFmt numFmtId="203" formatCode="0.000"/>
  </x:numFmts>
  <x:fonts count="10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203" fontId="1" fillId="6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203" fontId="1" fillId="9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0e6ebd6164e67" /><Relationship Type="http://schemas.openxmlformats.org/officeDocument/2006/relationships/theme" Target="/xl/theme/theme1.xml" Id="R8b579206340c4b23" /><Relationship Type="http://schemas.openxmlformats.org/officeDocument/2006/relationships/sharedStrings" Target="/xl/sharedStrings.xml" Id="R9df2a4c0d38b4be0" /><Relationship Type="http://schemas.openxmlformats.org/officeDocument/2006/relationships/worksheet" Target="/xl/worksheets/sheet1.xml" Id="R28b7923c85ff41b2" /><Relationship Type="http://schemas.openxmlformats.org/officeDocument/2006/relationships/worksheet" Target="/xl/worksheets/sheet2.xml" Id="Rc9dba0f8d6dc4ebd" /><Relationship Type="http://schemas.openxmlformats.org/officeDocument/2006/relationships/worksheet" Target="/xl/worksheets/sheet3.xml" Id="R59718992b44340e3" /><Relationship Type="http://schemas.openxmlformats.org/officeDocument/2006/relationships/worksheet" Target="/xl/worksheets/sheet4.xml" Id="R158004969b804b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D6_6c-02 | Product-water contract membrane selection: high flux is not always optimal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Parallel benchmark: simulate_ro ∥ simulate_swro_system → joint feasibility and ranking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Operating context</x:v>
      </x:c>
      <x:c r="B5" s="15" t="str">
        <x:v>Operating context</x:v>
      </x:c>
      <x:c r="C5" s="15" t="str">
        <x:v>Operating context</x:v>
      </x:c>
      <x:c r="D5" s="15" t="str">
        <x:v>Operating context</x:v>
      </x:c>
      <x:c r="E5" s="15" t="str">
        <x:v>Operating context</x:v>
      </x:c>
      <x:c r="F5" s="15" t="str">
        <x:v>Operating context</x:v>
      </x:c>
      <x:c r="G5" s="15" t="str">
        <x:v>Operating context</x:v>
      </x:c>
      <x:c r="H5" s="15" t="str">
        <x:v>Operating context</x:v>
      </x:c>
      <x:c r="I5" s="15" t="str">
        <x:v>Operating context</x:v>
      </x:c>
      <x:c r="J5" s="15" t="str">
        <x:v>Operating context</x:v>
      </x:c>
      <x:c r="K5" s="15" t="str">
        <x:v>Operating context</x:v>
      </x:c>
    </x:row>
    <x:row r="6">
      <x:c r="A6" s="20" t="str">
        <x:v>At the same pressure and membrane area, compare high-flux, balanced, high-rejection and aged membranes. A strict single-pass permeate salinity contract and a minimum output apply, so membrane quality and plant energy/cost must be verified in parallel.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Candidate design packages (same row sent independently to both simulators)</x:v>
      </x:c>
      <x:c r="B10" s="15" t="str">
        <x:v>Candidate design packages (same row sent independently to both simulators)</x:v>
      </x:c>
      <x:c r="C10" s="15" t="str">
        <x:v>Candidate design packages (same row sent independently to both simulators)</x:v>
      </x:c>
      <x:c r="D10" s="15" t="str">
        <x:v>Candidate design packages (same row sent independently to both simulators)</x:v>
      </x:c>
      <x:c r="E10" s="15" t="str">
        <x:v>Candidate design packages (same row sent independently to both simulators)</x:v>
      </x:c>
      <x:c r="F10" s="15" t="str">
        <x:v>Candidate design packages (same row sent independently to both simulators)</x:v>
      </x:c>
      <x:c r="G10" s="15" t="str">
        <x:v>Candidate design packages (same row sent independently to both simulators)</x:v>
      </x:c>
      <x:c r="H10" s="15" t="str">
        <x:v>Candidate design packages (same row sent independently to both simulators)</x:v>
      </x:c>
      <x:c r="I10" s="15" t="str">
        <x:v>Candidate design packages (same row sent independently to both simulators)</x:v>
      </x:c>
      <x:c r="J10" s="15" t="str">
        <x:v>Candidate design packages (same row sent independently to both simulators)</x:v>
      </x:c>
      <x:c r="K10" s="15" t="str">
        <x:v>Candidate design packages (same row sent independently to both simulators)</x:v>
      </x:c>
    </x:row>
    <x:row r="11">
      <x:c r="A11" s="25" t="str">
        <x:v>ID</x:v>
      </x:c>
      <x:c r="B11" s="25" t="str">
        <x:v>Package / season</x:v>
      </x:c>
      <x:c r="C11" s="25" t="str">
        <x:v>Pressure (bar)</x:v>
      </x:c>
      <x:c r="D11" s="25" t="str">
        <x:v>RO module area (m²)</x:v>
      </x:c>
      <x:c r="E11" s="25" t="str">
        <x:v>Plant RO area (m²)</x:v>
      </x:c>
      <x:c r="F11" s="25" t="str">
        <x:v>Temp. (°C)</x:v>
      </x:c>
      <x:c r="G11" s="25" t="str">
        <x:v>A (m/s/Pa)</x:v>
      </x:c>
      <x:c r="H11" s="25" t="str">
        <x:v>B (m/s)</x:v>
      </x:c>
      <x:c r="I11" s="25" t="str">
        <x:v>ERD</x:v>
      </x:c>
      <x:c r="J11" s="25" t="str">
        <x:v>Efficiency</x:v>
      </x:c>
      <x:c r="K11" s="25" t="str">
        <x:v>Annual weight</x:v>
      </x:c>
    </x:row>
    <x:row r="12">
      <x:c r="A12" s="29" t="str">
        <x:v>A</x:v>
      </x:c>
      <x:c r="B12" s="29" t="str">
        <x:v>High-flux membrane</x:v>
      </x:c>
      <x:c r="C12" s="30" t="n">
        <x:v>62</x:v>
      </x:c>
      <x:c r="D12" s="30" t="n">
        <x:v>60</x:v>
      </x:c>
      <x:c r="E12" s="30" t="n">
        <x:v>6000</x:v>
      </x:c>
      <x:c r="F12" s="30" t="n">
        <x:v>25</x:v>
      </x:c>
      <x:c r="G12" s="31" t="n">
        <x:v>5e-12</x:v>
      </x:c>
      <x:c r="H12" s="31" t="n">
        <x:v>5.5e-8</x:v>
      </x:c>
      <x:c r="I12" s="29" t="str">
        <x:v>PX</x:v>
      </x:c>
      <x:c r="J12" s="32" t="n">
        <x:v>0.95</x:v>
      </x:c>
      <x:c r="K12" s="32" t="str"/>
    </x:row>
    <x:row r="13">
      <x:c r="A13" s="29" t="str">
        <x:v>B</x:v>
      </x:c>
      <x:c r="B13" s="29" t="str">
        <x:v>Balanced membrane</x:v>
      </x:c>
      <x:c r="C13" s="30" t="n">
        <x:v>62</x:v>
      </x:c>
      <x:c r="D13" s="30" t="n">
        <x:v>60</x:v>
      </x:c>
      <x:c r="E13" s="30" t="n">
        <x:v>6000</x:v>
      </x:c>
      <x:c r="F13" s="30" t="n">
        <x:v>25</x:v>
      </x:c>
      <x:c r="G13" s="31" t="n">
        <x:v>4.2e-12</x:v>
      </x:c>
      <x:c r="H13" s="31" t="n">
        <x:v>3.5e-8</x:v>
      </x:c>
      <x:c r="I13" s="29" t="str">
        <x:v>PX</x:v>
      </x:c>
      <x:c r="J13" s="32" t="n">
        <x:v>0.95</x:v>
      </x:c>
      <x:c r="K13" s="32" t="str"/>
    </x:row>
    <x:row r="14">
      <x:c r="A14" s="29" t="str">
        <x:v>C</x:v>
      </x:c>
      <x:c r="B14" s="29" t="str">
        <x:v>High-rejection membrane</x:v>
      </x:c>
      <x:c r="C14" s="30" t="n">
        <x:v>62</x:v>
      </x:c>
      <x:c r="D14" s="30" t="n">
        <x:v>60</x:v>
      </x:c>
      <x:c r="E14" s="30" t="n">
        <x:v>6000</x:v>
      </x:c>
      <x:c r="F14" s="30" t="n">
        <x:v>25</x:v>
      </x:c>
      <x:c r="G14" s="31" t="n">
        <x:v>3.5e-12</x:v>
      </x:c>
      <x:c r="H14" s="31" t="n">
        <x:v>2.2e-8</x:v>
      </x:c>
      <x:c r="I14" s="29" t="str">
        <x:v>PX</x:v>
      </x:c>
      <x:c r="J14" s="32" t="n">
        <x:v>0.95</x:v>
      </x:c>
      <x:c r="K14" s="32" t="str"/>
    </x:row>
    <x:row r="15">
      <x:c r="A15" s="29" t="str">
        <x:v>D</x:v>
      </x:c>
      <x:c r="B15" s="29" t="str">
        <x:v>Aged membrane</x:v>
      </x:c>
      <x:c r="C15" s="30" t="n">
        <x:v>62</x:v>
      </x:c>
      <x:c r="D15" s="30" t="n">
        <x:v>60</x:v>
      </x:c>
      <x:c r="E15" s="30" t="n">
        <x:v>6000</x:v>
      </x:c>
      <x:c r="F15" s="30" t="n">
        <x:v>25</x:v>
      </x:c>
      <x:c r="G15" s="31" t="n">
        <x:v>3.6e-12</x:v>
      </x:c>
      <x:c r="H15" s="31" t="n">
        <x:v>4.5e-8</x:v>
      </x:c>
      <x:c r="I15" s="29" t="str">
        <x:v>PX</x:v>
      </x:c>
      <x:c r="J15" s="32" t="n">
        <x:v>0.95</x:v>
      </x:c>
      <x:c r="K15" s="32" t="str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Task and decision rule</x:v>
      </x:c>
      <x:c r="B17" s="15" t="str">
        <x:v>Task and decision rule</x:v>
      </x:c>
      <x:c r="C17" s="15" t="str">
        <x:v>Task and decision rule</x:v>
      </x:c>
      <x:c r="D17" s="15" t="str">
        <x:v>Task and decision rule</x:v>
      </x:c>
      <x:c r="E17" s="15" t="str">
        <x:v>Task and decision rule</x:v>
      </x:c>
      <x:c r="F17" s="15" t="str">
        <x:v>Task and decision rule</x:v>
      </x:c>
      <x:c r="G17" s="15" t="str">
        <x:v>Task and decision rule</x:v>
      </x:c>
      <x:c r="H17" s="15" t="str">
        <x:v>Task and decision rule</x:v>
      </x:c>
      <x:c r="I17" s="15" t="str">
        <x:v>Task and decision rule</x:v>
      </x:c>
      <x:c r="J17" s="15" t="str">
        <x:v>Task and decision rule</x:v>
      </x:c>
      <x:c r="K17" s="15" t="str">
        <x:v>Task and decision rule</x:v>
      </x:c>
    </x:row>
    <x:row r="18">
      <x:c r="A18" s="37" t="str">
        <x:v>Meet membrane water ≥0.340 kg/s, NaCl ≤250 mg/L and inlet CP ≤1.35, plus plant product flow ≥0.0375 m³/s and SEC ≤2.75 kWh/m³; select the contract-compliant membrane.</x:v>
      </x:c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5" t="str">
        <x:v>Required deliverables</x:v>
      </x:c>
      <x:c r="B23" s="15" t="str">
        <x:v>Required deliverables</x:v>
      </x:c>
      <x:c r="C23" s="15" t="str">
        <x:v>Required deliverables</x:v>
      </x:c>
      <x:c r="D23" s="15" t="str">
        <x:v>Required deliverables</x:v>
      </x:c>
      <x:c r="E23" s="15" t="str">
        <x:v>Required deliverables</x:v>
      </x:c>
      <x:c r="F23" s="15" t="str">
        <x:v>Required deliverables</x:v>
      </x:c>
      <x:c r="G23" s="15" t="str">
        <x:v>Required deliverables</x:v>
      </x:c>
      <x:c r="H23" s="15" t="str">
        <x:v>Required deliverables</x:v>
      </x:c>
      <x:c r="I23" s="15" t="str">
        <x:v>Required deliverables</x:v>
      </x:c>
      <x:c r="J23" s="15" t="str">
        <x:v>Required deliverables</x:v>
      </x:c>
      <x:c r="K23" s="15" t="str">
        <x:v>Required deliverables</x:v>
      </x:c>
    </x:row>
    <x:row r="24">
      <x:c r="A24" s="40" t="str">
        <x:v>1</x:v>
      </x:c>
      <x:c r="B24" s="29" t="str">
        <x:v>Run simulate_ro once for every candidate/season row and report water flux, membrane water flow, permeate NaCl, recovery and inlet CP.</x:v>
      </x:c>
      <x:c r="C24" s="29" t="str"/>
      <x:c r="D24" s="29" t="str"/>
      <x:c r="E24" s="29" t="str"/>
      <x:c r="F24" s="29" t="str"/>
      <x:c r="G24" s="29" t="str"/>
      <x:c r="H24" s="29" t="str"/>
      <x:c r="I24" s="29" t="str"/>
      <x:c r="J24" s="29" t="str"/>
      <x:c r="K24" s="29" t="str"/>
    </x:row>
    <x:row r="25">
      <x:c r="A25" s="40" t="str">
        <x:v>2</x:v>
      </x:c>
      <x:c r="B25" s="29" t="str">
        <x:v>Independently run simulate_swro_system once for every candidate/season row and report plant product flow, SEC, LCOW and CAPEX.</x:v>
      </x:c>
      <x:c r="C25" s="29" t="str"/>
      <x:c r="D25" s="29" t="str"/>
      <x:c r="E25" s="29" t="str"/>
      <x:c r="F25" s="29" t="str"/>
      <x:c r="G25" s="29" t="str"/>
      <x:c r="H25" s="29" t="str"/>
      <x:c r="I25" s="29" t="str"/>
      <x:c r="J25" s="29" t="str"/>
      <x:c r="K25" s="29" t="str"/>
    </x:row>
    <x:row r="26">
      <x:c r="A26" s="40" t="str">
        <x:v>3</x:v>
      </x:c>
      <x:c r="B26" s="29" t="str">
        <x:v>Join the two result branches by candidate ID, apply all constraints, and recommend one package.</x:v>
      </x:c>
      <x:c r="C26" s="29" t="str"/>
      <x:c r="D26" s="29" t="str"/>
      <x:c r="E26" s="29" t="str"/>
      <x:c r="F26" s="29" t="str"/>
      <x:c r="G26" s="29" t="str"/>
      <x:c r="H26" s="29" t="str"/>
      <x:c r="I26" s="29" t="str"/>
      <x:c r="J26" s="29" t="str"/>
      <x:c r="K26" s="29" t="str"/>
    </x:row>
    <x:row r="27">
      <x:c r="A27" s="40" t="str">
        <x:v>4</x:v>
      </x:c>
      <x:c r="B27" s="29" t="str">
        <x:v>Explain why at least two non-selected alternatives fail or rank lower. Do not infer plant energy from membrane flux.</x:v>
      </x:c>
      <x:c r="C27" s="29" t="str"/>
      <x:c r="D27" s="29" t="str"/>
      <x:c r="E27" s="29" t="str"/>
      <x:c r="F27" s="29" t="str"/>
      <x:c r="G27" s="29" t="str"/>
      <x:c r="H27" s="29" t="str"/>
      <x:c r="I27" s="29" t="str"/>
      <x:c r="J27" s="29" t="str"/>
      <x:c r="K27" s="29" t="str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K10"/>
    <x:mergeCell ref="A17:K17"/>
    <x:mergeCell ref="A18:K21"/>
    <x:mergeCell ref="A23:K23"/>
    <x:mergeCell ref="B24:K24"/>
    <x:mergeCell ref="B25:K25"/>
    <x:mergeCell ref="B26:K26"/>
    <x:mergeCell ref="B27:K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Gold answer | D6_6c-02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Validated simulator outputs and joint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Final engineering conclusion</x:v>
      </x:c>
      <x:c r="B5" s="15" t="str">
        <x:v>Final engineering conclusion</x:v>
      </x:c>
      <x:c r="C5" s="15" t="str">
        <x:v>Final engineering conclusion</x:v>
      </x:c>
      <x:c r="D5" s="15" t="str">
        <x:v>Final engineering conclusion</x:v>
      </x:c>
      <x:c r="E5" s="15" t="str">
        <x:v>Final engineering conclusion</x:v>
      </x:c>
      <x:c r="F5" s="15" t="str">
        <x:v>Final engineering conclusion</x:v>
      </x:c>
      <x:c r="G5" s="15" t="str">
        <x:v>Final engineering conclusion</x:v>
      </x:c>
      <x:c r="H5" s="15" t="str">
        <x:v>Final engineering conclusion</x:v>
      </x:c>
      <x:c r="I5" s="15" t="str">
        <x:v>Final engineering conclusion</x:v>
      </x:c>
      <x:c r="J5" s="15" t="str">
        <x:v>Final engineering conclusion</x:v>
      </x:c>
      <x:c r="K5" s="15" t="str">
        <x:v>Final engineering conclusion</x:v>
      </x:c>
    </x:row>
    <x:row r="6">
      <x:c r="A6" s="45" t="str">
        <x:v>Recommend C, the high-rejection membrane (A=3.5×10⁻¹² m/s/Pa, B=2.2×10⁻⁸ m/s). It gives 198.3 mg/L NaCl, 0.3512 kg/s membrane water and CP 1.258; plant product flow is 0.038196 m³/s with SEC 2.713 kWh/m³. The high-flux membrane has the lowest LCOW but violates the contract at 452.5 mg/L.</x:v>
      </x:c>
      <x:c r="B6" s="45"/>
      <x:c r="C6" s="45"/>
      <x:c r="D6" s="45"/>
      <x:c r="E6" s="45"/>
      <x:c r="F6" s="45"/>
      <x:c r="G6" s="45"/>
      <x:c r="H6" s="45"/>
      <x:c r="I6" s="45"/>
      <x:c r="J6" s="45"/>
      <x:c r="K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Branch A — simulate_ro (independent membrane-unit calls)</x:v>
      </x:c>
      <x:c r="B10" s="15" t="str">
        <x:v>Branch A — simulate_ro (independent membrane-unit calls)</x:v>
      </x:c>
      <x:c r="C10" s="15" t="str">
        <x:v>Branch A — simulate_ro (independent membrane-unit calls)</x:v>
      </x:c>
      <x:c r="D10" s="15" t="str">
        <x:v>Branch A — simulate_ro (independent membrane-unit calls)</x:v>
      </x:c>
      <x:c r="E10" s="15" t="str">
        <x:v>Branch A — simulate_ro (independent membrane-unit calls)</x:v>
      </x:c>
      <x:c r="F10" s="15" t="str">
        <x:v>Branch A — simulate_ro (independent membrane-unit calls)</x:v>
      </x:c>
      <x:c r="G10" s="15" t="str">
        <x:v>Branch A — simulate_ro (independent membrane-unit calls)</x:v>
      </x:c>
      <x:c r="H10" s="1"/>
      <x:c r="I10" s="1"/>
      <x:c r="J10" s="1"/>
      <x:c r="K10" s="1"/>
    </x:row>
    <x:row r="11">
      <x:c r="A11" s="25" t="str">
        <x:v>ID</x:v>
      </x:c>
      <x:c r="B11" s="25" t="str">
        <x:v>Water flux (LMH)</x:v>
      </x:c>
      <x:c r="C11" s="25" t="str">
        <x:v>Water (kg/s)</x:v>
      </x:c>
      <x:c r="D11" s="25" t="str">
        <x:v>NaCl (mg/L)</x:v>
      </x:c>
      <x:c r="E11" s="25" t="str">
        <x:v>Recovery (%)</x:v>
      </x:c>
      <x:c r="F11" s="25" t="str">
        <x:v>Inlet CP</x:v>
      </x:c>
      <x:c r="G11" s="25" t="str">
        <x:v>Membrane result</x:v>
      </x:c>
      <x:c r="H11" s="1"/>
      <x:c r="I11" s="1"/>
      <x:c r="J11" s="1"/>
      <x:c r="K11" s="1"/>
    </x:row>
    <x:row r="12">
      <x:c r="A12" s="29" t="str">
        <x:v>A</x:v>
      </x:c>
      <x:c r="B12" s="46" t="n">
        <x:v>24.609922</x:v>
      </x:c>
      <x:c r="C12" s="46" t="n">
        <x:v>0.41016536</x:v>
      </x:c>
      <x:c r="D12" s="46" t="n">
        <x:v>452.5437</x:v>
      </x:c>
      <x:c r="E12" s="46" t="n">
        <x:v>42.1119</x:v>
      </x:c>
      <x:c r="F12" s="46" t="n">
        <x:v>1.342797</x:v>
      </x:c>
      <x:c r="G12" s="29" t="str">
        <x:f>IF(AND(C12&gt;=0.34,D12&lt;=250,F12&lt;=1.35),"PASS","FAIL")</x:f>
        <x:v>FAIL</x:v>
      </x:c>
      <x:c r="H12" s="1"/>
      <x:c r="I12" s="1"/>
      <x:c r="J12" s="1"/>
      <x:c r="K12" s="1"/>
    </x:row>
    <x:row r="13">
      <x:c r="A13" s="29" t="str">
        <x:v>B</x:v>
      </x:c>
      <x:c r="B13" s="46" t="n">
        <x:v>22.878357</x:v>
      </x:c>
      <x:c r="C13" s="46" t="n">
        <x:v>0.38130595</x:v>
      </x:c>
      <x:c r="D13" s="46" t="n">
        <x:v>300.6424</x:v>
      </x:c>
      <x:c r="E13" s="46" t="n">
        <x:v>39.1474</x:v>
      </x:c>
      <x:c r="F13" s="46" t="n">
        <x:v>1.299233</x:v>
      </x:c>
      <x:c r="G13" s="29" t="str">
        <x:f>IF(AND(C13&gt;=0.34,D13&lt;=250,F13&lt;=1.35),"PASS","FAIL")</x:f>
        <x:v>FAIL</x:v>
      </x:c>
      <x:c r="H13" s="1"/>
      <x:c r="I13" s="1"/>
      <x:c r="J13" s="1"/>
      <x:c r="K13" s="1"/>
    </x:row>
    <x:row r="14">
      <x:c r="A14" s="29" t="str">
        <x:v>C</x:v>
      </x:c>
      <x:c r="B14" s="46" t="n">
        <x:v>21.070445</x:v>
      </x:c>
      <x:c r="C14" s="46" t="n">
        <x:v>0.35117408</x:v>
      </x:c>
      <x:c r="D14" s="46" t="n">
        <x:v>198.2768</x:v>
      </x:c>
      <x:c r="E14" s="46" t="n">
        <x:v>36.053</x:v>
      </x:c>
      <x:c r="F14" s="46" t="n">
        <x:v>1.257853</x:v>
      </x:c>
      <x:c r="G14" s="29" t="str">
        <x:f>IF(AND(C14&gt;=0.34,D14&lt;=250,F14&lt;=1.35),"PASS","FAIL")</x:f>
        <x:v>PASS</x:v>
      </x:c>
      <x:c r="H14" s="1"/>
      <x:c r="I14" s="1"/>
      <x:c r="J14" s="1"/>
      <x:c r="K14" s="1"/>
    </x:row>
    <x:row r="15">
      <x:c r="A15" s="29" t="str">
        <x:v>D</x:v>
      </x:c>
      <x:c r="B15" s="46" t="n">
        <x:v>21.501028</x:v>
      </x:c>
      <x:c r="C15" s="46" t="n">
        <x:v>0.35835046</x:v>
      </x:c>
      <x:c r="D15" s="46" t="n">
        <x:v>398.3453</x:v>
      </x:c>
      <x:c r="E15" s="46" t="n">
        <x:v>36.7915</x:v>
      </x:c>
      <x:c r="F15" s="46" t="n">
        <x:v>1.264109</x:v>
      </x:c>
      <x:c r="G15" s="29" t="str">
        <x:f>IF(AND(C15&gt;=0.34,D15&lt;=250,F15&lt;=1.35),"PASS","FAIL")</x:f>
        <x:v>FAIL</x:v>
      </x:c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Branch B — simulate_swro_system (independent plant calls)</x:v>
      </x:c>
      <x:c r="B17" s="15" t="str">
        <x:v>Branch B — simulate_swro_system (independent plant calls)</x:v>
      </x:c>
      <x:c r="C17" s="15" t="str">
        <x:v>Branch B — simulate_swro_system (independent plant calls)</x:v>
      </x:c>
      <x:c r="D17" s="15" t="str">
        <x:v>Branch B — simulate_swro_system (independent plant calls)</x:v>
      </x:c>
      <x:c r="E17" s="15" t="str">
        <x:v>Branch B — simulate_swro_system (independent plant calls)</x:v>
      </x:c>
      <x:c r="F17" s="15" t="str">
        <x:v>Branch B — simulate_swro_system (independent plant calls)</x:v>
      </x:c>
      <x:c r="G17" s="15" t="str">
        <x:v>Branch B — simulate_swro_system (independent plant calls)</x:v>
      </x:c>
      <x:c r="H17" s="15" t="str">
        <x:v>Branch B — simulate_swro_system (independent plant calls)</x:v>
      </x:c>
      <x:c r="I17" s="1"/>
      <x:c r="J17" s="1"/>
      <x:c r="K17" s="1"/>
    </x:row>
    <x:row r="18">
      <x:c r="A18" s="25" t="str">
        <x:v>ID</x:v>
      </x:c>
      <x:c r="B18" s="25" t="str">
        <x:v>Product (m³/s)</x:v>
      </x:c>
      <x:c r="C18" s="25" t="str">
        <x:v>Product (m³/d)</x:v>
      </x:c>
      <x:c r="D18" s="25" t="str">
        <x:v>SEC (kWh/m³)</x:v>
      </x:c>
      <x:c r="E18" s="25" t="str">
        <x:v>LCOW ($/m³)</x:v>
      </x:c>
      <x:c r="F18" s="25" t="str">
        <x:v>CAPEX ($M)</x:v>
      </x:c>
      <x:c r="G18" s="25" t="str">
        <x:v>Plant result</x:v>
      </x:c>
      <x:c r="H18" s="25" t="str">
        <x:v>Call</x:v>
      </x:c>
      <x:c r="I18" s="1"/>
      <x:c r="J18" s="1"/>
      <x:c r="K18" s="1"/>
    </x:row>
    <x:row r="19">
      <x:c r="A19" s="29" t="str">
        <x:v>A</x:v>
      </x:c>
      <x:c r="B19" s="46" t="n">
        <x:v>0.04384385</x:v>
      </x:c>
      <x:c r="C19" s="46" t="n">
        <x:f>B19*86400</x:f>
        <x:v>3788.10864</x:v>
      </x:c>
      <x:c r="D19" s="46" t="n">
        <x:v>2.67365</x:v>
      </x:c>
      <x:c r="E19" s="46" t="n">
        <x:v>1.099915</x:v>
      </x:c>
      <x:c r="F19" s="46" t="n">
        <x:v>12.99313846</x:v>
      </x:c>
      <x:c r="G19" s="29" t="str">
        <x:f>IF(AND(B19&gt;=0.0375,D19&lt;=2.75),"PASS","FAIL")</x:f>
        <x:v>PASS</x:v>
      </x:c>
      <x:c r="H19" s="29" t="str">
        <x:v>simulate_swro_system</x:v>
      </x:c>
      <x:c r="I19" s="1"/>
      <x:c r="J19" s="1"/>
      <x:c r="K19" s="1"/>
    </x:row>
    <x:row r="20">
      <x:c r="A20" s="29" t="str">
        <x:v>B</x:v>
      </x:c>
      <x:c r="B20" s="46" t="n">
        <x:v>0.04112661</x:v>
      </x:c>
      <x:c r="C20" s="46" t="n">
        <x:f>B20*86400</x:f>
        <x:v>3553.339104</x:v>
      </x:c>
      <x:c r="D20" s="46" t="n">
        <x:v>2.691167</x:v>
      </x:c>
      <x:c r="E20" s="46" t="n">
        <x:v>1.15226</x:v>
      </x:c>
      <x:c r="F20" s="46" t="n">
        <x:v>12.83555904</x:v>
      </x:c>
      <x:c r="G20" s="29" t="str">
        <x:f>IF(AND(B20&gt;=0.0375,D20&lt;=2.75),"PASS","FAIL")</x:f>
        <x:v>PASS</x:v>
      </x:c>
      <x:c r="H20" s="29" t="str">
        <x:v>simulate_swro_system</x:v>
      </x:c>
      <x:c r="I20" s="1"/>
      <x:c r="J20" s="1"/>
      <x:c r="K20" s="1"/>
    </x:row>
    <x:row r="21">
      <x:c r="A21" s="29" t="str">
        <x:v>C</x:v>
      </x:c>
      <x:c r="B21" s="46" t="n">
        <x:v>0.03819568</x:v>
      </x:c>
      <x:c r="C21" s="46" t="n">
        <x:f>B21*86400</x:f>
        <x:v>3300.106752</x:v>
      </x:c>
      <x:c r="D21" s="46" t="n">
        <x:v>2.712725</x:v>
      </x:c>
      <x:c r="E21" s="46" t="n">
        <x:v>1.216821</x:v>
      </x:c>
      <x:c r="F21" s="46" t="n">
        <x:v>12.66192285</x:v>
      </x:c>
      <x:c r="G21" s="29" t="str">
        <x:f>IF(AND(B21&gt;=0.0375,D21&lt;=2.75),"PASS","FAIL")</x:f>
        <x:v>PASS</x:v>
      </x:c>
      <x:c r="H21" s="29" t="str">
        <x:v>simulate_swro_system</x:v>
      </x:c>
      <x:c r="I21" s="1"/>
      <x:c r="J21" s="1"/>
      <x:c r="K21" s="1"/>
    </x:row>
    <x:row r="22">
      <x:c r="A22" s="29" t="str">
        <x:v>D</x:v>
      </x:c>
      <x:c r="B22" s="46" t="n">
        <x:v>0.03887636</x:v>
      </x:c>
      <x:c r="C22" s="46" t="n">
        <x:f>B22*86400</x:f>
        <x:v>3358.917504</x:v>
      </x:c>
      <x:c r="D22" s="46" t="n">
        <x:v>2.707177</x:v>
      </x:c>
      <x:c r="E22" s="46" t="n">
        <x:v>1.200958</x:v>
      </x:c>
      <x:c r="F22" s="46" t="n">
        <x:v>12.70248992</x:v>
      </x:c>
      <x:c r="G22" s="29" t="str">
        <x:f>IF(AND(B22&gt;=0.0375,D22&lt;=2.75),"PASS","FAIL")</x:f>
        <x:v>PASS</x:v>
      </x:c>
      <x:c r="H22" s="29" t="str">
        <x:v>simulate_swro_system</x:v>
      </x:c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5" t="str">
        <x:v>Joint constraints and ranking (join key: candidate/policy ID)</x:v>
      </x:c>
      <x:c r="B24" s="15" t="str">
        <x:v>Joint constraints and ranking (join key: candidate/policy ID)</x:v>
      </x:c>
      <x:c r="C24" s="15" t="str">
        <x:v>Joint constraints and ranking (join key: candidate/policy ID)</x:v>
      </x:c>
      <x:c r="D24" s="15" t="str">
        <x:v>Joint constraints and ranking (join key: candidate/policy ID)</x:v>
      </x:c>
      <x:c r="E24" s="15" t="str">
        <x:v>Joint constraints and ranking (join key: candidate/policy ID)</x:v>
      </x:c>
      <x:c r="F24" s="15" t="str">
        <x:v>Joint constraints and ranking (join key: candidate/policy ID)</x:v>
      </x:c>
      <x:c r="G24" s="15" t="str">
        <x:v>Joint constraints and ranking (join key: candidate/policy ID)</x:v>
      </x:c>
      <x:c r="H24" s="15" t="str">
        <x:v>Joint constraints and ranking (join key: candidate/policy ID)</x:v>
      </x:c>
      <x:c r="I24" s="15" t="str">
        <x:v>Joint constraints and ranking (join key: candidate/policy ID)</x:v>
      </x:c>
      <x:c r="J24" s="15" t="str">
        <x:v>Joint constraints and ranking (join key: candidate/policy ID)</x:v>
      </x:c>
      <x:c r="K24" s="15" t="str">
        <x:v>Joint constraints and ranking (join key: candidate/policy ID)</x:v>
      </x:c>
    </x:row>
    <x:row r="25">
      <x:c r="A25" s="25" t="str">
        <x:v>ID</x:v>
      </x:c>
      <x:c r="B25" s="25" t="str">
        <x:v>Water kg/s</x:v>
      </x:c>
      <x:c r="C25" s="25" t="str">
        <x:v>NaCl mg/L</x:v>
      </x:c>
      <x:c r="D25" s="25" t="str">
        <x:v>CP</x:v>
      </x:c>
      <x:c r="E25" s="25" t="str">
        <x:v>Plant m³/s</x:v>
      </x:c>
      <x:c r="F25" s="25" t="str">
        <x:v>Plant m³/d</x:v>
      </x:c>
      <x:c r="G25" s="25" t="str">
        <x:v>SEC</x:v>
      </x:c>
      <x:c r="H25" s="25" t="str">
        <x:v>LCOW</x:v>
      </x:c>
      <x:c r="I25" s="25" t="str">
        <x:v>Membrane</x:v>
      </x:c>
      <x:c r="J25" s="25" t="str">
        <x:v>Plant</x:v>
      </x:c>
      <x:c r="K25" s="25" t="str">
        <x:v>Joint</x:v>
      </x:c>
    </x:row>
    <x:row r="26">
      <x:c r="A26" s="29" t="str">
        <x:f>A12</x:f>
        <x:v>A</x:v>
      </x:c>
      <x:c r="B26" s="46" t="n">
        <x:f>C12</x:f>
        <x:v>0.41016536</x:v>
      </x:c>
      <x:c r="C26" s="46" t="n">
        <x:f>D12</x:f>
        <x:v>452.5437</x:v>
      </x:c>
      <x:c r="D26" s="46" t="n">
        <x:f>F12</x:f>
        <x:v>1.342797</x:v>
      </x:c>
      <x:c r="E26" s="46" t="n">
        <x:f>B19</x:f>
        <x:v>0.04384385</x:v>
      </x:c>
      <x:c r="F26" s="46" t="n">
        <x:f>E26*86400</x:f>
        <x:v>3788.10864</x:v>
      </x:c>
      <x:c r="G26" s="46" t="n">
        <x:f>D19</x:f>
        <x:v>2.67365</x:v>
      </x:c>
      <x:c r="H26" s="46" t="n">
        <x:f>E19</x:f>
        <x:v>1.099915</x:v>
      </x:c>
      <x:c r="I26" s="29" t="str">
        <x:f>G12</x:f>
        <x:v>FAIL</x:v>
      </x:c>
      <x:c r="J26" s="29" t="str">
        <x:f>G19</x:f>
        <x:v>PASS</x:v>
      </x:c>
      <x:c r="K26" s="29" t="str">
        <x:f>IF(AND(I26="PASS",J26="PASS"),"PASS","FAIL")</x:f>
        <x:v>FAIL</x:v>
      </x:c>
    </x:row>
    <x:row r="27">
      <x:c r="A27" s="29" t="str">
        <x:f>A13</x:f>
        <x:v>B</x:v>
      </x:c>
      <x:c r="B27" s="46" t="n">
        <x:f>C13</x:f>
        <x:v>0.38130595</x:v>
      </x:c>
      <x:c r="C27" s="46" t="n">
        <x:f>D13</x:f>
        <x:v>300.6424</x:v>
      </x:c>
      <x:c r="D27" s="46" t="n">
        <x:f>F13</x:f>
        <x:v>1.299233</x:v>
      </x:c>
      <x:c r="E27" s="46" t="n">
        <x:f>B20</x:f>
        <x:v>0.04112661</x:v>
      </x:c>
      <x:c r="F27" s="46" t="n">
        <x:f>E27*86400</x:f>
        <x:v>3553.339104</x:v>
      </x:c>
      <x:c r="G27" s="46" t="n">
        <x:f>D20</x:f>
        <x:v>2.691167</x:v>
      </x:c>
      <x:c r="H27" s="46" t="n">
        <x:f>E20</x:f>
        <x:v>1.15226</x:v>
      </x:c>
      <x:c r="I27" s="29" t="str">
        <x:f>G13</x:f>
        <x:v>FAIL</x:v>
      </x:c>
      <x:c r="J27" s="29" t="str">
        <x:f>G20</x:f>
        <x:v>PASS</x:v>
      </x:c>
      <x:c r="K27" s="29" t="str">
        <x:f>IF(AND(I27="PASS",J27="PASS"),"PASS","FAIL")</x:f>
        <x:v>FAIL</x:v>
      </x:c>
    </x:row>
    <x:row r="28">
      <x:c r="A28" s="47" t="str">
        <x:f>A14</x:f>
        <x:v>C</x:v>
      </x:c>
      <x:c r="B28" s="48" t="n">
        <x:f>C14</x:f>
        <x:v>0.35117408</x:v>
      </x:c>
      <x:c r="C28" s="48" t="n">
        <x:f>D14</x:f>
        <x:v>198.2768</x:v>
      </x:c>
      <x:c r="D28" s="48" t="n">
        <x:f>F14</x:f>
        <x:v>1.257853</x:v>
      </x:c>
      <x:c r="E28" s="48" t="n">
        <x:f>B21</x:f>
        <x:v>0.03819568</x:v>
      </x:c>
      <x:c r="F28" s="48" t="n">
        <x:f>E28*86400</x:f>
        <x:v>3300.106752</x:v>
      </x:c>
      <x:c r="G28" s="48" t="n">
        <x:f>D21</x:f>
        <x:v>2.712725</x:v>
      </x:c>
      <x:c r="H28" s="48" t="n">
        <x:f>E21</x:f>
        <x:v>1.216821</x:v>
      </x:c>
      <x:c r="I28" s="47" t="str">
        <x:f>G14</x:f>
        <x:v>PASS</x:v>
      </x:c>
      <x:c r="J28" s="47" t="str">
        <x:f>G21</x:f>
        <x:v>PASS</x:v>
      </x:c>
      <x:c r="K28" s="47" t="str">
        <x:f>IF(AND(I28="PASS",J28="PASS"),"PASS","FAIL")</x:f>
        <x:v>PASS</x:v>
      </x:c>
    </x:row>
    <x:row r="29">
      <x:c r="A29" s="29" t="str">
        <x:f>A15</x:f>
        <x:v>D</x:v>
      </x:c>
      <x:c r="B29" s="46" t="n">
        <x:f>C15</x:f>
        <x:v>0.35835046</x:v>
      </x:c>
      <x:c r="C29" s="46" t="n">
        <x:f>D15</x:f>
        <x:v>398.3453</x:v>
      </x:c>
      <x:c r="D29" s="46" t="n">
        <x:f>F15</x:f>
        <x:v>1.264109</x:v>
      </x:c>
      <x:c r="E29" s="46" t="n">
        <x:f>B22</x:f>
        <x:v>0.03887636</x:v>
      </x:c>
      <x:c r="F29" s="46" t="n">
        <x:f>E29*86400</x:f>
        <x:v>3358.917504</x:v>
      </x:c>
      <x:c r="G29" s="46" t="n">
        <x:f>D22</x:f>
        <x:v>2.707177</x:v>
      </x:c>
      <x:c r="H29" s="46" t="n">
        <x:f>E22</x:f>
        <x:v>1.200958</x:v>
      </x:c>
      <x:c r="I29" s="29" t="str">
        <x:f>G15</x:f>
        <x:v>FAIL</x:v>
      </x:c>
      <x:c r="J29" s="29" t="str">
        <x:f>G22</x:f>
        <x:v>PASS</x:v>
      </x:c>
      <x:c r="K29" s="29" t="str">
        <x:f>IF(AND(I29="PASS",J29="PASS"),"PASS","FAIL")</x:f>
        <x:v>FAIL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5" t="str">
        <x:v>Audit notes</x:v>
      </x:c>
      <x:c r="B32" s="15" t="str">
        <x:v>Audit notes</x:v>
      </x:c>
      <x:c r="C32" s="15" t="str">
        <x:v>Audit notes</x:v>
      </x:c>
      <x:c r="D32" s="15" t="str">
        <x:v>Audit notes</x:v>
      </x:c>
      <x:c r="E32" s="15" t="str">
        <x:v>Audit notes</x:v>
      </x:c>
      <x:c r="F32" s="15" t="str">
        <x:v>Audit notes</x:v>
      </x:c>
      <x:c r="G32" s="15" t="str">
        <x:v>Audit notes</x:v>
      </x:c>
      <x:c r="H32" s="15" t="str">
        <x:v>Audit notes</x:v>
      </x:c>
      <x:c r="I32" s="15" t="str">
        <x:v>Audit notes</x:v>
      </x:c>
      <x:c r="J32" s="15" t="str">
        <x:v>Audit notes</x:v>
      </x:c>
      <x:c r="K32" s="15" t="str">
        <x:v>Audit notes</x:v>
      </x:c>
    </x:row>
    <x:row r="33">
      <x:c r="A33" s="51" t="str">
        <x:v>All numeric rows above are direct outputs from the connected ROprocess simulators. Daily product and joint status are spreadsheet formulas. Branches are parallel: the same candidate inputs are used independently, and results are joined only after both calls finish.</x:v>
      </x:c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G10"/>
    <x:mergeCell ref="A17:H17"/>
    <x:mergeCell ref="A24:K24"/>
    <x:mergeCell ref="A32:K32"/>
    <x:mergeCell ref="A33:K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Trajectory rubric | D6_6c-02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Score the reasoning path, simulator fidelity and engineering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Scoring rubric (100 points)</x:v>
      </x:c>
      <x:c r="B5" s="15" t="str">
        <x:v>Scoring rubric (100 points)</x:v>
      </x:c>
      <x:c r="C5" s="15" t="str">
        <x:v>Scoring rubric (100 points)</x:v>
      </x:c>
      <x:c r="D5" s="15" t="str">
        <x:v>Scoring rubric (100 points)</x:v>
      </x:c>
      <x:c r="E5" s="15" t="str">
        <x:v>Scoring rubric (100 points)</x:v>
      </x:c>
      <x:c r="F5" s="15" t="str">
        <x:v>Scoring rubric (100 points)</x:v>
      </x:c>
      <x:c r="G5" s="15" t="str">
        <x:v>Scoring rubric (100 points)</x:v>
      </x:c>
      <x:c r="H5" s="15" t="str">
        <x:v>Scoring rubric (100 points)</x:v>
      </x:c>
      <x:c r="I5" s="15" t="str">
        <x:v>Scoring rubric (100 points)</x:v>
      </x:c>
      <x:c r="J5" s="15" t="str">
        <x:v>Scoring rubric (100 points)</x:v>
      </x:c>
      <x:c r="K5" s="15" t="str">
        <x:v>Scoring rubric (100 points)</x:v>
      </x:c>
    </x:row>
    <x:row r="6">
      <x:c r="A6" s="25" t="str">
        <x:v>Dimension</x:v>
      </x:c>
      <x:c r="B6" s="25" t="str">
        <x:v>Points</x:v>
      </x:c>
      <x:c r="C6" s="25" t="str">
        <x:v>Full-credit evidence</x:v>
      </x:c>
      <x:c r="D6" s="25" t="str">
        <x:v>Partial credit</x:v>
      </x:c>
      <x:c r="E6" s="25" t="str">
        <x:v>Zero / critical error</x:v>
      </x:c>
      <x:c r="F6" s="25" t="str">
        <x:v>Notes</x:v>
      </x:c>
      <x:c r="G6" s="25" t="str"/>
      <x:c r="H6" s="25" t="str"/>
      <x:c r="I6" s="25" t="str"/>
      <x:c r="J6" s="25" t="str"/>
      <x:c r="K6" s="25" t="str"/>
    </x:row>
    <x:row r="7">
      <x:c r="A7" s="29" t="str">
        <x:v>Parallel setup</x:v>
      </x:c>
      <x:c r="B7" s="29" t="n">
        <x:v>15</x:v>
      </x:c>
      <x:c r="C7" s="29" t="str">
        <x:v>Defines 4 candidate/season rows, preserves identical shared inputs, and states that the branches are independent.</x:v>
      </x:c>
      <x:c r="D7" s="29" t="str">
        <x:v>Minor unit or mapping omission.</x:v>
      </x:c>
      <x:c r="E7" s="29" t="str">
        <x:v>Chains one simulator into the other or changes package identity.</x:v>
      </x:c>
      <x:c r="F7" s="29" t="str"/>
      <x:c r="G7" s="29" t="str"/>
      <x:c r="H7" s="29" t="str"/>
      <x:c r="I7" s="29" t="str"/>
      <x:c r="J7" s="29" t="str"/>
      <x:c r="K7" s="29" t="str"/>
    </x:row>
    <x:row r="8">
      <x:c r="A8" s="29" t="str">
        <x:v>simulate_ro branch</x:v>
      </x:c>
      <x:c r="B8" s="29" t="n">
        <x:v>20</x:v>
      </x:c>
      <x:c r="C8" s="29" t="str">
        <x:v>Runs 4 membrane calls and correctly reports flux, water, NaCl, recovery and CP.</x:v>
      </x:c>
      <x:c r="D8" s="29" t="str">
        <x:v>Most calls/results correct with one small transcription error.</x:v>
      </x:c>
      <x:c r="E8" s="29" t="str">
        <x:v>No membrane calls or energy is inferred from this branch.</x:v>
      </x:c>
      <x:c r="F8" s="29" t="str"/>
      <x:c r="G8" s="29" t="str"/>
      <x:c r="H8" s="29" t="str"/>
      <x:c r="I8" s="29" t="str"/>
      <x:c r="J8" s="29" t="str"/>
      <x:c r="K8" s="29" t="str"/>
    </x:row>
    <x:row r="9">
      <x:c r="A9" s="29" t="str">
        <x:v>simulate_swro_system branch</x:v>
      </x:c>
      <x:c r="B9" s="29" t="n">
        <x:v>20</x:v>
      </x:c>
      <x:c r="C9" s="29" t="str">
        <x:v>Runs 4 plant calls and correctly reports product flow, SEC, LCOW and CAPEX.</x:v>
      </x:c>
      <x:c r="D9" s="29" t="str">
        <x:v>Most calls/results correct with one small transcription error.</x:v>
      </x:c>
      <x:c r="E9" s="29" t="str">
        <x:v>No plant calls, or SEC/LCOW is invented from membrane results.</x:v>
      </x:c>
      <x:c r="F9" s="29" t="str"/>
      <x:c r="G9" s="29" t="str"/>
      <x:c r="H9" s="29" t="str"/>
      <x:c r="I9" s="29" t="str"/>
      <x:c r="J9" s="29" t="str"/>
      <x:c r="K9" s="29" t="str"/>
    </x:row>
    <x:row r="10">
      <x:c r="A10" s="29" t="str">
        <x:v>Join and constraints</x:v>
      </x:c>
      <x:c r="B10" s="29" t="n">
        <x:v>25</x:v>
      </x:c>
      <x:c r="C10" s="29" t="str">
        <x:v>Joins by candidate ID and applies every membrane and plant constraint before ranking.</x:v>
      </x:c>
      <x:c r="D10" s="29" t="str">
        <x:v>One non-decisive criterion omitted.</x:v>
      </x:c>
      <x:c r="E10" s="29" t="str">
        <x:v>Ranks before feasibility filtering or mixes outputs between packages.</x:v>
      </x:c>
      <x:c r="F10" s="29" t="str"/>
      <x:c r="G10" s="29" t="str"/>
      <x:c r="H10" s="29" t="str"/>
      <x:c r="I10" s="29" t="str"/>
      <x:c r="J10" s="29" t="str"/>
      <x:c r="K10" s="29" t="str"/>
    </x:row>
    <x:row r="11">
      <x:c r="A11" s="29" t="str">
        <x:v>Engineering conclusion</x:v>
      </x:c>
      <x:c r="B11" s="29" t="n">
        <x:v>20</x:v>
      </x:c>
      <x:c r="C11" s="29" t="str">
        <x:v>Selects C, cites decisive values, and explains at least two rejected alternatives.</x:v>
      </x:c>
      <x:c r="D11" s="29" t="str">
        <x:v>Correct winner with limited explanation.</x:v>
      </x:c>
      <x:c r="E11" s="29" t="str">
        <x:v>Wrong winner or recommendation contradicts reported outputs.</x:v>
      </x:c>
      <x:c r="F11" s="29" t="str"/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55" t="str">
        <x:v>Critical rule: a numerically correct winner without evidence from both simulator families cannot receive more than 50 points.</x:v>
      </x:c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Tool efficiency | D6_6c-02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Reference trajectory for parallel multi-simulator work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Preferred tool trajectory</x:v>
      </x:c>
      <x:c r="B5" s="15" t="str">
        <x:v>Preferred tool trajectory</x:v>
      </x:c>
      <x:c r="C5" s="15" t="str">
        <x:v>Preferred tool trajectory</x:v>
      </x:c>
      <x:c r="D5" s="15" t="str">
        <x:v>Preferred tool trajectory</x:v>
      </x:c>
      <x:c r="E5" s="15" t="str">
        <x:v>Preferred tool trajectory</x:v>
      </x:c>
      <x:c r="F5" s="15" t="str">
        <x:v>Preferred tool trajectory</x:v>
      </x:c>
      <x:c r="G5" s="15" t="str">
        <x:v>Preferred tool trajectory</x:v>
      </x:c>
      <x:c r="H5" s="15" t="str">
        <x:v>Preferred tool trajectory</x:v>
      </x:c>
      <x:c r="I5" s="15" t="str">
        <x:v>Preferred tool trajectory</x:v>
      </x:c>
      <x:c r="J5" s="15" t="str">
        <x:v>Preferred tool trajectory</x:v>
      </x:c>
      <x:c r="K5" s="15" t="str">
        <x:v>Preferred tool trajectory</x:v>
      </x:c>
    </x:row>
    <x:row r="6">
      <x:c r="A6" s="25" t="str">
        <x:v>Step</x:v>
      </x:c>
      <x:c r="B6" s="25" t="str">
        <x:v>Branch</x:v>
      </x:c>
      <x:c r="C6" s="25" t="str">
        <x:v>Action</x:v>
      </x:c>
      <x:c r="D6" s="25" t="str">
        <x:v>Calls</x:v>
      </x:c>
      <x:c r="E6" s="25" t="str">
        <x:v>Why it is efficient</x:v>
      </x:c>
      <x:c r="F6" s="25" t="str">
        <x:v>Common failure</x:v>
      </x:c>
      <x:c r="G6" s="25" t="str"/>
      <x:c r="H6" s="25" t="str"/>
      <x:c r="I6" s="25" t="str"/>
      <x:c r="J6" s="25" t="str"/>
      <x:c r="K6" s="25" t="str"/>
    </x:row>
    <x:row r="7">
      <x:c r="A7" s="29" t="n">
        <x:v>1</x:v>
      </x:c>
      <x:c r="B7" s="29" t="str">
        <x:v>Shared</x:v>
      </x:c>
      <x:c r="C7" s="29" t="str">
        <x:v>Create candidate packages and lock the module-to-plant scale mapping.</x:v>
      </x:c>
      <x:c r="D7" s="29" t="n">
        <x:v>0</x:v>
      </x:c>
      <x:c r="E7" s="29" t="str">
        <x:v>Prevents package drift between branches.</x:v>
      </x:c>
      <x:c r="F7" s="29" t="str">
        <x:v>Changing pressure, area or membrane between calls.</x:v>
      </x:c>
      <x:c r="G7" s="29" t="str"/>
      <x:c r="H7" s="29" t="str"/>
      <x:c r="I7" s="29" t="str"/>
      <x:c r="J7" s="29" t="str"/>
      <x:c r="K7" s="29" t="str"/>
    </x:row>
    <x:row r="8">
      <x:c r="A8" s="29" t="n">
        <x:v>2</x:v>
      </x:c>
      <x:c r="B8" s="29" t="str">
        <x:v>A</x:v>
      </x:c>
      <x:c r="C8" s="29" t="str">
        <x:v>Dispatch all simulate_ro calls independently; retain package IDs.</x:v>
      </x:c>
      <x:c r="D8" s="29" t="n">
        <x:v>4</x:v>
      </x:c>
      <x:c r="E8" s="29" t="str">
        <x:v>One call per row; no unnecessary serial dependency.</x:v>
      </x:c>
      <x:c r="F8" s="29" t="str">
        <x:v>Using simulate_ro for SEC or LCOW.</x:v>
      </x:c>
      <x:c r="G8" s="29" t="str"/>
      <x:c r="H8" s="29" t="str"/>
      <x:c r="I8" s="29" t="str"/>
      <x:c r="J8" s="29" t="str"/>
      <x:c r="K8" s="29" t="str"/>
    </x:row>
    <x:row r="9">
      <x:c r="A9" s="29" t="n">
        <x:v>3</x:v>
      </x:c>
      <x:c r="B9" s="29" t="str">
        <x:v>B</x:v>
      </x:c>
      <x:c r="C9" s="29" t="str">
        <x:v>Dispatch all simulate_swro_system calls independently; retain the same IDs.</x:v>
      </x:c>
      <x:c r="D9" s="29" t="n">
        <x:v>4</x:v>
      </x:c>
      <x:c r="E9" s="29" t="str">
        <x:v>Plant energy and cost come from the proper whole-system model.</x:v>
      </x:c>
      <x:c r="F9" s="29" t="str">
        <x:v>Estimating plant energy from flux.</x:v>
      </x:c>
      <x:c r="G9" s="29" t="str"/>
      <x:c r="H9" s="29" t="str"/>
      <x:c r="I9" s="29" t="str"/>
      <x:c r="J9" s="29" t="str"/>
      <x:c r="K9" s="29" t="str"/>
    </x:row>
    <x:row r="10">
      <x:c r="A10" s="29" t="n">
        <x:v>4</x:v>
      </x:c>
      <x:c r="B10" s="29" t="str">
        <x:v>Join</x:v>
      </x:c>
      <x:c r="C10" s="29" t="str">
        <x:v>Join by candidate ID and evaluate all hard constraints.</x:v>
      </x:c>
      <x:c r="D10" s="29" t="n">
        <x:v>0</x:v>
      </x:c>
      <x:c r="E10" s="29" t="str">
        <x:v>Only combines results after both branches finish.</x:v>
      </x:c>
      <x:c r="F10" s="29" t="str">
        <x:v>Mixing results from different candidates.</x:v>
      </x:c>
      <x:c r="G10" s="29" t="str"/>
      <x:c r="H10" s="29" t="str"/>
      <x:c r="I10" s="29" t="str"/>
      <x:c r="J10" s="29" t="str"/>
      <x:c r="K10" s="29" t="str"/>
    </x:row>
    <x:row r="11">
      <x:c r="A11" s="29" t="n">
        <x:v>5</x:v>
      </x:c>
      <x:c r="B11" s="29" t="str">
        <x:v>Decision</x:v>
      </x:c>
      <x:c r="C11" s="29" t="str">
        <x:v>Filter infeasible options, rank the survivors, and explain rejections.</x:v>
      </x:c>
      <x:c r="D11" s="29" t="n">
        <x:v>0</x:v>
      </x:c>
      <x:c r="E11" s="29" t="str">
        <x:v>Produces an auditable engineering recommendation.</x:v>
      </x:c>
      <x:c r="F11" s="29" t="str">
        <x:v>Ranking by SEC/LCOW before quality filtering.</x:v>
      </x:c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5" t="str">
        <x:v>Efficiency verdict</x:v>
      </x:c>
      <x:c r="B13" s="15" t="str">
        <x:v>Efficiency verdict</x:v>
      </x:c>
      <x:c r="C13" s="15" t="str">
        <x:v>Efficiency verdict</x:v>
      </x:c>
      <x:c r="D13" s="15" t="str">
        <x:v>Efficiency verdict</x:v>
      </x:c>
      <x:c r="E13" s="15" t="str">
        <x:v>Efficiency verdict</x:v>
      </x:c>
      <x:c r="F13" s="15" t="str">
        <x:v>Efficiency verdict</x:v>
      </x:c>
      <x:c r="G13" s="15" t="str">
        <x:v>Efficiency verdict</x:v>
      </x:c>
      <x:c r="H13" s="15" t="str">
        <x:v>Efficiency verdict</x:v>
      </x:c>
      <x:c r="I13" s="15" t="str">
        <x:v>Efficiency verdict</x:v>
      </x:c>
      <x:c r="J13" s="15" t="str">
        <x:v>Efficiency verdict</x:v>
      </x:c>
      <x:c r="K13" s="15" t="str">
        <x:v>Efficiency verdict</x:v>
      </x:c>
    </x:row>
    <x:row r="14">
      <x:c r="A14" s="51" t="str">
        <x:v>Reference budget: 4 simulate_ro calls + 4 simulate_swro_system calls. Extra calls are justified only for correcting an error or testing a clearly stated sensitivity. equilibrate_feed is not needed because no mineral-speciation or scaling constraint is present.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  <x:mergeCell ref="A14:K17"/>
  </x:mergeCells>
  <x:pageMargins left="0.7" right="0.7" top="0.75" bottom="0.75" header="0.3" footer="0.3"/>
</x:worksheet>
</file>