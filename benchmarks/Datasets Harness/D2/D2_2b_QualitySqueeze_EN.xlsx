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06cc1af104c4a39" /></Relationships>
</file>

<file path=xl/workbook.xml><?xml version="1.0" encoding="utf-8"?>
<x:workbook xmlns:x="http://schemas.openxmlformats.org/spreadsheetml/2006/main">
  <x:sheets>
    <x:sheet xmlns:r="http://schemas.openxmlformats.org/officeDocument/2006/relationships" name="Question" sheetId="1" r:id="R0da66d6ce6eb4091"/>
    <x:sheet xmlns:r="http://schemas.openxmlformats.org/officeDocument/2006/relationships" name="Gold_Answer" sheetId="2" r:id="Rc9c4c88af2d24938"/>
    <x:sheet xmlns:r="http://schemas.openxmlformats.org/officeDocument/2006/relationships" name="Trajectory_Rubric" sheetId="3" r:id="Rbf3cd7811f5348f2"/>
    <x:sheet xmlns:r="http://schemas.openxmlformats.org/officeDocument/2006/relationships" name="Tool_Efficiency" sheetId="4" r:id="R352e9c9db225404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0"/>
  </x:numFmts>
  <x:fonts count="13">
    <x:font>
      <x:sz val="11"/>
      <x:name val="Carlito"/>
    </x:font>
    <x:font>
      <x:b/>
      <x:sz val="15"/>
      <x:color rgb="FFFFFFFF"/>
      <x:name val="Arial"/>
    </x:font>
    <x:font>
      <x:b/>
      <x:sz val="10"/>
      <x:color rgb="FF17365D"/>
      <x:name val="Arial"/>
    </x:font>
    <x:font>
      <x:b/>
      <x:sz val="11"/>
      <x:color rgb="FF17365D"/>
      <x:name val="Arial"/>
    </x:font>
    <x:font>
      <x:b/>
      <x:sz val="11"/>
      <x:color rgb="FFFFFFFF"/>
      <x:name val="Arial"/>
    </x:font>
    <x:font>
      <x:sz val="10"/>
      <x:name val="Arial"/>
    </x:font>
    <x:font>
      <x:i/>
      <x:sz val="11"/>
      <x:color rgb="FF7F6000"/>
      <x:name val="Arial"/>
    </x:font>
    <x:font>
      <x:b/>
      <x:sz val="11"/>
      <x:color rgb="FF385723"/>
      <x:name val="Arial"/>
    </x:font>
    <x:font>
      <x:sz val="11"/>
      <x:color rgb="FF17365D"/>
      <x:name val="Arial"/>
    </x:font>
    <x:font>
      <x:b/>
      <x:sz val="10"/>
      <x:color rgb="FF1F1F1F"/>
      <x:name val="Arial"/>
    </x:font>
    <x:font>
      <x:sz val="10"/>
      <x:color rgb="FF1F1F1F"/>
      <x:name val="Arial"/>
    </x:font>
    <x:font>
      <x:i/>
      <x:sz val="10"/>
      <x:color rgb="FF1F1F1F"/>
      <x:name val="Arial"/>
    </x:font>
    <x:font>
      <x:b/>
      <x:sz val="10"/>
      <x:color rgb="FFFFFFFF"/>
      <x:name val="Arial"/>
    </x:font>
  </x:fonts>
  <x:fills count="7">
    <x:fill>
      <x:patternFill patternType="none"/>
    </x:fill>
    <x:fill>
      <x:patternFill patternType="gray125"/>
    </x:fill>
    <x:fill>
      <x:patternFill patternType="solid">
        <x:fgColor rgb="FF1F4E78"/>
      </x:patternFill>
    </x:fill>
    <x:fill>
      <x:patternFill patternType="solid">
        <x:fgColor rgb="FFDDEBF7"/>
      </x:patternFill>
    </x:fill>
    <x:fill>
      <x:patternFill patternType="solid">
        <x:fgColor rgb="FF2F75B5"/>
      </x:patternFill>
    </x:fill>
    <x:fill>
      <x:patternFill patternType="solid">
        <x:fgColor rgb="FFFFF2CC"/>
      </x:patternFill>
    </x:fill>
    <x:fill>
      <x:patternFill patternType="solid">
        <x:fgColor rgb="FFE2F0D9"/>
      </x:patternFill>
    </x:fill>
  </x:fills>
  <x:borders count="2">
    <x:border/>
    <x:border/>
  </x:borders>
  <x:cellStyleXfs count="1">
    <x:xf numFmtId="0" fontId="0" fillId="0" borderId="0"/>
  </x:cellStyleXfs>
  <x:cellXfs count="9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3" fillId="3" borderId="0" xfId="0" applyNumberFormat="1" applyFont="1" applyFill="1" applyBorder="1"/>
    <x:xf numFmtId="0" fontId="3" fillId="3" borderId="1" xfId="0" applyNumberFormat="1" applyFont="1" applyFill="1" applyBorder="1"/>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horizontal="center" wrapText="1"/>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wrapText="1"/>
    </x:xf>
    <x:xf numFmtId="0" fontId="4" fillId="4" borderId="1"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5" fillId="0" borderId="0" xfId="0" applyNumberFormat="1" applyFont="1" applyFill="1" applyBorder="1"/>
    <x:xf numFmtId="0" fontId="5" fillId="0" borderId="0" xfId="0" applyNumberFormat="1" applyFont="1" applyFill="1" applyBorder="1" applyAlignment="1">
      <x:alignment wrapText="1"/>
    </x:xf>
    <x:xf numFmtId="0" fontId="5" fillId="0" borderId="1" xfId="0" applyNumberFormat="1" applyFont="1" applyFill="1" applyBorder="1"/>
    <x:xf numFmtId="0" fontId="5" fillId="0" borderId="1" xfId="0" applyNumberFormat="1" applyFont="1" applyFill="1" applyBorder="1" applyAlignment="1">
      <x:alignment wrapText="1"/>
    </x:xf>
    <x:xf numFmtId="0" fontId="0" fillId="5" borderId="0" xfId="0" applyNumberFormat="1" applyFont="1" applyFill="1" applyBorder="1"/>
    <x:xf numFmtId="0" fontId="6" fillId="5" borderId="0" xfId="0" applyNumberFormat="1" applyFont="1" applyFill="1" applyBorder="1"/>
    <x:xf numFmtId="0" fontId="6" fillId="5" borderId="0" xfId="0" applyNumberFormat="1" applyFont="1" applyFill="1" applyBorder="1" applyAlignment="1">
      <x:alignment wrapText="1"/>
    </x:xf>
    <x:xf numFmtId="0" fontId="6" fillId="5" borderId="0" xfId="0" applyNumberFormat="1" applyFont="1" applyFill="1" applyBorder="1" applyAlignment="1">
      <x:alignment vertical="center" wrapText="1"/>
    </x:xf>
    <x:xf numFmtId="0" fontId="0" fillId="5" borderId="1" xfId="0" applyNumberFormat="1" applyFont="1" applyFill="1" applyBorder="1"/>
    <x:xf numFmtId="0" fontId="6" fillId="5" borderId="1" xfId="0" applyNumberFormat="1" applyFont="1" applyFill="1" applyBorder="1"/>
    <x:xf numFmtId="0" fontId="6" fillId="5" borderId="1" xfId="0" applyNumberFormat="1" applyFont="1" applyFill="1" applyBorder="1" applyAlignment="1">
      <x:alignment wrapText="1"/>
    </x:xf>
    <x:xf numFmtId="0" fontId="6" fillId="5" borderId="1" xfId="0" applyNumberFormat="1" applyFont="1" applyFill="1" applyBorder="1" applyAlignment="1">
      <x:alignment vertical="center" wrapText="1"/>
    </x:xf>
    <x:xf numFmtId="0" fontId="0" fillId="6"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wrapText="1"/>
    </x:xf>
    <x:xf numFmtId="0" fontId="7" fillId="6" borderId="0" xfId="0" applyNumberFormat="1" applyFont="1" applyFill="1" applyBorder="1" applyAlignment="1">
      <x:alignment vertical="center" wrapText="1"/>
    </x:xf>
    <x:xf numFmtId="0" fontId="0" fillId="6" borderId="1" xfId="0" applyNumberFormat="1" applyFont="1" applyFill="1" applyBorder="1"/>
    <x:xf numFmtId="0" fontId="7" fillId="6" borderId="1" xfId="0" applyNumberFormat="1" applyFont="1" applyFill="1" applyBorder="1"/>
    <x:xf numFmtId="0" fontId="7" fillId="6" borderId="1" xfId="0" applyNumberFormat="1" applyFont="1" applyFill="1" applyBorder="1" applyAlignment="1">
      <x:alignment wrapText="1"/>
    </x:xf>
    <x:xf numFmtId="0" fontId="7" fillId="6" borderId="1" xfId="0" applyNumberFormat="1" applyFont="1" applyFill="1" applyBorder="1" applyAlignment="1">
      <x:alignment vertical="center" wrapText="1"/>
    </x:xf>
    <x:xf numFmtId="0" fontId="4" fillId="4" borderId="0" xfId="0" applyNumberFormat="1" applyFont="1" applyFill="1" applyBorder="1" applyAlignment="1">
      <x:alignment horizontal="center"/>
    </x:xf>
    <x:xf numFmtId="0" fontId="4" fillId="4" borderId="1" xfId="0" applyNumberFormat="1" applyFont="1" applyFill="1" applyBorder="1" applyAlignment="1">
      <x:alignment horizontal="center"/>
    </x:xf>
    <x:xf numFmtId="200" fontId="0" fillId="0" borderId="0" xfId="0" applyNumberFormat="1" applyFont="1" applyFill="1" applyBorder="1"/>
    <x:xf numFmtId="200" fontId="0" fillId="0" borderId="1" xfId="0" applyNumberFormat="1" applyFont="1" applyFill="1" applyBorder="1"/>
    <x:xf numFmtId="0" fontId="8" fillId="3" borderId="0" xfId="0" applyNumberFormat="1" applyFont="1" applyFill="1" applyBorder="1"/>
    <x:xf numFmtId="0" fontId="8" fillId="3" borderId="0" xfId="0" applyNumberFormat="1" applyFont="1" applyFill="1" applyBorder="1" applyAlignment="1">
      <x:alignment wrapText="1"/>
    </x:xf>
    <x:xf numFmtId="0" fontId="8" fillId="3" borderId="1" xfId="0" applyNumberFormat="1" applyFont="1" applyFill="1" applyBorder="1"/>
    <x:xf numFmtId="0" fontId="8" fillId="3" borderId="1" xfId="0" applyNumberFormat="1" applyFont="1" applyFill="1" applyBorder="1" applyAlignment="1">
      <x:alignment wrapText="1"/>
    </x:xf>
    <x:xf numFmtId="0" fontId="0" fillId="5" borderId="0" xfId="0" applyNumberFormat="1" applyFont="1" applyFill="1" applyBorder="1" applyAlignment="1">
      <x:alignment wrapText="1"/>
    </x:xf>
    <x:xf numFmtId="0" fontId="0" fillId="5" borderId="1" xfId="0" applyNumberFormat="1" applyFont="1" applyFill="1" applyBorder="1" applyAlignment="1">
      <x:alignment wrapText="1"/>
    </x:xf>
    <x:xf numFmtId="0" fontId="9" fillId="2" borderId="0" xfId="0" applyNumberFormat="1" applyFont="1" applyFill="1" applyBorder="1" applyAlignment="1">
      <x:alignment horizontal="center" vertical="center"/>
    </x:xf>
    <x:xf numFmtId="0" fontId="10" fillId="0" borderId="0" xfId="0" applyNumberFormat="1" applyFont="1" applyFill="1" applyBorder="1"/>
    <x:xf numFmtId="0" fontId="9" fillId="3" borderId="0" xfId="0" applyNumberFormat="1" applyFont="1" applyFill="1" applyBorder="1" applyAlignment="1">
      <x:alignment vertical="center" wrapText="1"/>
    </x:xf>
    <x:xf numFmtId="0" fontId="9" fillId="3" borderId="0" xfId="0" applyNumberFormat="1" applyFont="1" applyFill="1" applyBorder="1"/>
    <x:xf numFmtId="0" fontId="9" fillId="4" borderId="0" xfId="0" applyNumberFormat="1" applyFont="1" applyFill="1" applyBorder="1" applyAlignment="1">
      <x:alignment horizontal="center" wrapText="1"/>
    </x:xf>
    <x:xf numFmtId="0" fontId="10" fillId="0" borderId="0" xfId="0" applyNumberFormat="1" applyFont="1" applyFill="1" applyBorder="1" applyAlignment="1">
      <x:alignment wrapText="1"/>
    </x:xf>
    <x:xf numFmtId="0" fontId="11" fillId="5" borderId="0" xfId="0" applyNumberFormat="1" applyFont="1" applyFill="1" applyBorder="1" applyAlignment="1">
      <x:alignment vertical="center" wrapText="1"/>
    </x:xf>
    <x:xf numFmtId="0" fontId="9" fillId="2" borderId="1" xfId="0" applyNumberFormat="1" applyFont="1" applyFill="1" applyBorder="1" applyAlignment="1">
      <x:alignment horizontal="center" vertical="center"/>
    </x:xf>
    <x:xf numFmtId="0" fontId="10" fillId="0" borderId="1" xfId="0" applyNumberFormat="1" applyFont="1" applyFill="1" applyBorder="1"/>
    <x:xf numFmtId="0" fontId="9" fillId="3" borderId="1" xfId="0" applyNumberFormat="1" applyFont="1" applyFill="1" applyBorder="1" applyAlignment="1">
      <x:alignment vertical="center" wrapText="1"/>
    </x:xf>
    <x:xf numFmtId="0" fontId="9" fillId="3" borderId="1" xfId="0" applyNumberFormat="1" applyFont="1" applyFill="1" applyBorder="1"/>
    <x:xf numFmtId="0" fontId="9" fillId="4" borderId="1" xfId="0" applyNumberFormat="1" applyFont="1" applyFill="1" applyBorder="1" applyAlignment="1">
      <x:alignment horizontal="center" wrapText="1"/>
    </x:xf>
    <x:xf numFmtId="0" fontId="10" fillId="0" borderId="1" xfId="0" applyNumberFormat="1" applyFont="1" applyFill="1" applyBorder="1" applyAlignment="1">
      <x:alignment wrapText="1"/>
    </x:xf>
    <x:xf numFmtId="0" fontId="11" fillId="5" borderId="1" xfId="0" applyNumberFormat="1" applyFont="1" applyFill="1" applyBorder="1" applyAlignment="1">
      <x:alignment vertical="center" wrapText="1"/>
    </x:xf>
    <x:xf numFmtId="0" fontId="9" fillId="2" borderId="0" xfId="0" applyNumberFormat="1" applyFont="1" applyFill="1" applyBorder="1" applyAlignment="1">
      <x:alignment horizontal="center"/>
    </x:xf>
    <x:xf numFmtId="0" fontId="9" fillId="4" borderId="0" xfId="0" applyNumberFormat="1" applyFont="1" applyFill="1" applyBorder="1" applyAlignment="1">
      <x:alignment horizontal="center"/>
    </x:xf>
    <x:xf numFmtId="0" fontId="9" fillId="6" borderId="0" xfId="0" applyNumberFormat="1" applyFont="1" applyFill="1" applyBorder="1" applyAlignment="1">
      <x:alignment vertical="center" wrapText="1"/>
    </x:xf>
    <x:xf numFmtId="200" fontId="10" fillId="0" borderId="0" xfId="0" applyNumberFormat="1" applyFont="1" applyFill="1" applyBorder="1"/>
    <x:xf numFmtId="0" fontId="9" fillId="2" borderId="1" xfId="0" applyNumberFormat="1" applyFont="1" applyFill="1" applyBorder="1" applyAlignment="1">
      <x:alignment horizontal="center"/>
    </x:xf>
    <x:xf numFmtId="0" fontId="9" fillId="4" borderId="1" xfId="0" applyNumberFormat="1" applyFont="1" applyFill="1" applyBorder="1" applyAlignment="1">
      <x:alignment horizontal="center"/>
    </x:xf>
    <x:xf numFmtId="0" fontId="9" fillId="6" borderId="1" xfId="0" applyNumberFormat="1" applyFont="1" applyFill="1" applyBorder="1" applyAlignment="1">
      <x:alignment vertical="center" wrapText="1"/>
    </x:xf>
    <x:xf numFmtId="200" fontId="10" fillId="0" borderId="1" xfId="0" applyNumberFormat="1" applyFont="1" applyFill="1" applyBorder="1"/>
    <x:xf numFmtId="0" fontId="10" fillId="3" borderId="0" xfId="0" applyNumberFormat="1" applyFont="1" applyFill="1" applyBorder="1" applyAlignment="1">
      <x:alignment wrapText="1"/>
    </x:xf>
    <x:xf numFmtId="0" fontId="10" fillId="5" borderId="0" xfId="0" applyNumberFormat="1" applyFont="1" applyFill="1" applyBorder="1" applyAlignment="1">
      <x:alignment wrapText="1"/>
    </x:xf>
    <x:xf numFmtId="0" fontId="9" fillId="6" borderId="0" xfId="0" applyNumberFormat="1" applyFont="1" applyFill="1" applyBorder="1"/>
    <x:xf numFmtId="0" fontId="10" fillId="3" borderId="1" xfId="0" applyNumberFormat="1" applyFont="1" applyFill="1" applyBorder="1" applyAlignment="1">
      <x:alignment wrapText="1"/>
    </x:xf>
    <x:xf numFmtId="0" fontId="10" fillId="5" borderId="1" xfId="0" applyNumberFormat="1" applyFont="1" applyFill="1" applyBorder="1" applyAlignment="1">
      <x:alignment wrapText="1"/>
    </x:xf>
    <x:xf numFmtId="0" fontId="9" fillId="6" borderId="1" xfId="0" applyNumberFormat="1" applyFont="1" applyFill="1" applyBorder="1"/>
    <x:xf numFmtId="0" fontId="12" fillId="4" borderId="0" xfId="0" applyNumberFormat="1" applyFont="1" applyFill="1" applyBorder="1" applyAlignment="1">
      <x:alignment horizontal="center" wrapText="1"/>
    </x:xf>
    <x:xf numFmtId="0" fontId="12" fillId="4" borderId="1" xfId="0" applyNumberFormat="1" applyFont="1" applyFill="1" applyBorder="1" applyAlignment="1">
      <x:alignment horizontal="center" wrapText="1"/>
    </x:xf>
    <x:xf numFmtId="0" fontId="12" fillId="4" borderId="0" xfId="0" applyNumberFormat="1" applyFont="1" applyFill="1" applyBorder="1" applyAlignment="1">
      <x:alignment horizontal="center"/>
    </x:xf>
    <x:xf numFmtId="0" fontId="12" fillId="4" borderId="1" xfId="0" applyNumberFormat="1" applyFont="1" applyFill="1" applyBorder="1" applyAlignment="1">
      <x:alignment horizontal="center"/>
    </x:xf>
  </x:cellXfs>
  <x:cellStyles count="1">
    <x:cellStyle name="Normal" xfId="0"/>
  </x:cellStyles>
  <x:dxfs count="10">
    <x:dxf>
      <x:font>
        <x:color rgb="FF385723"/>
      </x:font>
      <x:fill>
        <x:patternFill patternType="solid">
          <x:bgColor rgb="FFE2F0D9"/>
        </x:patternFill>
      </x:fill>
    </x:dxf>
    <x:dxf>
      <x:font>
        <x:color rgb="FFC00000"/>
      </x:font>
      <x:fill>
        <x:patternFill patternType="solid">
          <x:bgColor rgb="FFFCE4D6"/>
        </x:patternFill>
      </x:fill>
    </x:dxf>
    <x:dxf>
      <x:font>
        <x:color rgb="FF385723"/>
      </x:font>
      <x:fill>
        <x:patternFill patternType="solid">
          <x:bgColor rgb="FFE2F0D9"/>
        </x:patternFill>
      </x:fill>
    </x:dxf>
    <x:dxf>
      <x:font>
        <x:color rgb="FFC00000"/>
      </x:font>
      <x:fill>
        <x:patternFill patternType="solid">
          <x:bgColor rgb="FFFCE4D6"/>
        </x:patternFill>
      </x:fill>
    </x:dxf>
    <x:dxf>
      <x:font>
        <x:color rgb="FF385723"/>
      </x:font>
      <x:fill>
        <x:patternFill patternType="solid">
          <x:bgColor rgb="FFE2F0D9"/>
        </x:patternFill>
      </x:fill>
    </x:dxf>
    <x:dxf>
      <x:font>
        <x:color rgb="FFC00000"/>
      </x:font>
      <x:fill>
        <x:patternFill patternType="solid">
          <x:bgColor rgb="FFFCE4D6"/>
        </x:patternFill>
      </x:fill>
    </x:dxf>
    <x:dxf>
      <x:font>
        <x:color rgb="FF385723"/>
      </x:font>
      <x:fill>
        <x:patternFill patternType="solid">
          <x:bgColor rgb="FFE2F0D9"/>
        </x:patternFill>
      </x:fill>
    </x:dxf>
    <x:dxf>
      <x:font>
        <x:color rgb="FFC00000"/>
      </x:font>
      <x:fill>
        <x:patternFill patternType="solid">
          <x:bgColor rgb="FFFCE4D6"/>
        </x:patternFill>
      </x:fill>
    </x:dxf>
    <x:dxf>
      <x:font>
        <x:color rgb="FF385723"/>
      </x:font>
      <x:fill>
        <x:patternFill patternType="solid">
          <x:bgColor rgb="FFE2F0D9"/>
        </x:patternFill>
      </x:fill>
    </x:dxf>
    <x:dxf>
      <x:font>
        <x:color rgb="FFC00000"/>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7f485c88928453e" /><Relationship Type="http://schemas.openxmlformats.org/officeDocument/2006/relationships/theme" Target="/xl/theme/theme1.xml" Id="Rc9b67fe5ce09409a" /><Relationship Type="http://schemas.openxmlformats.org/officeDocument/2006/relationships/sharedStrings" Target="/xl/sharedStrings.xml" Id="R54ca5c8173da4e64" /><Relationship Type="http://schemas.openxmlformats.org/officeDocument/2006/relationships/worksheet" Target="/xl/worksheets/sheet1.xml" Id="R0da66d6ce6eb4091" /><Relationship Type="http://schemas.openxmlformats.org/officeDocument/2006/relationships/worksheet" Target="/xl/worksheets/sheet2.xml" Id="Rc9c4c88af2d24938" /><Relationship Type="http://schemas.openxmlformats.org/officeDocument/2006/relationships/worksheet" Target="/xl/worksheets/sheet3.xml" Id="Rbf3cd7811f5348f2" /><Relationship Type="http://schemas.openxmlformats.org/officeDocument/2006/relationships/worksheet" Target="/xl/worksheets/sheet4.xml" Id="R352e9c9db225404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5" hidden="0" customWidth="1"/>
    <x:col min="2" max="2" width="28" hidden="0" customWidth="1"/>
    <x:col min="3" max="3" width="16" hidden="0" customWidth="1"/>
    <x:col min="4" max="4" width="26" hidden="0" customWidth="1"/>
    <x:col min="5" max="5" width="3" hidden="0" customWidth="1"/>
    <x:col min="6" max="6" width="28" hidden="0" customWidth="1"/>
    <x:col min="7" max="7" width="26" hidden="0" customWidth="1"/>
    <x:col min="8" max="8" width="31" hidden="0" customWidth="1"/>
  </x:cols>
  <x:sheetData>
    <x:row r="1" ht="30" customHeight="1">
      <x:c r="A1" s="5" t="str">
        <x:v>D2-2b: Minimum Flow Correction under Production–Quality Squeeze</x:v>
      </x:c>
      <x:c r="B1" s="5"/>
      <x:c r="C1" s="5"/>
      <x:c r="D1" s="5"/>
      <x:c r="E1" s="5"/>
      <x:c r="F1" s="5"/>
      <x:c r="G1" s="5"/>
      <x:c r="H1" s="5"/>
    </x:row>
    <x:row r="2">
      <x:c r="A2" s="61"/>
      <x:c r="B2" s="61"/>
      <x:c r="C2" s="61"/>
      <x:c r="D2" s="61"/>
      <x:c r="E2" s="61"/>
      <x:c r="F2" s="61"/>
      <x:c r="G2" s="61"/>
      <x:c r="H2" s="61"/>
    </x:row>
    <x:row r="3">
      <x:c r="A3" s="61"/>
      <x:c r="B3" s="61"/>
      <x:c r="C3" s="61"/>
      <x:c r="D3" s="61"/>
      <x:c r="E3" s="61"/>
      <x:c r="F3" s="61"/>
      <x:c r="G3" s="61"/>
      <x:c r="H3" s="61"/>
    </x:row>
    <x:row r="4" ht="36" customHeight="1">
      <x:c r="A4" s="62" t="str">
        <x:v>The system operates at 52.65 bar / 4.290 kg/s. Recovery and Flux are safe, but Qp is slightly below 6.90 m³/h and permeate NaCl is slightly above 342.10 mg/L. Pressure may be changed, but the operating policy requires trying the smallest Feed-flow correction first; Pressure may be changed only if flow-only control fails. Identify the near-boundary failures and find the minimum 0.005 kg/s correction.</x:v>
      </x:c>
      <x:c r="B4" s="62"/>
      <x:c r="C4" s="62"/>
      <x:c r="D4" s="62"/>
      <x:c r="E4" s="62"/>
      <x:c r="F4" s="62"/>
      <x:c r="G4" s="62"/>
      <x:c r="H4" s="62"/>
    </x:row>
    <x:row r="5" ht="36" customHeight="1">
      <x:c r="A5" s="62"/>
      <x:c r="B5" s="62"/>
      <x:c r="C5" s="62"/>
      <x:c r="D5" s="62"/>
      <x:c r="E5" s="62"/>
      <x:c r="F5" s="62"/>
      <x:c r="G5" s="62"/>
      <x:c r="H5" s="62"/>
    </x:row>
    <x:row r="6">
      <x:c r="A6" s="61"/>
      <x:c r="B6" s="61"/>
      <x:c r="C6" s="61"/>
      <x:c r="D6" s="61"/>
      <x:c r="E6" s="61"/>
      <x:c r="F6" s="61"/>
      <x:c r="G6" s="61"/>
      <x:c r="H6" s="61"/>
    </x:row>
    <x:row r="7">
      <x:c r="A7" s="61"/>
      <x:c r="B7" s="61"/>
      <x:c r="C7" s="61"/>
      <x:c r="D7" s="61"/>
      <x:c r="E7" s="61"/>
      <x:c r="F7" s="61"/>
      <x:c r="G7" s="61"/>
      <x:c r="H7" s="61"/>
    </x:row>
    <x:row r="8">
      <x:c r="A8" s="63" t="str">
        <x:v>Fixed System Parameters</x:v>
      </x:c>
      <x:c r="B8" s="63"/>
      <x:c r="C8" s="63"/>
      <x:c r="D8" s="63"/>
      <x:c r="E8" s="61"/>
      <x:c r="F8" s="63" t="str">
        <x:v>Operating Objectives and Item Constraints</x:v>
      </x:c>
      <x:c r="G8" s="63"/>
      <x:c r="H8" s="63"/>
    </x:row>
    <x:row r="9">
      <x:c r="A9" s="88" t="str">
        <x:v>Category</x:v>
      </x:c>
      <x:c r="B9" s="88" t="str">
        <x:v>Parameter</x:v>
      </x:c>
      <x:c r="C9" s="88" t="str">
        <x:v>Value</x:v>
      </x:c>
      <x:c r="D9" s="88" t="str">
        <x:v>Note</x:v>
      </x:c>
      <x:c r="E9" s="61"/>
      <x:c r="F9" s="88" t="str">
        <x:v>Item</x:v>
      </x:c>
      <x:c r="G9" s="88" t="str">
        <x:v>Requirement / Value</x:v>
      </x:c>
      <x:c r="H9" s="88" t="str">
        <x:v>Note</x:v>
      </x:c>
    </x:row>
    <x:row r="10">
      <x:c r="A10" s="65" t="str">
        <x:v>Feed</x:v>
      </x:c>
      <x:c r="B10" s="65" t="str">
        <x:v>NaCl mass fraction</x:v>
      </x:c>
      <x:c r="C10" s="65" t="n">
        <x:v>0.03</x:v>
      </x:c>
      <x:c r="D10" s="65" t="str">
        <x:v>Fixed; ~30.5 g/L</x:v>
      </x:c>
      <x:c r="E10" s="61"/>
      <x:c r="F10" s="65" t="str">
        <x:v>Qp minimum</x:v>
      </x:c>
      <x:c r="G10" s="65" t="n">
        <x:v>6.9</x:v>
      </x:c>
      <x:c r="H10" s="65" t="str">
        <x:v>m³/h</x:v>
      </x:c>
    </x:row>
    <x:row r="11">
      <x:c r="A11" s="65" t="str">
        <x:v>Feed</x:v>
      </x:c>
      <x:c r="B11" s="65" t="str">
        <x:v>Temperature</x:v>
      </x:c>
      <x:c r="C11" s="65" t="n">
        <x:v>32</x:v>
      </x:c>
      <x:c r="D11" s="65" t="str">
        <x:v>°C; fixed</x:v>
      </x:c>
      <x:c r="E11" s="61"/>
      <x:c r="F11" s="65" t="str">
        <x:v>Qp maximum</x:v>
      </x:c>
      <x:c r="G11" s="65" t="str">
        <x:v>None</x:v>
      </x:c>
      <x:c r="H11" s="65" t="str">
        <x:v>No upper limit</x:v>
      </x:c>
    </x:row>
    <x:row r="12">
      <x:c r="A12" s="65" t="str">
        <x:v>Membrane</x:v>
      </x:c>
      <x:c r="B12" s="65" t="str">
        <x:v>Effective membrane area</x:v>
      </x:c>
      <x:c r="C12" s="65" t="n">
        <x:v>400</x:v>
      </x:c>
      <x:c r="D12" s="65" t="str">
        <x:v>m²; fixed</x:v>
      </x:c>
      <x:c r="E12" s="61"/>
      <x:c r="F12" s="65" t="str">
        <x:v>Recovery maximum</x:v>
      </x:c>
      <x:c r="G12" s="65" t="n">
        <x:v>46</x:v>
      </x:c>
      <x:c r="H12" s="65" t="str">
        <x:v>%</x:v>
      </x:c>
    </x:row>
    <x:row r="13">
      <x:c r="A13" s="65" t="str">
        <x:v>Membrane</x:v>
      </x:c>
      <x:c r="B13" s="65" t="str">
        <x:v>A_comp</x:v>
      </x:c>
      <x:c r="C13" s="65" t="n">
        <x:v>4.2e-12</x:v>
      </x:c>
      <x:c r="D13" s="65" t="str">
        <x:v>m/s/Pa; fixed</x:v>
      </x:c>
      <x:c r="E13" s="61"/>
      <x:c r="F13" s="65" t="str">
        <x:v>Flux maximum</x:v>
      </x:c>
      <x:c r="G13" s="65" t="n">
        <x:v>18</x:v>
      </x:c>
      <x:c r="H13" s="65" t="str">
        <x:v>LMH</x:v>
      </x:c>
    </x:row>
    <x:row r="14">
      <x:c r="A14" s="65" t="str">
        <x:v>Membrane</x:v>
      </x:c>
      <x:c r="B14" s="65" t="str">
        <x:v>B_comp</x:v>
      </x:c>
      <x:c r="C14" s="65" t="n">
        <x:v>3.4e-8</x:v>
      </x:c>
      <x:c r="D14" s="65" t="str">
        <x:v>m/s; fixed</x:v>
      </x:c>
      <x:c r="E14" s="61"/>
      <x:c r="F14" s="65" t="str">
        <x:v>Salt rejection minimum</x:v>
      </x:c>
      <x:c r="G14" s="65" t="n">
        <x:v>98.7</x:v>
      </x:c>
      <x:c r="H14" s="65" t="str">
        <x:v>%</x:v>
      </x:c>
    </x:row>
    <x:row r="15">
      <x:c r="A15" s="65" t="str">
        <x:v>Hydraulics</x:v>
      </x:c>
      <x:c r="B15" s="65" t="str">
        <x:v>Permeate pressure</x:v>
      </x:c>
      <x:c r="C15" s="65" t="n">
        <x:v>1.013</x:v>
      </x:c>
      <x:c r="D15" s="65" t="str">
        <x:v>bar</x:v>
      </x:c>
      <x:c r="E15" s="61"/>
      <x:c r="F15" s="65" t="str">
        <x:v>Permeate NaCl maximum</x:v>
      </x:c>
      <x:c r="G15" s="65" t="n">
        <x:v>342.1</x:v>
      </x:c>
      <x:c r="H15" s="65" t="str">
        <x:v>mg/L</x:v>
      </x:c>
    </x:row>
    <x:row r="16">
      <x:c r="A16" s="65" t="str">
        <x:v>Hydraulics</x:v>
      </x:c>
      <x:c r="B16" s="65" t="str">
        <x:v>Pressure drop</x:v>
      </x:c>
      <x:c r="C16" s="65" t="n">
        <x:v>0.653</x:v>
      </x:c>
      <x:c r="D16" s="65" t="str">
        <x:v>bar</x:v>
      </x:c>
      <x:c r="E16" s="61"/>
      <x:c r="F16" s="65" t="str">
        <x:v>Current setpoint</x:v>
      </x:c>
      <x:c r="G16" s="65" t="str">
        <x:v>52.65 bar / 4.290 kg/s</x:v>
      </x:c>
      <x:c r="H16" s="65" t="str">
        <x:v>Qp and NaCl both fail near their limits</x:v>
      </x:c>
    </x:row>
    <x:row r="17">
      <x:c r="A17" s="65" t="str">
        <x:v>Channel</x:v>
      </x:c>
      <x:c r="B17" s="65" t="str">
        <x:v>Channel height</x:v>
      </x:c>
      <x:c r="C17" s="65" t="n">
        <x:v>0.002</x:v>
      </x:c>
      <x:c r="D17" s="65" t="str">
        <x:v>m</x:v>
      </x:c>
      <x:c r="E17" s="61"/>
      <x:c r="F17" s="65" t="str">
        <x:v>First-priority action</x:v>
      </x:c>
      <x:c r="G17" s="65" t="str">
        <x:v>Increase Feed flow in 0.005 kg/s steps</x:v>
      </x:c>
      <x:c r="H17" s="65" t="str">
        <x:v>Hold Pressure at 52.65 bar</x:v>
      </x:c>
    </x:row>
    <x:row r="18">
      <x:c r="A18" s="65" t="str">
        <x:v>Channel</x:v>
      </x:c>
      <x:c r="B18" s="65" t="str">
        <x:v>Spacer porosity</x:v>
      </x:c>
      <x:c r="C18" s="65" t="n">
        <x:v>0.75</x:v>
      </x:c>
      <x:c r="D18" s="65" t="str">
        <x:v>-</x:v>
      </x:c>
      <x:c r="E18" s="61"/>
      <x:c r="F18" s="65" t="str">
        <x:v>Pressure</x:v>
      </x:c>
      <x:c r="G18" s="65" t="str">
        <x:v>Enable only if flow-only control fails</x:v>
      </x:c>
      <x:c r="H18" s="65" t="str">
        <x:v>Avoid over-adjustment</x:v>
      </x:c>
    </x:row>
    <x:row r="19">
      <x:c r="A19" s="65" t="str">
        <x:v>Channel</x:v>
      </x:c>
      <x:c r="B19" s="65" t="str">
        <x:v>Equivalent module length</x:v>
      </x:c>
      <x:c r="C19" s="65" t="n">
        <x:v>20</x:v>
      </x:c>
      <x:c r="D19" s="65" t="str">
        <x:v>m</x:v>
      </x:c>
      <x:c r="E19" s="61"/>
      <x:c r="F19" s="65" t="str">
        <x:v>Objective</x:v>
      </x:c>
      <x:c r="G19" s="65" t="str">
        <x:v>Minimum Feed-flow correction</x:v>
      </x:c>
      <x:c r="H19" s="65" t="str">
        <x:v>Near-pass is still FAIL</x:v>
      </x:c>
    </x:row>
    <x:row r="20">
      <x:c r="A20" s="65" t="str">
        <x:v>Model</x:v>
      </x:c>
      <x:c r="B20" s="65" t="str">
        <x:v>Concentration polarization / mass transfer</x:v>
      </x:c>
      <x:c r="C20" s="65" t="str">
        <x:v>calculated</x:v>
      </x:c>
      <x:c r="D20" s="65" t="str">
        <x:v>WaterTAP calculated</x:v>
      </x:c>
      <x:c r="E20" s="61"/>
      <x:c r="F20" s="61"/>
      <x:c r="G20" s="61"/>
      <x:c r="H20" s="61"/>
    </x:row>
    <x:row r="21">
      <x:c r="A21" s="61"/>
      <x:c r="B21" s="61"/>
      <x:c r="C21" s="61"/>
      <x:c r="D21" s="61"/>
      <x:c r="E21" s="61"/>
      <x:c r="F21" s="61"/>
      <x:c r="G21" s="61"/>
      <x:c r="H21" s="61"/>
    </x:row>
    <x:row r="22">
      <x:c r="A22" s="61"/>
      <x:c r="B22" s="61"/>
      <x:c r="C22" s="61"/>
      <x:c r="D22" s="61"/>
      <x:c r="E22" s="61"/>
      <x:c r="F22" s="63" t="str">
        <x:v>Required Tasks</x:v>
      </x:c>
      <x:c r="G22" s="63"/>
      <x:c r="H22" s="63"/>
    </x:row>
    <x:row r="23" ht="34" customHeight="1">
      <x:c r="A23" s="61"/>
      <x:c r="B23" s="61"/>
      <x:c r="C23" s="61"/>
      <x:c r="D23" s="61"/>
      <x:c r="E23" s="61"/>
      <x:c r="F23" s="65" t="str">
        <x:v>1. Judge Qp and permeate NaCl separately at the current point; do not round a near-fail into PASS.</x:v>
      </x:c>
      <x:c r="G23" s="65"/>
      <x:c r="H23" s="65"/>
    </x:row>
    <x:row r="24" ht="34" customHeight="1">
      <x:c r="A24" s="61"/>
      <x:c r="B24" s="61"/>
      <x:c r="C24" s="61"/>
      <x:c r="D24" s="61"/>
      <x:c r="E24" s="61"/>
      <x:c r="F24" s="65" t="str">
        <x:v>2. Test whether 4.295 kg/s simultaneously restores production and water quality.</x:v>
      </x:c>
      <x:c r="G24" s="65"/>
      <x:c r="H24" s="65"/>
    </x:row>
    <x:row r="25" ht="34" customHeight="1">
      <x:c r="A25" s="61"/>
      <x:c r="B25" s="61"/>
      <x:c r="C25" s="61"/>
      <x:c r="D25" s="61"/>
      <x:c r="E25" s="61"/>
      <x:c r="F25" s="65" t="str">
        <x:v>3. If 4.295 kg/s passes all constraints, stop; do not continue to 4.30 or change Pressure.</x:v>
      </x:c>
      <x:c r="G25" s="65"/>
      <x:c r="H25" s="65"/>
    </x:row>
    <x:row r="26" ht="34" customHeight="1">
      <x:c r="A26" s="61"/>
      <x:c r="B26" s="61"/>
      <x:c r="C26" s="61"/>
      <x:c r="D26" s="61"/>
      <x:c r="E26" s="61"/>
      <x:c r="F26" s="65" t="str">
        <x:v>4. Report the minimum correction and identify the active constraints.</x:v>
      </x:c>
      <x:c r="G26" s="65"/>
      <x:c r="H26" s="65"/>
    </x:row>
    <x:row r="27">
      <x:c r="A27" s="61"/>
      <x:c r="B27" s="61"/>
      <x:c r="C27" s="61"/>
      <x:c r="D27" s="61"/>
      <x:c r="E27" s="61"/>
      <x:c r="F27" s="61"/>
      <x:c r="G27" s="61"/>
      <x:c r="H27" s="61"/>
    </x:row>
    <x:row r="28">
      <x:c r="A28" s="66" t="str">
        <x:v>Task boundary: In D2-2b, feed conditions, membrane properties, area, and system structure remain fixed. The problem arises from the operating setpoint or the allowed operating envelope. Do not change feed quality, temperature, membrane area, or A/B.</x:v>
      </x:c>
      <x:c r="B28" s="66"/>
      <x:c r="C28" s="66"/>
      <x:c r="D28" s="66"/>
      <x:c r="E28" s="61"/>
      <x:c r="F28" s="61"/>
      <x:c r="G28" s="61"/>
      <x:c r="H28" s="61"/>
    </x:row>
    <x:row r="29">
      <x:c r="A29" s="66"/>
      <x:c r="B29" s="66"/>
      <x:c r="C29" s="66"/>
      <x:c r="D29" s="66"/>
      <x:c r="E29" s="61"/>
      <x:c r="F29" s="61"/>
      <x:c r="G29" s="61"/>
      <x:c r="H29" s="61"/>
    </x:row>
  </x:sheetData>
  <x:mergeCells>
    <x:mergeCell ref="A1:H1"/>
    <x:mergeCell ref="A4:H5"/>
    <x:mergeCell ref="A8:D8"/>
    <x:mergeCell ref="F8:H8"/>
    <x:mergeCell ref="F22:H22"/>
    <x:mergeCell ref="F23:H23"/>
    <x:mergeCell ref="F24:H24"/>
    <x:mergeCell ref="F25:H25"/>
    <x:mergeCell ref="F26:H26"/>
    <x:mergeCell ref="A28:D29"/>
  </x:mergeCells>
  <x:pageMargins left="0.7" right="0.7" top="0.75" bottom="0.75" header="0.3" footer="0.3"/>
</x:worksheet>
</file>

<file path=xl/worksheets/sheet2.xml><?xml version="1.0" encoding="utf-8"?>
<x:worksheet xmlns:x="http://schemas.openxmlformats.org/spreadsheetml/2006/main">
  <x:sheetFormatPr defaultRowHeight="15"/>
  <x:cols>
    <x:col min="1" max="1" width="23"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2" hidden="0" customWidth="1"/>
    <x:col min="11" max="11" width="12" hidden="0" customWidth="1"/>
    <x:col min="12" max="12" width="12" hidden="0" customWidth="1"/>
    <x:col min="13" max="13" width="12" hidden="0" customWidth="1"/>
    <x:col min="14" max="14" width="12" hidden="0" customWidth="1"/>
    <x:col min="15" max="15" width="20" hidden="0" customWidth="1"/>
    <x:col min="16" max="16" width="14" hidden="0" customWidth="1"/>
    <x:col min="17" max="17" width="12" hidden="0" customWidth="1"/>
  </x:cols>
  <x:sheetData>
    <x:row r="1" ht="30" customHeight="1">
      <x:c r="A1" s="4" t="str">
        <x:v>D2-2b: Gold Answer — Advanced Operating Setpoint Adjustment</x:v>
      </x:c>
      <x:c r="B1" s="4"/>
      <x:c r="C1" s="4"/>
      <x:c r="D1" s="4"/>
      <x:c r="E1" s="4"/>
      <x:c r="F1" s="4"/>
      <x:c r="G1" s="4"/>
      <x:c r="H1" s="4"/>
      <x:c r="I1" s="4"/>
      <x:c r="J1" s="4"/>
      <x:c r="K1" s="4"/>
      <x:c r="L1" s="4"/>
      <x:c r="M1" s="4"/>
      <x:c r="N1" s="4"/>
      <x:c r="O1" s="4"/>
      <x:c r="P1" s="4"/>
      <x:c r="Q1" s="4"/>
    </x:row>
    <x:row r="2">
      <x:c r="A2" s="61"/>
      <x:c r="B2" s="61"/>
      <x:c r="C2" s="61"/>
      <x:c r="D2" s="61"/>
      <x:c r="E2" s="61"/>
      <x:c r="F2" s="61"/>
      <x:c r="G2" s="61"/>
      <x:c r="H2" s="61"/>
      <x:c r="I2" s="61"/>
      <x:c r="J2" s="61"/>
      <x:c r="K2" s="61"/>
      <x:c r="L2" s="61"/>
      <x:c r="M2" s="61"/>
      <x:c r="N2" s="61"/>
      <x:c r="O2" s="61"/>
      <x:c r="P2" s="61"/>
      <x:c r="Q2" s="61"/>
    </x:row>
    <x:row r="3">
      <x:c r="A3" s="61"/>
      <x:c r="B3" s="61"/>
      <x:c r="C3" s="61"/>
      <x:c r="D3" s="61"/>
      <x:c r="E3" s="61"/>
      <x:c r="F3" s="61"/>
      <x:c r="G3" s="61"/>
      <x:c r="H3" s="61"/>
      <x:c r="I3" s="61"/>
      <x:c r="J3" s="61"/>
      <x:c r="K3" s="61"/>
      <x:c r="L3" s="61"/>
      <x:c r="M3" s="61"/>
      <x:c r="N3" s="61"/>
      <x:c r="O3" s="90" t="str">
        <x:v>Constraint</x:v>
      </x:c>
      <x:c r="P3" s="90" t="str">
        <x:v>Value</x:v>
      </x:c>
      <x:c r="Q3" s="90" t="str">
        <x:v>Unit</x:v>
      </x:c>
    </x:row>
    <x:row r="4" ht="44" customHeight="1">
      <x:c r="A4" s="76" t="str">
        <x:v>At 52.65/4.290, Qp≈6.897&lt;6.90 and permeate NaCl≈342.357&gt;342.10 mg/L, so both constraints fail. Increasing flow by only 0.005 kg/s to 4.295 gives Qp≈6.9013 and NaCl≈342.0945 mg/L, with Recovery≈45.64% and Flux≈17.247, so every constraint passes. The minimum correction is therefore 52.65 bar + 4.295 kg/s; 4.30 is feasible but unnecessarily large.</x:v>
      </x:c>
      <x:c r="B4" s="76"/>
      <x:c r="C4" s="76"/>
      <x:c r="D4" s="76"/>
      <x:c r="E4" s="76"/>
      <x:c r="F4" s="76"/>
      <x:c r="G4" s="76"/>
      <x:c r="H4" s="76"/>
      <x:c r="I4" s="76"/>
      <x:c r="J4" s="76"/>
      <x:c r="K4" s="76"/>
      <x:c r="L4" s="76"/>
      <x:c r="M4" s="76"/>
      <x:c r="N4" s="76"/>
      <x:c r="O4" s="77" t="str">
        <x:v>Qp min</x:v>
      </x:c>
      <x:c r="P4" s="77" t="n">
        <x:v>6.9</x:v>
      </x:c>
      <x:c r="Q4" s="77" t="str">
        <x:v>m³/h</x:v>
      </x:c>
    </x:row>
    <x:row r="5" ht="44" customHeight="1">
      <x:c r="A5" s="76"/>
      <x:c r="B5" s="76"/>
      <x:c r="C5" s="76"/>
      <x:c r="D5" s="76"/>
      <x:c r="E5" s="76"/>
      <x:c r="F5" s="76"/>
      <x:c r="G5" s="76"/>
      <x:c r="H5" s="76"/>
      <x:c r="I5" s="76"/>
      <x:c r="J5" s="76"/>
      <x:c r="K5" s="76"/>
      <x:c r="L5" s="76"/>
      <x:c r="M5" s="76"/>
      <x:c r="N5" s="76"/>
      <x:c r="O5" s="77" t="str">
        <x:v>Qp max</x:v>
      </x:c>
      <x:c r="P5" s="77" t="n">
        <x:v>999</x:v>
      </x:c>
      <x:c r="Q5" s="77" t="str">
        <x:v>m³/h</x:v>
      </x:c>
    </x:row>
    <x:row r="6">
      <x:c r="A6" s="61"/>
      <x:c r="B6" s="61"/>
      <x:c r="C6" s="61"/>
      <x:c r="D6" s="61"/>
      <x:c r="E6" s="61"/>
      <x:c r="F6" s="61"/>
      <x:c r="G6" s="61"/>
      <x:c r="H6" s="61"/>
      <x:c r="I6" s="61"/>
      <x:c r="J6" s="61"/>
      <x:c r="K6" s="61"/>
      <x:c r="L6" s="61"/>
      <x:c r="M6" s="61"/>
      <x:c r="N6" s="61"/>
      <x:c r="O6" s="77" t="str">
        <x:v>Recovery max</x:v>
      </x:c>
      <x:c r="P6" s="77" t="n">
        <x:v>46</x:v>
      </x:c>
      <x:c r="Q6" s="77" t="str">
        <x:v>%</x:v>
      </x:c>
    </x:row>
    <x:row r="7">
      <x:c r="A7" s="61"/>
      <x:c r="B7" s="61"/>
      <x:c r="C7" s="61"/>
      <x:c r="D7" s="61"/>
      <x:c r="E7" s="61"/>
      <x:c r="F7" s="61"/>
      <x:c r="G7" s="61"/>
      <x:c r="H7" s="61"/>
      <x:c r="I7" s="61"/>
      <x:c r="J7" s="61"/>
      <x:c r="K7" s="61"/>
      <x:c r="L7" s="61"/>
      <x:c r="M7" s="61"/>
      <x:c r="N7" s="61"/>
      <x:c r="O7" s="77" t="str">
        <x:v>Flux max</x:v>
      </x:c>
      <x:c r="P7" s="77" t="n">
        <x:v>18</x:v>
      </x:c>
      <x:c r="Q7" s="77" t="str">
        <x:v>LMH</x:v>
      </x:c>
    </x:row>
    <x:row r="8">
      <x:c r="A8" s="63" t="str">
        <x:v>Continuous Reasoning Trajectory</x:v>
      </x:c>
      <x:c r="B8" s="63"/>
      <x:c r="C8" s="63"/>
      <x:c r="D8" s="63"/>
      <x:c r="E8" s="63"/>
      <x:c r="F8" s="63"/>
      <x:c r="G8" s="61"/>
      <x:c r="H8" s="61"/>
      <x:c r="I8" s="61"/>
      <x:c r="J8" s="61"/>
      <x:c r="K8" s="61"/>
      <x:c r="L8" s="61"/>
      <x:c r="M8" s="61"/>
      <x:c r="N8" s="61"/>
      <x:c r="O8" s="77" t="str">
        <x:v>Rejection min</x:v>
      </x:c>
      <x:c r="P8" s="77" t="n">
        <x:v>98.7</x:v>
      </x:c>
      <x:c r="Q8" s="77" t="str">
        <x:v>%</x:v>
      </x:c>
    </x:row>
    <x:row r="9">
      <x:c r="A9" s="88" t="str">
        <x:v>Node</x:v>
      </x:c>
      <x:c r="B9" s="88" t="str">
        <x:v>Evidence point</x:v>
      </x:c>
      <x:c r="C9" s="88" t="str">
        <x:v>Key observation</x:v>
      </x:c>
      <x:c r="D9" s="88" t="str">
        <x:v>State update</x:v>
      </x:c>
      <x:c r="E9" s="88" t="str">
        <x:v>Engineering meaning</x:v>
      </x:c>
      <x:c r="F9" s="88" t="str">
        <x:v>Decision</x:v>
      </x:c>
      <x:c r="G9" s="61"/>
      <x:c r="H9" s="61"/>
      <x:c r="I9" s="61"/>
      <x:c r="J9" s="61"/>
      <x:c r="K9" s="61"/>
      <x:c r="L9" s="61"/>
      <x:c r="M9" s="61"/>
      <x:c r="N9" s="61"/>
      <x:c r="O9" s="77" t="str">
        <x:v>NaCl max</x:v>
      </x:c>
      <x:c r="P9" s="77" t="n">
        <x:v>342.1</x:v>
      </x:c>
      <x:c r="Q9" s="77" t="str">
        <x:v>mg/L</x:v>
      </x:c>
    </x:row>
    <x:row r="10" ht="60" customHeight="1">
      <x:c r="A10" s="65" t="str">
        <x:v>Current near-fail</x:v>
      </x:c>
      <x:c r="B10" s="65" t="str">
        <x:v>H</x:v>
      </x:c>
      <x:c r="C10" s="65" t="str">
        <x:v>Qp and permeate NaCl both fail near their limits</x:v>
      </x:c>
      <x:c r="D10" s="65" t="str">
        <x:v>Use the smallest allowed flow action first</x:v>
      </x:c>
      <x:c r="E10" s="65" t="str">
        <x:v>Both active constraints must be checked precisely</x:v>
      </x:c>
      <x:c r="F10" s="65" t="str">
        <x:v>Continue</x:v>
      </x:c>
      <x:c r="G10" s="61"/>
      <x:c r="H10" s="61"/>
      <x:c r="I10" s="61"/>
      <x:c r="J10" s="61"/>
      <x:c r="K10" s="61"/>
      <x:c r="L10" s="61"/>
      <x:c r="M10" s="61"/>
      <x:c r="N10" s="61"/>
      <x:c r="O10" s="61"/>
      <x:c r="P10" s="61"/>
      <x:c r="Q10" s="61"/>
    </x:row>
    <x:row r="11" ht="60" customHeight="1">
      <x:c r="A11" s="65" t="str">
        <x:v>Minimum correction</x:v>
      </x:c>
      <x:c r="B11" s="65" t="str">
        <x:v>I</x:v>
      </x:c>
      <x:c r="C11" s="65" t="str">
        <x:v>All constraints pass</x:v>
      </x:c>
      <x:c r="D11" s="65" t="str">
        <x:v>Accept +0.005 kg/s correction</x:v>
      </x:c>
      <x:c r="E11" s="65" t="str">
        <x:v>Minimum flow change is sufficient</x:v>
      </x:c>
      <x:c r="F11" s="65" t="str">
        <x:v>Stop</x:v>
      </x:c>
      <x:c r="G11" s="61"/>
      <x:c r="H11" s="61"/>
      <x:c r="I11" s="61"/>
      <x:c r="J11" s="61"/>
      <x:c r="K11" s="61"/>
      <x:c r="L11" s="61"/>
      <x:c r="M11" s="61"/>
      <x:c r="N11" s="61"/>
      <x:c r="O11" s="61"/>
      <x:c r="P11" s="61"/>
      <x:c r="Q11" s="61"/>
    </x:row>
    <x:row r="12" ht="60" customHeight="1">
      <x:c r="A12" s="65" t="str">
        <x:v>Over-adjustment comparison</x:v>
      </x:c>
      <x:c r="B12" s="65" t="str">
        <x:v>G</x:v>
      </x:c>
      <x:c r="C12" s="65" t="str">
        <x:v>Also passes, but requires a larger flow increase</x:v>
      </x:c>
      <x:c r="D12" s="65" t="str">
        <x:v>Reject as unnecessary</x:v>
      </x:c>
      <x:c r="E12" s="65" t="str">
        <x:v>Feasible does not mean optimal</x:v>
      </x:c>
      <x:c r="F12" s="65" t="str">
        <x:v>Stop</x:v>
      </x:c>
      <x:c r="G12" s="61"/>
      <x:c r="H12" s="61"/>
      <x:c r="I12" s="61"/>
      <x:c r="J12" s="61"/>
      <x:c r="K12" s="61"/>
      <x:c r="L12" s="61"/>
      <x:c r="M12" s="61"/>
      <x:c r="N12" s="61"/>
      <x:c r="O12" s="61"/>
      <x:c r="P12" s="61"/>
      <x:c r="Q12" s="61"/>
    </x:row>
    <x:row r="13">
      <x:c r="A13" s="61"/>
      <x:c r="B13" s="61"/>
      <x:c r="C13" s="61"/>
      <x:c r="D13" s="61"/>
      <x:c r="E13" s="61"/>
      <x:c r="F13" s="61"/>
      <x:c r="G13" s="61"/>
      <x:c r="H13" s="61"/>
      <x:c r="I13" s="61"/>
      <x:c r="J13" s="61"/>
      <x:c r="K13" s="61"/>
      <x:c r="L13" s="61"/>
      <x:c r="M13" s="61"/>
      <x:c r="N13" s="61"/>
      <x:c r="O13" s="61"/>
      <x:c r="P13" s="61"/>
      <x:c r="Q13" s="61"/>
    </x:row>
    <x:row r="14">
      <x:c r="A14" s="61"/>
      <x:c r="B14" s="61"/>
      <x:c r="C14" s="61"/>
      <x:c r="D14" s="61"/>
      <x:c r="E14" s="61"/>
      <x:c r="F14" s="61"/>
      <x:c r="G14" s="61"/>
      <x:c r="H14" s="61"/>
      <x:c r="I14" s="61"/>
      <x:c r="J14" s="61"/>
      <x:c r="K14" s="61"/>
      <x:c r="L14" s="61"/>
      <x:c r="M14" s="61"/>
      <x:c r="N14" s="61"/>
      <x:c r="O14" s="61"/>
      <x:c r="P14" s="61"/>
      <x:c r="Q14" s="61"/>
    </x:row>
    <x:row r="15">
      <x:c r="A15" s="61"/>
      <x:c r="B15" s="61"/>
      <x:c r="C15" s="61"/>
      <x:c r="D15" s="61"/>
      <x:c r="E15" s="61"/>
      <x:c r="F15" s="61"/>
      <x:c r="G15" s="61"/>
      <x:c r="H15" s="61"/>
      <x:c r="I15" s="61"/>
      <x:c r="J15" s="61"/>
      <x:c r="K15" s="61"/>
      <x:c r="L15" s="61"/>
      <x:c r="M15" s="61"/>
      <x:c r="N15" s="61"/>
      <x:c r="O15" s="61"/>
      <x:c r="P15" s="61"/>
      <x:c r="Q15" s="61"/>
    </x:row>
    <x:row r="16">
      <x:c r="A16" s="61"/>
      <x:c r="B16" s="61"/>
      <x:c r="C16" s="61"/>
      <x:c r="D16" s="61"/>
      <x:c r="E16" s="61"/>
      <x:c r="F16" s="61"/>
      <x:c r="G16" s="61"/>
      <x:c r="H16" s="61"/>
      <x:c r="I16" s="61"/>
      <x:c r="J16" s="61"/>
      <x:c r="K16" s="61"/>
      <x:c r="L16" s="61"/>
      <x:c r="M16" s="61"/>
      <x:c r="N16" s="61"/>
      <x:c r="O16" s="61"/>
      <x:c r="P16" s="61"/>
      <x:c r="Q16" s="61"/>
    </x:row>
    <x:row r="17">
      <x:c r="A17" s="61"/>
      <x:c r="B17" s="61"/>
      <x:c r="C17" s="61"/>
      <x:c r="D17" s="61"/>
      <x:c r="E17" s="61"/>
      <x:c r="F17" s="61"/>
      <x:c r="G17" s="61"/>
      <x:c r="H17" s="61"/>
      <x:c r="I17" s="61"/>
      <x:c r="J17" s="61"/>
      <x:c r="K17" s="61"/>
      <x:c r="L17" s="61"/>
      <x:c r="M17" s="61"/>
      <x:c r="N17" s="61"/>
      <x:c r="O17" s="61"/>
      <x:c r="P17" s="61"/>
      <x:c r="Q17" s="61"/>
    </x:row>
    <x:row r="18">
      <x:c r="A18" s="61"/>
      <x:c r="B18" s="61"/>
      <x:c r="C18" s="61"/>
      <x:c r="D18" s="61"/>
      <x:c r="E18" s="61"/>
      <x:c r="F18" s="61"/>
      <x:c r="G18" s="61"/>
      <x:c r="H18" s="61"/>
      <x:c r="I18" s="61"/>
      <x:c r="J18" s="61"/>
      <x:c r="K18" s="61"/>
      <x:c r="L18" s="61"/>
      <x:c r="M18" s="61"/>
      <x:c r="N18" s="61"/>
      <x:c r="O18" s="61"/>
      <x:c r="P18" s="61"/>
      <x:c r="Q18" s="61"/>
    </x:row>
    <x:row r="19">
      <x:c r="A19" s="63" t="str">
        <x:v>simulate_ro Evidence and Constraint Checks</x:v>
      </x:c>
      <x:c r="B19" s="63"/>
      <x:c r="C19" s="63"/>
      <x:c r="D19" s="63"/>
      <x:c r="E19" s="63"/>
      <x:c r="F19" s="63"/>
      <x:c r="G19" s="63"/>
      <x:c r="H19" s="63"/>
      <x:c r="I19" s="63"/>
      <x:c r="J19" s="63"/>
      <x:c r="K19" s="63"/>
      <x:c r="L19" s="63"/>
      <x:c r="M19" s="63"/>
      <x:c r="N19" s="63"/>
      <x:c r="O19" s="61"/>
      <x:c r="P19" s="61"/>
      <x:c r="Q19" s="61"/>
    </x:row>
    <x:row r="20">
      <x:c r="A20" s="88" t="str">
        <x:v>Scenario</x:v>
      </x:c>
      <x:c r="B20" s="88" t="str">
        <x:v>Pressure bar</x:v>
      </x:c>
      <x:c r="C20" s="88" t="str">
        <x:v>Feed kg/s</x:v>
      </x:c>
      <x:c r="D20" s="88" t="str">
        <x:v>Permeate kg/s</x:v>
      </x:c>
      <x:c r="E20" s="88" t="str">
        <x:v>Qp m³/h</x:v>
      </x:c>
      <x:c r="F20" s="88" t="str">
        <x:v>Flux LMH</x:v>
      </x:c>
      <x:c r="G20" s="88" t="str">
        <x:v>Recovery %</x:v>
      </x:c>
      <x:c r="H20" s="88" t="str">
        <x:v>Rejection %</x:v>
      </x:c>
      <x:c r="I20" s="88" t="str">
        <x:v>NaCl mg/L</x:v>
      </x:c>
      <x:c r="J20" s="88" t="str">
        <x:v>Qp</x:v>
      </x:c>
      <x:c r="K20" s="88" t="str">
        <x:v>Recovery</x:v>
      </x:c>
      <x:c r="L20" s="88" t="str">
        <x:v>Flux</x:v>
      </x:c>
      <x:c r="M20" s="88" t="str">
        <x:v>Water quality</x:v>
      </x:c>
      <x:c r="N20" s="88" t="str">
        <x:v>Overall</x:v>
      </x:c>
      <x:c r="O20" s="61"/>
      <x:c r="P20" s="61"/>
      <x:c r="Q20" s="61"/>
    </x:row>
    <x:row r="21">
      <x:c r="A21" s="61" t="str">
        <x:v>52.65 / 4.290</x:v>
      </x:c>
      <x:c r="B21" s="77" t="n">
        <x:v>52.65</x:v>
      </x:c>
      <x:c r="C21" s="77" t="n">
        <x:v>4.29</x:v>
      </x:c>
      <x:c r="D21" s="77" t="n">
        <x:v>1.9158664047452718</x:v>
      </x:c>
      <x:c r="E21" s="77" t="n">
        <x:v>6.897119057082978</x:v>
      </x:c>
      <x:c r="F21" s="77" t="n">
        <x:v>17.23689444644789</x:v>
      </x:c>
      <x:c r="G21" s="77" t="n">
        <x:v>45.66496546547411</x:v>
      </x:c>
      <x:c r="H21" s="77" t="n">
        <x:v>98.88395159208689</x:v>
      </x:c>
      <x:c r="I21" s="77" t="n">
        <x:v>342.35721962747334</x:v>
      </x:c>
      <x:c r="J21" s="61" t="str">
        <x:f>IF(AND(E21&gt;=$P$4,E21&lt;=$P$5),"PASS","FAIL")</x:f>
        <x:v>FAIL</x:v>
      </x:c>
      <x:c r="K21" s="61" t="str">
        <x:f>IF(G21&lt;=$P$6,"PASS","FAIL")</x:f>
        <x:v>PASS</x:v>
      </x:c>
      <x:c r="L21" s="61" t="str">
        <x:f>IF(F21&lt;=$P$7,"PASS","FAIL")</x:f>
        <x:v>PASS</x:v>
      </x:c>
      <x:c r="M21" s="61" t="str">
        <x:f>IF(AND(H21&gt;=$P$8,I21&lt;=$P$9),"PASS","FAIL")</x:f>
        <x:v>FAIL</x:v>
      </x:c>
      <x:c r="N21" s="61" t="str">
        <x:f>IF(AND(J21="PASS",K21="PASS",L21="PASS",M21="PASS"),"PASS","FAIL")</x:f>
        <x:v>FAIL</x:v>
      </x:c>
      <x:c r="O21" s="61"/>
      <x:c r="P21" s="61"/>
      <x:c r="Q21" s="61"/>
    </x:row>
    <x:row r="22">
      <x:c r="A22" s="61" t="str">
        <x:v>52.65 / 4.295</x:v>
      </x:c>
      <x:c r="B22" s="77" t="n">
        <x:v>52.65</x:v>
      </x:c>
      <x:c r="C22" s="77" t="n">
        <x:v>4.295</x:v>
      </x:c>
      <x:c r="D22" s="77" t="n">
        <x:v>1.917031086827258</x:v>
      </x:c>
      <x:c r="E22" s="77" t="n">
        <x:v>6.901311912578129</x:v>
      </x:c>
      <x:c r="F22" s="77" t="n">
        <x:v>17.247377528991624</x:v>
      </x:c>
      <x:c r="G22" s="77" t="n">
        <x:v>45.639542017473474</x:v>
      </x:c>
      <x:c r="H22" s="77" t="n">
        <x:v>98.88480818986883</x:v>
      </x:c>
      <x:c r="I22" s="77" t="n">
        <x:v>342.09451932985843</x:v>
      </x:c>
      <x:c r="J22" s="61" t="str">
        <x:f>IF(AND(E22&gt;=$P$4,E22&lt;=$P$5),"PASS","FAIL")</x:f>
        <x:v>PASS</x:v>
      </x:c>
      <x:c r="K22" s="61" t="str">
        <x:f>IF(G22&lt;=$P$6,"PASS","FAIL")</x:f>
        <x:v>PASS</x:v>
      </x:c>
      <x:c r="L22" s="61" t="str">
        <x:f>IF(F22&lt;=$P$7,"PASS","FAIL")</x:f>
        <x:v>PASS</x:v>
      </x:c>
      <x:c r="M22" s="61" t="str">
        <x:f>IF(AND(H22&gt;=$P$8,I22&lt;=$P$9),"PASS","FAIL")</x:f>
        <x:v>PASS</x:v>
      </x:c>
      <x:c r="N22" s="61" t="str">
        <x:f>IF(AND(J22="PASS",K22="PASS",L22="PASS",M22="PASS"),"PASS","FAIL")</x:f>
        <x:v>PASS</x:v>
      </x:c>
      <x:c r="O22" s="61"/>
      <x:c r="P22" s="61"/>
      <x:c r="Q22" s="61"/>
    </x:row>
    <x:row r="23">
      <x:c r="A23" s="61" t="str">
        <x:v>52.65 / 4.30</x:v>
      </x:c>
      <x:c r="B23" s="77" t="n">
        <x:v>52.65</x:v>
      </x:c>
      <x:c r="C23" s="77" t="n">
        <x:v>4.3</x:v>
      </x:c>
      <x:c r="D23" s="77" t="n">
        <x:v>1.9181949349895129</x:v>
      </x:c>
      <x:c r="E23" s="77" t="n">
        <x:v>6.905501765962247</x:v>
      </x:c>
      <x:c r="F23" s="77" t="n">
        <x:v>17.257853105822207</x:v>
      </x:c>
      <x:c r="G23" s="77" t="n">
        <x:v>45.614157857364695</x:v>
      </x:c>
      <x:c r="H23" s="77" t="n">
        <x:v>98.8856631802543</x:v>
      </x:c>
      <x:c r="I23" s="77" t="n">
        <x:v>341.8323118819894</x:v>
      </x:c>
      <x:c r="J23" s="61" t="str">
        <x:f>IF(AND(E23&gt;=$P$4,E23&lt;=$P$5),"PASS","FAIL")</x:f>
        <x:v>PASS</x:v>
      </x:c>
      <x:c r="K23" s="61" t="str">
        <x:f>IF(G23&lt;=$P$6,"PASS","FAIL")</x:f>
        <x:v>PASS</x:v>
      </x:c>
      <x:c r="L23" s="61" t="str">
        <x:f>IF(F23&lt;=$P$7,"PASS","FAIL")</x:f>
        <x:v>PASS</x:v>
      </x:c>
      <x:c r="M23" s="61" t="str">
        <x:f>IF(AND(H23&gt;=$P$8,I23&lt;=$P$9),"PASS","FAIL")</x:f>
        <x:v>PASS</x:v>
      </x:c>
      <x:c r="N23" s="61" t="str">
        <x:f>IF(AND(J23="PASS",K23="PASS",L23="PASS",M23="PASS"),"PASS","FAIL")</x:f>
        <x:v>PASS</x:v>
      </x:c>
      <x:c r="O23" s="61"/>
      <x:c r="P23" s="61"/>
      <x:c r="Q23" s="61"/>
    </x:row>
    <x:row r="24">
      <x:c r="A24" s="61"/>
      <x:c r="B24" s="61"/>
      <x:c r="C24" s="61"/>
      <x:c r="D24" s="61"/>
      <x:c r="E24" s="61"/>
      <x:c r="F24" s="61"/>
      <x:c r="G24" s="61"/>
      <x:c r="H24" s="61"/>
      <x:c r="I24" s="61"/>
      <x:c r="J24" s="61"/>
      <x:c r="K24" s="61"/>
      <x:c r="L24" s="61"/>
      <x:c r="M24" s="61"/>
      <x:c r="N24" s="61"/>
      <x:c r="O24" s="61"/>
      <x:c r="P24" s="61"/>
      <x:c r="Q24" s="61"/>
    </x:row>
    <x:row r="25">
      <x:c r="A25" s="61"/>
      <x:c r="B25" s="61"/>
      <x:c r="C25" s="61"/>
      <x:c r="D25" s="61"/>
      <x:c r="E25" s="61"/>
      <x:c r="F25" s="61"/>
      <x:c r="G25" s="61"/>
      <x:c r="H25" s="61"/>
      <x:c r="I25" s="61"/>
      <x:c r="J25" s="61"/>
      <x:c r="K25" s="61"/>
      <x:c r="L25" s="61"/>
      <x:c r="M25" s="61"/>
      <x:c r="N25" s="61"/>
      <x:c r="O25" s="61"/>
      <x:c r="P25" s="61"/>
      <x:c r="Q25" s="61"/>
    </x:row>
    <x:row r="26">
      <x:c r="A26" s="61"/>
      <x:c r="B26" s="61"/>
      <x:c r="C26" s="61"/>
      <x:c r="D26" s="61"/>
      <x:c r="E26" s="61"/>
      <x:c r="F26" s="61"/>
      <x:c r="G26" s="61"/>
      <x:c r="H26" s="61"/>
      <x:c r="I26" s="61"/>
      <x:c r="J26" s="61"/>
      <x:c r="K26" s="61"/>
      <x:c r="L26" s="61"/>
      <x:c r="M26" s="61"/>
      <x:c r="N26" s="61"/>
      <x:c r="O26" s="61"/>
      <x:c r="P26" s="61"/>
      <x:c r="Q26" s="61"/>
    </x:row>
    <x:row r="27">
      <x:c r="A27" s="61"/>
      <x:c r="B27" s="61"/>
      <x:c r="C27" s="61"/>
      <x:c r="D27" s="61"/>
      <x:c r="E27" s="61"/>
      <x:c r="F27" s="61"/>
      <x:c r="G27" s="61"/>
      <x:c r="H27" s="61"/>
      <x:c r="I27" s="61"/>
      <x:c r="J27" s="61"/>
      <x:c r="K27" s="61"/>
      <x:c r="L27" s="61"/>
      <x:c r="M27" s="61"/>
      <x:c r="N27" s="61"/>
      <x:c r="O27" s="61"/>
      <x:c r="P27" s="61"/>
      <x:c r="Q27" s="61"/>
    </x:row>
    <x:row r="28">
      <x:c r="A28" s="61"/>
      <x:c r="B28" s="61"/>
      <x:c r="C28" s="61"/>
      <x:c r="D28" s="61"/>
      <x:c r="E28" s="61"/>
      <x:c r="F28" s="61"/>
      <x:c r="G28" s="61"/>
      <x:c r="H28" s="61"/>
      <x:c r="I28" s="61"/>
      <x:c r="J28" s="61"/>
      <x:c r="K28" s="61"/>
      <x:c r="L28" s="61"/>
      <x:c r="M28" s="61"/>
      <x:c r="N28" s="61"/>
      <x:c r="O28" s="61"/>
      <x:c r="P28" s="61"/>
      <x:c r="Q28" s="61"/>
    </x:row>
    <x:row r="29">
      <x:c r="A29" s="61"/>
      <x:c r="B29" s="61"/>
      <x:c r="C29" s="61"/>
      <x:c r="D29" s="61"/>
      <x:c r="E29" s="61"/>
      <x:c r="F29" s="61"/>
      <x:c r="G29" s="61"/>
      <x:c r="H29" s="61"/>
      <x:c r="I29" s="61"/>
      <x:c r="J29" s="61"/>
      <x:c r="K29" s="61"/>
      <x:c r="L29" s="61"/>
      <x:c r="M29" s="61"/>
      <x:c r="N29" s="61"/>
      <x:c r="O29" s="61"/>
      <x:c r="P29" s="61"/>
      <x:c r="Q29" s="61"/>
    </x:row>
    <x:row r="30">
      <x:c r="A30" s="61"/>
      <x:c r="B30" s="61"/>
      <x:c r="C30" s="61"/>
      <x:c r="D30" s="61"/>
      <x:c r="E30" s="61"/>
      <x:c r="F30" s="61"/>
      <x:c r="G30" s="61"/>
      <x:c r="H30" s="61"/>
      <x:c r="I30" s="61"/>
      <x:c r="J30" s="61"/>
      <x:c r="K30" s="61"/>
      <x:c r="L30" s="61"/>
      <x:c r="M30" s="61"/>
      <x:c r="N30" s="61"/>
      <x:c r="O30" s="61"/>
      <x:c r="P30" s="61"/>
      <x:c r="Q30" s="61"/>
    </x:row>
    <x:row r="31" ht="52" customHeight="1">
      <x:c r="A31" s="76" t="str">
        <x:v>Final Engineering Conclusion
At 52.65/4.290, Qp≈6.897&lt;6.90 and permeate NaCl≈342.357&gt;342.10 mg/L, so both constraints fail. Increasing flow by only 0.005 kg/s to 4.295 gives Qp≈6.9013 and NaCl≈342.0945 mg/L, with Recovery≈45.64% and Flux≈17.247, so every constraint passes. The minimum correction is therefore 52.65 bar + 4.295 kg/s; 4.30 is feasible but unnecessarily large.</x:v>
      </x:c>
      <x:c r="B31" s="76"/>
      <x:c r="C31" s="76"/>
      <x:c r="D31" s="76"/>
      <x:c r="E31" s="76"/>
      <x:c r="F31" s="76"/>
      <x:c r="G31" s="76"/>
      <x:c r="H31" s="76"/>
      <x:c r="I31" s="76"/>
      <x:c r="J31" s="76"/>
      <x:c r="K31" s="76"/>
      <x:c r="L31" s="76"/>
      <x:c r="M31" s="76"/>
      <x:c r="N31" s="76"/>
      <x:c r="O31" s="61"/>
      <x:c r="P31" s="61"/>
      <x:c r="Q31" s="61"/>
    </x:row>
    <x:row r="32" ht="52" customHeight="1">
      <x:c r="A32" s="76"/>
      <x:c r="B32" s="76"/>
      <x:c r="C32" s="76"/>
      <x:c r="D32" s="76"/>
      <x:c r="E32" s="76"/>
      <x:c r="F32" s="76"/>
      <x:c r="G32" s="76"/>
      <x:c r="H32" s="76"/>
      <x:c r="I32" s="76"/>
      <x:c r="J32" s="76"/>
      <x:c r="K32" s="76"/>
      <x:c r="L32" s="76"/>
      <x:c r="M32" s="76"/>
      <x:c r="N32" s="76"/>
      <x:c r="O32" s="61"/>
      <x:c r="P32" s="61"/>
      <x:c r="Q32" s="61"/>
    </x:row>
    <x:row r="33" ht="52" customHeight="1">
      <x:c r="A33" s="76"/>
      <x:c r="B33" s="76"/>
      <x:c r="C33" s="76"/>
      <x:c r="D33" s="76"/>
      <x:c r="E33" s="76"/>
      <x:c r="F33" s="76"/>
      <x:c r="G33" s="76"/>
      <x:c r="H33" s="76"/>
      <x:c r="I33" s="76"/>
      <x:c r="J33" s="76"/>
      <x:c r="K33" s="76"/>
      <x:c r="L33" s="76"/>
      <x:c r="M33" s="76"/>
      <x:c r="N33" s="76"/>
      <x:c r="O33" s="61"/>
      <x:c r="P33" s="61"/>
      <x:c r="Q33" s="61"/>
    </x:row>
    <x:row r="34" ht="52" customHeight="1">
      <x:c r="A34" s="76"/>
      <x:c r="B34" s="76"/>
      <x:c r="C34" s="76"/>
      <x:c r="D34" s="76"/>
      <x:c r="E34" s="76"/>
      <x:c r="F34" s="76"/>
      <x:c r="G34" s="76"/>
      <x:c r="H34" s="76"/>
      <x:c r="I34" s="76"/>
      <x:c r="J34" s="76"/>
      <x:c r="K34" s="76"/>
      <x:c r="L34" s="76"/>
      <x:c r="M34" s="76"/>
      <x:c r="N34" s="76"/>
      <x:c r="O34" s="61"/>
      <x:c r="P34" s="61"/>
      <x:c r="Q34" s="61"/>
    </x:row>
  </x:sheetData>
  <x:mergeCells>
    <x:mergeCell ref="A1:Q1"/>
    <x:mergeCell ref="A4:N5"/>
    <x:mergeCell ref="A8:F8"/>
    <x:mergeCell ref="A19:N19"/>
    <x:mergeCell ref="A31:N34"/>
  </x:mergeCells>
  <x:conditionalFormatting sqref="J21:J23">
    <x:cfRule type="expression" dxfId="0" priority="1">
      <x:formula>J21="PASS"</x:formula>
    </x:cfRule>
    <x:cfRule type="expression" dxfId="1" priority="2">
      <x:formula>J21="FAIL"</x:formula>
    </x:cfRule>
  </x:conditionalFormatting>
  <x:conditionalFormatting sqref="K21:K23">
    <x:cfRule type="expression" dxfId="2" priority="3">
      <x:formula>K21="PASS"</x:formula>
    </x:cfRule>
    <x:cfRule type="expression" dxfId="3" priority="4">
      <x:formula>K21="FAIL"</x:formula>
    </x:cfRule>
  </x:conditionalFormatting>
  <x:conditionalFormatting sqref="L21:L23">
    <x:cfRule type="expression" dxfId="4" priority="5">
      <x:formula>L21="PASS"</x:formula>
    </x:cfRule>
    <x:cfRule type="expression" dxfId="5" priority="6">
      <x:formula>L21="FAIL"</x:formula>
    </x:cfRule>
  </x:conditionalFormatting>
  <x:conditionalFormatting sqref="M21:M23">
    <x:cfRule type="expression" dxfId="6" priority="7">
      <x:formula>M21="PASS"</x:formula>
    </x:cfRule>
    <x:cfRule type="expression" dxfId="7" priority="8">
      <x:formula>M21="FAIL"</x:formula>
    </x:cfRule>
  </x:conditionalFormatting>
  <x:conditionalFormatting sqref="N21:N23">
    <x:cfRule type="expression" dxfId="8" priority="9">
      <x:formula>N21="PASS"</x:formula>
    </x:cfRule>
    <x:cfRule type="expression" dxfId="9" priority="10">
      <x:formula>N21="FAIL"</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25" hidden="0" customWidth="1"/>
    <x:col min="2" max="2" width="27" hidden="0" customWidth="1"/>
    <x:col min="3" max="3" width="48" hidden="0" customWidth="1"/>
    <x:col min="4" max="4" width="34" hidden="0" customWidth="1"/>
    <x:col min="5" max="5" width="36" hidden="0" customWidth="1"/>
    <x:col min="6" max="6" width="10" hidden="0" customWidth="1"/>
    <x:col min="7" max="7" width="10" hidden="0" customWidth="1"/>
  </x:cols>
  <x:sheetData>
    <x:row r="1">
      <x:c r="A1" s="4" t="str">
        <x:v>D2-2b: Trajectory Quality Rubric (100 points)</x:v>
      </x:c>
      <x:c r="B1" s="4"/>
      <x:c r="C1" s="4"/>
      <x:c r="D1" s="4"/>
      <x:c r="E1" s="4"/>
      <x:c r="F1" s="4"/>
      <x:c r="G1" s="4"/>
    </x:row>
    <x:row r="2">
      <x:c r="A2" s="61"/>
      <x:c r="B2" s="61"/>
      <x:c r="C2" s="61"/>
      <x:c r="D2" s="61"/>
      <x:c r="E2" s="61"/>
      <x:c r="F2" s="61"/>
      <x:c r="G2" s="61"/>
    </x:row>
    <x:row r="3">
      <x:c r="A3" s="61"/>
      <x:c r="B3" s="61"/>
      <x:c r="C3" s="61"/>
      <x:c r="D3" s="61"/>
      <x:c r="E3" s="61"/>
      <x:c r="F3" s="61"/>
      <x:c r="G3" s="61"/>
    </x:row>
    <x:row r="4">
      <x:c r="A4" s="82" t="str">
        <x:v>Evaluate the complete state → plan → tool call → observation → update → next action → stopping/decision trajectory. Alternative tool orders may earn full credit only if they respect the item-specific objective, control degrees of freedom, and stopping rule.</x:v>
      </x:c>
      <x:c r="B4" s="82"/>
      <x:c r="C4" s="82"/>
      <x:c r="D4" s="82"/>
      <x:c r="E4" s="82"/>
      <x:c r="F4" s="82"/>
      <x:c r="G4" s="82"/>
    </x:row>
    <x:row r="5">
      <x:c r="A5" s="82"/>
      <x:c r="B5" s="82"/>
      <x:c r="C5" s="82"/>
      <x:c r="D5" s="82"/>
      <x:c r="E5" s="82"/>
      <x:c r="F5" s="82"/>
      <x:c r="G5" s="82"/>
    </x:row>
    <x:row r="6">
      <x:c r="A6" s="61"/>
      <x:c r="B6" s="61"/>
      <x:c r="C6" s="61"/>
      <x:c r="D6" s="61"/>
      <x:c r="E6" s="61"/>
      <x:c r="F6" s="61"/>
      <x:c r="G6" s="61"/>
    </x:row>
    <x:row r="7">
      <x:c r="A7" s="61"/>
      <x:c r="B7" s="61"/>
      <x:c r="C7" s="61"/>
      <x:c r="D7" s="61"/>
      <x:c r="E7" s="61"/>
      <x:c r="F7" s="61"/>
      <x:c r="G7" s="61"/>
    </x:row>
    <x:row r="8">
      <x:c r="A8" s="88" t="str">
        <x:v>Trajectory dimension</x:v>
      </x:c>
      <x:c r="B8" s="88" t="str">
        <x:v>Evaluation focus</x:v>
      </x:c>
      <x:c r="C8" s="88" t="str">
        <x:v>Full-credit evidence</x:v>
      </x:c>
      <x:c r="D8" s="88" t="str">
        <x:v>Partial credit</x:v>
      </x:c>
      <x:c r="E8" s="88" t="str">
        <x:v>Critical failure mode</x:v>
      </x:c>
      <x:c r="F8" s="88" t="str">
        <x:v>Weight</x:v>
      </x:c>
      <x:c r="G8" s="88" t="str">
        <x:v>Score</x:v>
      </x:c>
    </x:row>
    <x:row r="9">
      <x:c r="A9" s="65" t="str">
        <x:v>TQ1 Problem framing</x:v>
      </x:c>
      <x:c r="B9" s="65" t="str">
        <x:v>Recognize D2-2b and the item-specific objective</x:v>
      </x:c>
      <x:c r="C9" s="65" t="str">
        <x:v>Read near-boundary production and quality constraints precisely; keep feed, membrane, and area fixed</x:v>
      </x:c>
      <x:c r="D9" s="65" t="str">
        <x:v>Understands setpoint correction but misses part of the special objective</x:v>
      </x:c>
      <x:c r="E9" s="65" t="str">
        <x:v>Changes feed/membrane or turns the task into design</x:v>
      </x:c>
      <x:c r="F9" s="65" t="n">
        <x:v>15</x:v>
      </x:c>
      <x:c r="G9" s="83"/>
    </x:row>
    <x:row r="10">
      <x:c r="A10" s="65" t="str">
        <x:v>TQ2 Plan quality</x:v>
      </x:c>
      <x:c r="B10" s="65" t="str">
        <x:v>Decompose in an information-efficient order</x:v>
      </x:c>
      <x:c r="C10" s="65" t="str">
        <x:v>Use evidence-driven branching/boundary logic rather than enumeration</x:v>
      </x:c>
      <x:c r="D10" s="65" t="str">
        <x:v>Mostly reasonable but skips a key stage</x:v>
      </x:c>
      <x:c r="E10" s="65" t="str">
        <x:v>Brute-force grid or ignores stated priority</x:v>
      </x:c>
      <x:c r="F10" s="65" t="n">
        <x:v>15</x:v>
      </x:c>
      <x:c r="G10" s="83"/>
    </x:row>
    <x:row r="11">
      <x:c r="A11" s="65" t="str">
        <x:v>TQ3 Tool-call correctness</x:v>
      </x:c>
      <x:c r="B11" s="65" t="str">
        <x:v>Change only allowed variables in simulate_ro</x:v>
      </x:c>
      <x:c r="C11" s="65" t="str">
        <x:v>All comparisons keep identical feed/membrane parameters; Pressure/Flow match the item</x:v>
      </x:c>
      <x:c r="D11" s="65" t="str">
        <x:v>Minor input/unit issue</x:v>
      </x:c>
      <x:c r="E11" s="65" t="str">
        <x:v>Changes salinity, temperature, area, A, or B</x:v>
      </x:c>
      <x:c r="F11" s="65" t="n">
        <x:v>20</x:v>
      </x:c>
      <x:c r="G11" s="83"/>
    </x:row>
    <x:row r="12">
      <x:c r="A12" s="65" t="str">
        <x:v>TQ4 Observation interpretation</x:v>
      </x:c>
      <x:c r="B12" s="65" t="str">
        <x:v>Read active constraints and FAIL/PASS precisely</x:v>
      </x:c>
      <x:c r="C12" s="65" t="str">
        <x:v>At 52.65/4.290, Qp≈6.897&lt;6.90 and permeate NaCl≈342.357&gt;342.10 mg/L, so both constraints fail. Increasing flow by only 0.005 kg/s </x:v>
      </x:c>
      <x:c r="D12" s="65" t="str">
        <x:v>Mostly correct but misses one boundary or failure mechanism</x:v>
      </x:c>
      <x:c r="E12" s="65" t="str">
        <x:v>Rounds near-fail to PASS or treats one passing metric as overall success</x:v>
      </x:c>
      <x:c r="F12" s="65" t="n">
        <x:v>20</x:v>
      </x:c>
      <x:c r="G12" s="83"/>
    </x:row>
    <x:row r="13">
      <x:c r="A13" s="65" t="str">
        <x:v>TQ5 Adaptation and pruning</x:v>
      </x:c>
      <x:c r="B13" s="65" t="str">
        <x:v>Let each result determine the next action</x:v>
      </x:c>
      <x:c r="C13" s="65" t="str">
        <x:v>Read near-boundary production and quality constraints precisely; stop once evidence is sufficient</x:v>
      </x:c>
      <x:c r="D13" s="65" t="str">
        <x:v>Some redundancy</x:v>
      </x:c>
      <x:c r="E13" s="65" t="str">
        <x:v>Continues disproved branches or performs unstructured enumeration</x:v>
      </x:c>
      <x:c r="F13" s="65" t="n">
        <x:v>20</x:v>
      </x:c>
      <x:c r="G13" s="83"/>
    </x:row>
    <x:row r="14">
      <x:c r="A14" s="65" t="str">
        <x:v>TQ6 Final decision</x:v>
      </x:c>
      <x:c r="B14" s="65" t="str">
        <x:v>Deliver the conclusion required by this objective</x:v>
      </x:c>
      <x:c r="C14" s="65" t="str">
        <x:v>64% and Flux≈17.247, so every constraint passes. The minimum correction is therefore 52.65 bar + 4.295 kg/s; 4.30 is feasible but unnecessarily large.</x:v>
      </x:c>
      <x:c r="D14" s="65" t="str">
        <x:v>Correct endpoint/conclusion with weak rationale</x:v>
      </x:c>
      <x:c r="E14" s="65" t="str">
        <x:v>Blindly applies the original 'minimum Pressure' objective</x:v>
      </x:c>
      <x:c r="F14" s="65" t="n">
        <x:v>10</x:v>
      </x:c>
      <x:c r="G14" s="83"/>
    </x:row>
    <x:row r="15">
      <x:c r="A15" s="61"/>
      <x:c r="B15" s="61"/>
      <x:c r="C15" s="61"/>
      <x:c r="D15" s="61"/>
      <x:c r="E15" s="61"/>
      <x:c r="F15" s="61"/>
      <x:c r="G15" s="61"/>
    </x:row>
    <x:row r="16">
      <x:c r="A16" s="61"/>
      <x:c r="B16" s="61"/>
      <x:c r="C16" s="61"/>
      <x:c r="D16" s="61"/>
      <x:c r="E16" s="84" t="str">
        <x:v>Trajectory Quality Total</x:v>
      </x:c>
      <x:c r="F16" s="84" t="n">
        <x:v>100</x:v>
      </x:c>
      <x:c r="G16" s="84" t="n">
        <x:f>SUM(G9:G14)</x:f>
        <x:v>0</x:v>
      </x:c>
    </x:row>
  </x:sheetData>
  <x:mergeCells>
    <x:mergeCell ref="A1:G1"/>
    <x:mergeCell ref="A4:G5"/>
  </x:mergeCells>
  <x:pageMargins left="0.7" right="0.7" top="0.75" bottom="0.75" header="0.3" footer="0.3"/>
</x:worksheet>
</file>

<file path=xl/worksheets/sheet4.xml><?xml version="1.0" encoding="utf-8"?>
<x:worksheet xmlns:x="http://schemas.openxmlformats.org/spreadsheetml/2006/main">
  <x:sheetFormatPr defaultRowHeight="15"/>
  <x:cols>
    <x:col min="1" max="1" width="24" hidden="0" customWidth="1"/>
    <x:col min="2" max="2" width="28" hidden="0" customWidth="1"/>
    <x:col min="3" max="3" width="35" hidden="0" customWidth="1"/>
    <x:col min="4" max="4" width="35" hidden="0" customWidth="1"/>
    <x:col min="5" max="5" width="35" hidden="0" customWidth="1"/>
    <x:col min="6" max="6" width="48" hidden="0" customWidth="1"/>
    <x:col min="7" max="7" width="10" hidden="0" customWidth="1"/>
  </x:cols>
  <x:sheetData>
    <x:row r="1">
      <x:c r="A1" s="4" t="str">
        <x:v>D2-2b: Tool Usage Efficiency (100 points)</x:v>
      </x:c>
      <x:c r="B1" s="4"/>
      <x:c r="C1" s="4"/>
      <x:c r="D1" s="4"/>
      <x:c r="E1" s="4"/>
      <x:c r="F1" s="4"/>
      <x:c r="G1" s="4"/>
    </x:row>
    <x:row r="2">
      <x:c r="A2" s="61"/>
      <x:c r="B2" s="61"/>
      <x:c r="C2" s="61"/>
      <x:c r="D2" s="61"/>
      <x:c r="E2" s="61"/>
      <x:c r="F2" s="61"/>
      <x:c r="G2" s="61"/>
    </x:row>
    <x:row r="3">
      <x:c r="A3" s="61"/>
      <x:c r="B3" s="61"/>
      <x:c r="C3" s="61"/>
      <x:c r="D3" s="61"/>
      <x:c r="E3" s="61"/>
      <x:c r="F3" s="61"/>
      <x:c r="G3" s="61"/>
    </x:row>
    <x:row r="4">
      <x:c r="A4" s="82" t="str">
        <x:v>Tool efficiency is scored separately (100 points). The primary scientific tool is simulate_ro. Item focus: 2 core calls plus one optional over-adjustment comparison; precision at the water-quality threshold is critical. Call count is secondary to information gain, adaptation, pruning, and evidence-based stopping.</x:v>
      </x:c>
      <x:c r="B4" s="82"/>
      <x:c r="C4" s="82"/>
      <x:c r="D4" s="82"/>
      <x:c r="E4" s="82"/>
      <x:c r="F4" s="82"/>
      <x:c r="G4" s="82"/>
    </x:row>
    <x:row r="5">
      <x:c r="A5" s="82"/>
      <x:c r="B5" s="82"/>
      <x:c r="C5" s="82"/>
      <x:c r="D5" s="82"/>
      <x:c r="E5" s="82"/>
      <x:c r="F5" s="82"/>
      <x:c r="G5" s="82"/>
    </x:row>
    <x:row r="6">
      <x:c r="A6" s="61"/>
      <x:c r="B6" s="61"/>
      <x:c r="C6" s="61"/>
      <x:c r="D6" s="61"/>
      <x:c r="E6" s="61"/>
      <x:c r="F6" s="61"/>
      <x:c r="G6" s="61"/>
    </x:row>
    <x:row r="7">
      <x:c r="A7" s="61"/>
      <x:c r="B7" s="61"/>
      <x:c r="C7" s="61"/>
      <x:c r="D7" s="61"/>
      <x:c r="E7" s="61"/>
      <x:c r="F7" s="61"/>
      <x:c r="G7" s="61"/>
    </x:row>
    <x:row r="8">
      <x:c r="A8" s="88" t="str">
        <x:v>Efficiency dimension</x:v>
      </x:c>
      <x:c r="B8" s="88" t="str">
        <x:v>Evaluation focus</x:v>
      </x:c>
      <x:c r="C8" s="88" t="str">
        <x:v>High performance</x:v>
      </x:c>
      <x:c r="D8" s="88" t="str">
        <x:v>Medium performance</x:v>
      </x:c>
      <x:c r="E8" s="88" t="str">
        <x:v>Low performance</x:v>
      </x:c>
      <x:c r="F8" s="88" t="str">
        <x:v>Item-specific observation</x:v>
      </x:c>
      <x:c r="G8" s="88" t="str">
        <x:v>Points</x:v>
      </x:c>
    </x:row>
    <x:row r="9">
      <x:c r="A9" s="65" t="str">
        <x:v>E1 Tool selection</x:v>
      </x:c>
      <x:c r="B9" s="65" t="str">
        <x:v>Use only tools relevant to operating setpoints</x:v>
      </x:c>
      <x:c r="C9" s="65" t="str">
        <x:v>Primarily simulate_ro; no unrelated plant/chemistry calls</x:v>
      </x:c>
      <x:c r="D9" s="65" t="str">
        <x:v>Minor irrelevant calls</x:v>
      </x:c>
      <x:c r="E9" s="65" t="str">
        <x:v>Wrong tool or excessive metadata</x:v>
      </x:c>
      <x:c r="F9" s="65" t="str">
        <x:v>2 core calls plus one optional over-adjustment comparison; precision at the water-quality threshold is critical.</x:v>
      </x:c>
      <x:c r="G9" s="65" t="n">
        <x:v>20</x:v>
      </x:c>
    </x:row>
    <x:row r="10">
      <x:c r="A10" s="65" t="str">
        <x:v>E2 Information gain</x:v>
      </x:c>
      <x:c r="B10" s="65" t="str">
        <x:v>Test the most discriminating points first</x:v>
      </x:c>
      <x:c r="C10" s="65" t="str">
        <x:v>Key branch/boundary/upper-corner tests first</x:v>
      </x:c>
      <x:c r="D10" s="65" t="str">
        <x:v>Mostly reasonable order</x:v>
      </x:c>
      <x:c r="E10" s="65" t="str">
        <x:v>Dense full-grid search first</x:v>
      </x:c>
      <x:c r="F10" s="65" t="str">
        <x:v>2 core calls plus one optional over-adjustment comparison; precision at the water-quality threshold is critical.</x:v>
      </x:c>
      <x:c r="G10" s="65" t="n">
        <x:v>20</x:v>
      </x:c>
    </x:row>
    <x:row r="11">
      <x:c r="A11" s="65" t="str">
        <x:v>E3 Adaptation</x:v>
      </x:c>
      <x:c r="B11" s="65" t="str">
        <x:v>Let each result trigger the next call</x:v>
      </x:c>
      <x:c r="C11" s="65" t="str">
        <x:v>FAIL/PASS directly determines the next action</x:v>
      </x:c>
      <x:c r="D11" s="65" t="str">
        <x:v>Partly adaptive</x:v>
      </x:c>
      <x:c r="E11" s="65" t="str">
        <x:v>Preset enumeration ignores results</x:v>
      </x:c>
      <x:c r="F11" s="65" t="str">
        <x:v>2 core calls plus one optional over-adjustment comparison; precision at the water-quality threshold is critical.</x:v>
      </x:c>
      <x:c r="G11" s="65" t="n">
        <x:v>20</x:v>
      </x:c>
    </x:row>
    <x:row r="12">
      <x:c r="A12" s="65" t="str">
        <x:v>E4 Pruning</x:v>
      </x:c>
      <x:c r="B12" s="65" t="str">
        <x:v>Stop invalid branches once proven</x:v>
      </x:c>
      <x:c r="C12" s="65" t="str">
        <x:v>Prompt stopping; no equivalent repeats</x:v>
      </x:c>
      <x:c r="D12" s="65" t="str">
        <x:v>Some repetition</x:v>
      </x:c>
      <x:c r="E12" s="65" t="str">
        <x:v>Keeps testing disproved options</x:v>
      </x:c>
      <x:c r="F12" s="65" t="str">
        <x:v>2 core calls plus one optional over-adjustment comparison; precision at the water-quality threshold is critical.</x:v>
      </x:c>
      <x:c r="G12" s="65" t="n">
        <x:v>20</x:v>
      </x:c>
    </x:row>
    <x:row r="13">
      <x:c r="A13" s="65" t="str">
        <x:v>E5 Convergence</x:v>
      </x:c>
      <x:c r="B13" s="65" t="str">
        <x:v>Use minimal but sufficient evidence</x:v>
      </x:c>
      <x:c r="C13" s="65" t="str">
        <x:v>Call budget matches the item structure</x:v>
      </x:c>
      <x:c r="D13" s="65" t="str">
        <x:v>2–3 extra calls but still reasonable</x:v>
      </x:c>
      <x:c r="E13" s="65" t="str">
        <x:v>Too many calls or missing critical evidence</x:v>
      </x:c>
      <x:c r="F13" s="65" t="str">
        <x:v>2 core calls plus one optional over-adjustment comparison; precision at the water-quality threshold is critical.</x:v>
      </x:c>
      <x:c r="G13" s="65" t="n">
        <x:v>20</x:v>
      </x:c>
    </x:row>
    <x:row r="14">
      <x:c r="A14" s="61"/>
      <x:c r="B14" s="61"/>
      <x:c r="C14" s="61"/>
      <x:c r="D14" s="61"/>
      <x:c r="E14" s="61"/>
      <x:c r="F14" s="61"/>
      <x:c r="G14" s="61"/>
    </x:row>
    <x:row r="15">
      <x:c r="A15" s="61"/>
      <x:c r="B15" s="61"/>
      <x:c r="C15" s="61"/>
      <x:c r="D15" s="61"/>
      <x:c r="E15" s="61"/>
      <x:c r="F15" s="84" t="str">
        <x:v>Tool Efficiency Total</x:v>
      </x:c>
      <x:c r="G15" s="84" t="n">
        <x:v>100</x:v>
      </x:c>
    </x:row>
  </x:sheetData>
  <x:mergeCells>
    <x:mergeCell ref="A1:G1"/>
    <x:mergeCell ref="A4:G5"/>
  </x:mergeCells>
  <x:pageMargins left="0.7" right="0.7" top="0.75" bottom="0.75" header="0.3" footer="0.3"/>
</x:worksheet>
</file>