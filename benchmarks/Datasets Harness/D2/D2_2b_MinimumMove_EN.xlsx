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c3cce0dd92c24ff5" /></Relationships>
</file>

<file path=xl/workbook.xml><?xml version="1.0" encoding="utf-8"?>
<x:workbook xmlns:x="http://schemas.openxmlformats.org/spreadsheetml/2006/main">
  <x:sheets>
    <x:sheet xmlns:r="http://schemas.openxmlformats.org/officeDocument/2006/relationships" name="Question" sheetId="1" r:id="R63688db031e044bf"/>
    <x:sheet xmlns:r="http://schemas.openxmlformats.org/officeDocument/2006/relationships" name="Gold_Answer" sheetId="2" r:id="Re75b6d9a33d0455b"/>
    <x:sheet xmlns:r="http://schemas.openxmlformats.org/officeDocument/2006/relationships" name="Trajectory_Rubric" sheetId="3" r:id="R8879928e2a8744f9"/>
    <x:sheet xmlns:r="http://schemas.openxmlformats.org/officeDocument/2006/relationships" name="Tool_Efficiency" sheetId="4" r:id="Rf40a6422701340e5"/>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000"/>
  </x:numFmts>
  <x:fonts count="13">
    <x:font>
      <x:sz val="11"/>
      <x:name val="Carlito"/>
    </x:font>
    <x:font>
      <x:b/>
      <x:sz val="15"/>
      <x:color rgb="FFFFFFFF"/>
      <x:name val="Arial"/>
    </x:font>
    <x:font>
      <x:b/>
      <x:sz val="10"/>
      <x:color rgb="FF17365D"/>
      <x:name val="Arial"/>
    </x:font>
    <x:font>
      <x:b/>
      <x:sz val="11"/>
      <x:color rgb="FF17365D"/>
      <x:name val="Arial"/>
    </x:font>
    <x:font>
      <x:b/>
      <x:sz val="11"/>
      <x:color rgb="FFFFFFFF"/>
      <x:name val="Arial"/>
    </x:font>
    <x:font>
      <x:sz val="10"/>
      <x:name val="Arial"/>
    </x:font>
    <x:font>
      <x:i/>
      <x:sz val="11"/>
      <x:color rgb="FF7F6000"/>
      <x:name val="Arial"/>
    </x:font>
    <x:font>
      <x:b/>
      <x:sz val="11"/>
      <x:color rgb="FF385723"/>
      <x:name val="Arial"/>
    </x:font>
    <x:font>
      <x:sz val="11"/>
      <x:color rgb="FF17365D"/>
      <x:name val="Arial"/>
    </x:font>
    <x:font>
      <x:b/>
      <x:sz val="10"/>
      <x:color rgb="FF1F1F1F"/>
      <x:name val="Arial"/>
    </x:font>
    <x:font>
      <x:sz val="10"/>
      <x:color rgb="FF1F1F1F"/>
      <x:name val="Arial"/>
    </x:font>
    <x:font>
      <x:i/>
      <x:sz val="10"/>
      <x:color rgb="FF1F1F1F"/>
      <x:name val="Arial"/>
    </x:font>
    <x:font>
      <x:b/>
      <x:sz val="10"/>
      <x:color rgb="FFFFFFFF"/>
      <x:name val="Arial"/>
    </x:font>
  </x:fonts>
  <x:fills count="7">
    <x:fill>
      <x:patternFill patternType="none"/>
    </x:fill>
    <x:fill>
      <x:patternFill patternType="gray125"/>
    </x:fill>
    <x:fill>
      <x:patternFill patternType="solid">
        <x:fgColor rgb="FF1F4E78"/>
      </x:patternFill>
    </x:fill>
    <x:fill>
      <x:patternFill patternType="solid">
        <x:fgColor rgb="FFDDEBF7"/>
      </x:patternFill>
    </x:fill>
    <x:fill>
      <x:patternFill patternType="solid">
        <x:fgColor rgb="FF2F75B5"/>
      </x:patternFill>
    </x:fill>
    <x:fill>
      <x:patternFill patternType="solid">
        <x:fgColor rgb="FFFFF2CC"/>
      </x:patternFill>
    </x:fill>
    <x:fill>
      <x:patternFill patternType="solid">
        <x:fgColor rgb="FFE2F0D9"/>
      </x:patternFill>
    </x:fill>
  </x:fills>
  <x:borders count="2">
    <x:border/>
    <x:border/>
  </x:borders>
  <x:cellStyleXfs count="1">
    <x:xf numFmtId="0" fontId="0" fillId="0" borderId="0"/>
  </x:cellStyleXfs>
  <x:cellXfs count="92">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1" fillId="2" borderId="0" xfId="0" applyNumberFormat="1" applyFont="1" applyFill="1" applyBorder="1" applyAlignment="1">
      <x:alignment horizontal="center"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center"/>
    </x:xf>
    <x:xf numFmtId="0" fontId="1" fillId="2" borderId="1" xfId="0" applyNumberFormat="1" applyFont="1" applyFill="1" applyBorder="1" applyAlignment="1">
      <x:alignment horizontal="center"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vertical="center" wrapText="1"/>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2" fillId="3" borderId="1" xfId="0" applyNumberFormat="1" applyFont="1" applyFill="1" applyBorder="1" applyAlignment="1">
      <x:alignment vertical="center" wrapText="1"/>
    </x:xf>
    <x:xf numFmtId="0" fontId="3" fillId="3" borderId="0" xfId="0" applyNumberFormat="1" applyFont="1" applyFill="1" applyBorder="1"/>
    <x:xf numFmtId="0" fontId="3" fillId="3" borderId="1" xfId="0" applyNumberFormat="1" applyFont="1" applyFill="1" applyBorder="1"/>
    <x:xf numFmtId="0" fontId="0" fillId="4" borderId="0" xfId="0" applyNumberFormat="1" applyFont="1" applyFill="1" applyBorder="1"/>
    <x:xf numFmtId="0" fontId="4" fillId="4" borderId="0" xfId="0" applyNumberFormat="1" applyFont="1" applyFill="1" applyBorder="1"/>
    <x:xf numFmtId="0" fontId="4" fillId="4" borderId="0" xfId="0" applyNumberFormat="1" applyFont="1" applyFill="1" applyBorder="1" applyAlignment="1">
      <x:alignment wrapText="1"/>
    </x:xf>
    <x:xf numFmtId="0" fontId="4" fillId="4" borderId="0" xfId="0" applyNumberFormat="1" applyFont="1" applyFill="1" applyBorder="1" applyAlignment="1">
      <x:alignment horizontal="center" wrapText="1"/>
    </x:xf>
    <x:xf numFmtId="0" fontId="0" fillId="4" borderId="1" xfId="0" applyNumberFormat="1" applyFont="1" applyFill="1" applyBorder="1"/>
    <x:xf numFmtId="0" fontId="4" fillId="4" borderId="1" xfId="0" applyNumberFormat="1" applyFont="1" applyFill="1" applyBorder="1"/>
    <x:xf numFmtId="0" fontId="4" fillId="4" borderId="1" xfId="0" applyNumberFormat="1" applyFont="1" applyFill="1" applyBorder="1" applyAlignment="1">
      <x:alignment wrapText="1"/>
    </x:xf>
    <x:xf numFmtId="0" fontId="4" fillId="4" borderId="1" xfId="0" applyNumberFormat="1" applyFont="1" applyFill="1" applyBorder="1" applyAlignment="1">
      <x:alignment horizontal="center" wrapText="1"/>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5" fillId="0" borderId="0" xfId="0" applyNumberFormat="1" applyFont="1" applyFill="1" applyBorder="1"/>
    <x:xf numFmtId="0" fontId="5" fillId="0" borderId="0" xfId="0" applyNumberFormat="1" applyFont="1" applyFill="1" applyBorder="1" applyAlignment="1">
      <x:alignment wrapText="1"/>
    </x:xf>
    <x:xf numFmtId="0" fontId="5" fillId="0" borderId="1" xfId="0" applyNumberFormat="1" applyFont="1" applyFill="1" applyBorder="1"/>
    <x:xf numFmtId="0" fontId="5" fillId="0" borderId="1" xfId="0" applyNumberFormat="1" applyFont="1" applyFill="1" applyBorder="1" applyAlignment="1">
      <x:alignment wrapText="1"/>
    </x:xf>
    <x:xf numFmtId="0" fontId="0" fillId="5" borderId="0" xfId="0" applyNumberFormat="1" applyFont="1" applyFill="1" applyBorder="1"/>
    <x:xf numFmtId="0" fontId="6" fillId="5" borderId="0" xfId="0" applyNumberFormat="1" applyFont="1" applyFill="1" applyBorder="1"/>
    <x:xf numFmtId="0" fontId="6" fillId="5" borderId="0" xfId="0" applyNumberFormat="1" applyFont="1" applyFill="1" applyBorder="1" applyAlignment="1">
      <x:alignment wrapText="1"/>
    </x:xf>
    <x:xf numFmtId="0" fontId="6" fillId="5" borderId="0" xfId="0" applyNumberFormat="1" applyFont="1" applyFill="1" applyBorder="1" applyAlignment="1">
      <x:alignment vertical="center" wrapText="1"/>
    </x:xf>
    <x:xf numFmtId="0" fontId="0" fillId="5" borderId="1" xfId="0" applyNumberFormat="1" applyFont="1" applyFill="1" applyBorder="1"/>
    <x:xf numFmtId="0" fontId="6" fillId="5" borderId="1" xfId="0" applyNumberFormat="1" applyFont="1" applyFill="1" applyBorder="1"/>
    <x:xf numFmtId="0" fontId="6" fillId="5" borderId="1" xfId="0" applyNumberFormat="1" applyFont="1" applyFill="1" applyBorder="1" applyAlignment="1">
      <x:alignment wrapText="1"/>
    </x:xf>
    <x:xf numFmtId="0" fontId="6" fillId="5" borderId="1" xfId="0" applyNumberFormat="1" applyFont="1" applyFill="1" applyBorder="1" applyAlignment="1">
      <x:alignment vertical="center" wrapText="1"/>
    </x:xf>
    <x:xf numFmtId="0" fontId="0" fillId="6" borderId="0" xfId="0" applyNumberFormat="1" applyFont="1" applyFill="1" applyBorder="1"/>
    <x:xf numFmtId="0" fontId="7" fillId="6" borderId="0" xfId="0" applyNumberFormat="1" applyFont="1" applyFill="1" applyBorder="1"/>
    <x:xf numFmtId="0" fontId="7" fillId="6" borderId="0" xfId="0" applyNumberFormat="1" applyFont="1" applyFill="1" applyBorder="1" applyAlignment="1">
      <x:alignment wrapText="1"/>
    </x:xf>
    <x:xf numFmtId="0" fontId="7" fillId="6" borderId="0" xfId="0" applyNumberFormat="1" applyFont="1" applyFill="1" applyBorder="1" applyAlignment="1">
      <x:alignment vertical="center" wrapText="1"/>
    </x:xf>
    <x:xf numFmtId="0" fontId="0" fillId="6" borderId="1" xfId="0" applyNumberFormat="1" applyFont="1" applyFill="1" applyBorder="1"/>
    <x:xf numFmtId="0" fontId="7" fillId="6" borderId="1" xfId="0" applyNumberFormat="1" applyFont="1" applyFill="1" applyBorder="1"/>
    <x:xf numFmtId="0" fontId="7" fillId="6" borderId="1" xfId="0" applyNumberFormat="1" applyFont="1" applyFill="1" applyBorder="1" applyAlignment="1">
      <x:alignment wrapText="1"/>
    </x:xf>
    <x:xf numFmtId="0" fontId="7" fillId="6" borderId="1" xfId="0" applyNumberFormat="1" applyFont="1" applyFill="1" applyBorder="1" applyAlignment="1">
      <x:alignment vertical="center" wrapText="1"/>
    </x:xf>
    <x:xf numFmtId="0" fontId="4" fillId="4" borderId="0" xfId="0" applyNumberFormat="1" applyFont="1" applyFill="1" applyBorder="1" applyAlignment="1">
      <x:alignment horizontal="center"/>
    </x:xf>
    <x:xf numFmtId="0" fontId="4" fillId="4" borderId="1" xfId="0" applyNumberFormat="1" applyFont="1" applyFill="1" applyBorder="1" applyAlignment="1">
      <x:alignment horizontal="center"/>
    </x:xf>
    <x:xf numFmtId="200" fontId="0" fillId="0" borderId="0" xfId="0" applyNumberFormat="1" applyFont="1" applyFill="1" applyBorder="1"/>
    <x:xf numFmtId="200" fontId="0" fillId="0" borderId="1" xfId="0" applyNumberFormat="1" applyFont="1" applyFill="1" applyBorder="1"/>
    <x:xf numFmtId="0" fontId="8" fillId="3" borderId="0" xfId="0" applyNumberFormat="1" applyFont="1" applyFill="1" applyBorder="1"/>
    <x:xf numFmtId="0" fontId="8" fillId="3" borderId="0" xfId="0" applyNumberFormat="1" applyFont="1" applyFill="1" applyBorder="1" applyAlignment="1">
      <x:alignment wrapText="1"/>
    </x:xf>
    <x:xf numFmtId="0" fontId="8" fillId="3" borderId="1" xfId="0" applyNumberFormat="1" applyFont="1" applyFill="1" applyBorder="1"/>
    <x:xf numFmtId="0" fontId="8" fillId="3" borderId="1" xfId="0" applyNumberFormat="1" applyFont="1" applyFill="1" applyBorder="1" applyAlignment="1">
      <x:alignment wrapText="1"/>
    </x:xf>
    <x:xf numFmtId="0" fontId="0" fillId="5" borderId="0" xfId="0" applyNumberFormat="1" applyFont="1" applyFill="1" applyBorder="1" applyAlignment="1">
      <x:alignment wrapText="1"/>
    </x:xf>
    <x:xf numFmtId="0" fontId="0" fillId="5" borderId="1" xfId="0" applyNumberFormat="1" applyFont="1" applyFill="1" applyBorder="1" applyAlignment="1">
      <x:alignment wrapText="1"/>
    </x:xf>
    <x:xf numFmtId="0" fontId="9" fillId="2" borderId="0" xfId="0" applyNumberFormat="1" applyFont="1" applyFill="1" applyBorder="1" applyAlignment="1">
      <x:alignment horizontal="center" vertical="center"/>
    </x:xf>
    <x:xf numFmtId="0" fontId="10" fillId="0" borderId="0" xfId="0" applyNumberFormat="1" applyFont="1" applyFill="1" applyBorder="1"/>
    <x:xf numFmtId="0" fontId="9" fillId="3" borderId="0" xfId="0" applyNumberFormat="1" applyFont="1" applyFill="1" applyBorder="1" applyAlignment="1">
      <x:alignment vertical="center" wrapText="1"/>
    </x:xf>
    <x:xf numFmtId="0" fontId="9" fillId="3" borderId="0" xfId="0" applyNumberFormat="1" applyFont="1" applyFill="1" applyBorder="1"/>
    <x:xf numFmtId="0" fontId="9" fillId="4" borderId="0" xfId="0" applyNumberFormat="1" applyFont="1" applyFill="1" applyBorder="1" applyAlignment="1">
      <x:alignment horizontal="center" wrapText="1"/>
    </x:xf>
    <x:xf numFmtId="0" fontId="10" fillId="0" borderId="0" xfId="0" applyNumberFormat="1" applyFont="1" applyFill="1" applyBorder="1" applyAlignment="1">
      <x:alignment wrapText="1"/>
    </x:xf>
    <x:xf numFmtId="0" fontId="11" fillId="5" borderId="0" xfId="0" applyNumberFormat="1" applyFont="1" applyFill="1" applyBorder="1" applyAlignment="1">
      <x:alignment vertical="center" wrapText="1"/>
    </x:xf>
    <x:xf numFmtId="0" fontId="9" fillId="2" borderId="1" xfId="0" applyNumberFormat="1" applyFont="1" applyFill="1" applyBorder="1" applyAlignment="1">
      <x:alignment horizontal="center" vertical="center"/>
    </x:xf>
    <x:xf numFmtId="0" fontId="10" fillId="0" borderId="1" xfId="0" applyNumberFormat="1" applyFont="1" applyFill="1" applyBorder="1"/>
    <x:xf numFmtId="0" fontId="9" fillId="3" borderId="1" xfId="0" applyNumberFormat="1" applyFont="1" applyFill="1" applyBorder="1" applyAlignment="1">
      <x:alignment vertical="center" wrapText="1"/>
    </x:xf>
    <x:xf numFmtId="0" fontId="9" fillId="3" borderId="1" xfId="0" applyNumberFormat="1" applyFont="1" applyFill="1" applyBorder="1"/>
    <x:xf numFmtId="0" fontId="9" fillId="4" borderId="1" xfId="0" applyNumberFormat="1" applyFont="1" applyFill="1" applyBorder="1" applyAlignment="1">
      <x:alignment horizontal="center" wrapText="1"/>
    </x:xf>
    <x:xf numFmtId="0" fontId="10" fillId="0" borderId="1" xfId="0" applyNumberFormat="1" applyFont="1" applyFill="1" applyBorder="1" applyAlignment="1">
      <x:alignment wrapText="1"/>
    </x:xf>
    <x:xf numFmtId="0" fontId="11" fillId="5" borderId="1" xfId="0" applyNumberFormat="1" applyFont="1" applyFill="1" applyBorder="1" applyAlignment="1">
      <x:alignment vertical="center" wrapText="1"/>
    </x:xf>
    <x:xf numFmtId="0" fontId="9" fillId="2" borderId="0" xfId="0" applyNumberFormat="1" applyFont="1" applyFill="1" applyBorder="1" applyAlignment="1">
      <x:alignment horizontal="center"/>
    </x:xf>
    <x:xf numFmtId="0" fontId="9" fillId="4" borderId="0" xfId="0" applyNumberFormat="1" applyFont="1" applyFill="1" applyBorder="1" applyAlignment="1">
      <x:alignment horizontal="center"/>
    </x:xf>
    <x:xf numFmtId="0" fontId="9" fillId="6" borderId="0" xfId="0" applyNumberFormat="1" applyFont="1" applyFill="1" applyBorder="1" applyAlignment="1">
      <x:alignment vertical="center" wrapText="1"/>
    </x:xf>
    <x:xf numFmtId="200" fontId="10" fillId="0" borderId="0" xfId="0" applyNumberFormat="1" applyFont="1" applyFill="1" applyBorder="1"/>
    <x:xf numFmtId="0" fontId="9" fillId="2" borderId="1" xfId="0" applyNumberFormat="1" applyFont="1" applyFill="1" applyBorder="1" applyAlignment="1">
      <x:alignment horizontal="center"/>
    </x:xf>
    <x:xf numFmtId="0" fontId="9" fillId="4" borderId="1" xfId="0" applyNumberFormat="1" applyFont="1" applyFill="1" applyBorder="1" applyAlignment="1">
      <x:alignment horizontal="center"/>
    </x:xf>
    <x:xf numFmtId="0" fontId="9" fillId="6" borderId="1" xfId="0" applyNumberFormat="1" applyFont="1" applyFill="1" applyBorder="1" applyAlignment="1">
      <x:alignment vertical="center" wrapText="1"/>
    </x:xf>
    <x:xf numFmtId="200" fontId="10" fillId="0" borderId="1" xfId="0" applyNumberFormat="1" applyFont="1" applyFill="1" applyBorder="1"/>
    <x:xf numFmtId="0" fontId="10" fillId="3" borderId="0" xfId="0" applyNumberFormat="1" applyFont="1" applyFill="1" applyBorder="1" applyAlignment="1">
      <x:alignment wrapText="1"/>
    </x:xf>
    <x:xf numFmtId="0" fontId="10" fillId="5" borderId="0" xfId="0" applyNumberFormat="1" applyFont="1" applyFill="1" applyBorder="1" applyAlignment="1">
      <x:alignment wrapText="1"/>
    </x:xf>
    <x:xf numFmtId="0" fontId="9" fillId="6" borderId="0" xfId="0" applyNumberFormat="1" applyFont="1" applyFill="1" applyBorder="1"/>
    <x:xf numFmtId="0" fontId="10" fillId="3" borderId="1" xfId="0" applyNumberFormat="1" applyFont="1" applyFill="1" applyBorder="1" applyAlignment="1">
      <x:alignment wrapText="1"/>
    </x:xf>
    <x:xf numFmtId="0" fontId="10" fillId="5" borderId="1" xfId="0" applyNumberFormat="1" applyFont="1" applyFill="1" applyBorder="1" applyAlignment="1">
      <x:alignment wrapText="1"/>
    </x:xf>
    <x:xf numFmtId="0" fontId="9" fillId="6" borderId="1" xfId="0" applyNumberFormat="1" applyFont="1" applyFill="1" applyBorder="1"/>
    <x:xf numFmtId="0" fontId="12" fillId="4" borderId="0" xfId="0" applyNumberFormat="1" applyFont="1" applyFill="1" applyBorder="1" applyAlignment="1">
      <x:alignment horizontal="center" wrapText="1"/>
    </x:xf>
    <x:xf numFmtId="0" fontId="12" fillId="4" borderId="1" xfId="0" applyNumberFormat="1" applyFont="1" applyFill="1" applyBorder="1" applyAlignment="1">
      <x:alignment horizontal="center" wrapText="1"/>
    </x:xf>
    <x:xf numFmtId="0" fontId="12" fillId="4" borderId="0" xfId="0" applyNumberFormat="1" applyFont="1" applyFill="1" applyBorder="1" applyAlignment="1">
      <x:alignment horizontal="center"/>
    </x:xf>
    <x:xf numFmtId="0" fontId="12" fillId="4" borderId="1" xfId="0" applyNumberFormat="1" applyFont="1" applyFill="1" applyBorder="1" applyAlignment="1">
      <x:alignment horizontal="center"/>
    </x:xf>
  </x:cellXfs>
  <x:cellStyles count="1">
    <x:cellStyle name="Normal" xfId="0"/>
  </x:cellStyles>
  <x:dxfs count="10">
    <x:dxf>
      <x:font>
        <x:color rgb="FF385723"/>
      </x:font>
      <x:fill>
        <x:patternFill patternType="solid">
          <x:bgColor rgb="FFE2F0D9"/>
        </x:patternFill>
      </x:fill>
    </x:dxf>
    <x:dxf>
      <x:font>
        <x:color rgb="FFC00000"/>
      </x:font>
      <x:fill>
        <x:patternFill patternType="solid">
          <x:bgColor rgb="FFFCE4D6"/>
        </x:patternFill>
      </x:fill>
    </x:dxf>
    <x:dxf>
      <x:font>
        <x:color rgb="FF385723"/>
      </x:font>
      <x:fill>
        <x:patternFill patternType="solid">
          <x:bgColor rgb="FFE2F0D9"/>
        </x:patternFill>
      </x:fill>
    </x:dxf>
    <x:dxf>
      <x:font>
        <x:color rgb="FFC00000"/>
      </x:font>
      <x:fill>
        <x:patternFill patternType="solid">
          <x:bgColor rgb="FFFCE4D6"/>
        </x:patternFill>
      </x:fill>
    </x:dxf>
    <x:dxf>
      <x:font>
        <x:color rgb="FF385723"/>
      </x:font>
      <x:fill>
        <x:patternFill patternType="solid">
          <x:bgColor rgb="FFE2F0D9"/>
        </x:patternFill>
      </x:fill>
    </x:dxf>
    <x:dxf>
      <x:font>
        <x:color rgb="FFC00000"/>
      </x:font>
      <x:fill>
        <x:patternFill patternType="solid">
          <x:bgColor rgb="FFFCE4D6"/>
        </x:patternFill>
      </x:fill>
    </x:dxf>
    <x:dxf>
      <x:font>
        <x:color rgb="FF385723"/>
      </x:font>
      <x:fill>
        <x:patternFill patternType="solid">
          <x:bgColor rgb="FFE2F0D9"/>
        </x:patternFill>
      </x:fill>
    </x:dxf>
    <x:dxf>
      <x:font>
        <x:color rgb="FFC00000"/>
      </x:font>
      <x:fill>
        <x:patternFill patternType="solid">
          <x:bgColor rgb="FFFCE4D6"/>
        </x:patternFill>
      </x:fill>
    </x:dxf>
    <x:dxf>
      <x:font>
        <x:color rgb="FF385723"/>
      </x:font>
      <x:fill>
        <x:patternFill patternType="solid">
          <x:bgColor rgb="FFE2F0D9"/>
        </x:patternFill>
      </x:fill>
    </x:dxf>
    <x:dxf>
      <x:font>
        <x:color rgb="FFC00000"/>
      </x:font>
      <x:fill>
        <x:patternFill patternType="solid">
          <x:bgColor rgb="FFFCE4D6"/>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80beae1bea584dce" /><Relationship Type="http://schemas.openxmlformats.org/officeDocument/2006/relationships/theme" Target="/xl/theme/theme1.xml" Id="Rd6f47b0cef4e4ef5" /><Relationship Type="http://schemas.openxmlformats.org/officeDocument/2006/relationships/sharedStrings" Target="/xl/sharedStrings.xml" Id="Rcaaf2491a90f480b" /><Relationship Type="http://schemas.openxmlformats.org/officeDocument/2006/relationships/worksheet" Target="/xl/worksheets/sheet1.xml" Id="R63688db031e044bf" /><Relationship Type="http://schemas.openxmlformats.org/officeDocument/2006/relationships/worksheet" Target="/xl/worksheets/sheet2.xml" Id="Re75b6d9a33d0455b" /><Relationship Type="http://schemas.openxmlformats.org/officeDocument/2006/relationships/worksheet" Target="/xl/worksheets/sheet3.xml" Id="R8879928e2a8744f9" /><Relationship Type="http://schemas.openxmlformats.org/officeDocument/2006/relationships/worksheet" Target="/xl/worksheets/sheet4.xml" Id="Rf40a6422701340e5"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15" hidden="0" customWidth="1"/>
    <x:col min="2" max="2" width="28" hidden="0" customWidth="1"/>
    <x:col min="3" max="3" width="16" hidden="0" customWidth="1"/>
    <x:col min="4" max="4" width="26" hidden="0" customWidth="1"/>
    <x:col min="5" max="5" width="3" hidden="0" customWidth="1"/>
    <x:col min="6" max="6" width="28" hidden="0" customWidth="1"/>
    <x:col min="7" max="7" width="26" hidden="0" customWidth="1"/>
    <x:col min="8" max="8" width="31" hidden="0" customWidth="1"/>
  </x:cols>
  <x:sheetData>
    <x:row r="1" ht="30" customHeight="1">
      <x:c r="A1" s="5" t="str">
        <x:v>D2-2b: Minimum Control Movement for a Slight Setpoint Violation</x:v>
      </x:c>
      <x:c r="B1" s="5"/>
      <x:c r="C1" s="5"/>
      <x:c r="D1" s="5"/>
      <x:c r="E1" s="5"/>
      <x:c r="F1" s="5"/>
      <x:c r="G1" s="5"/>
      <x:c r="H1" s="5"/>
    </x:row>
    <x:row r="2">
      <x:c r="A2" s="61"/>
      <x:c r="B2" s="61"/>
      <x:c r="C2" s="61"/>
      <x:c r="D2" s="61"/>
      <x:c r="E2" s="61"/>
      <x:c r="F2" s="61"/>
      <x:c r="G2" s="61"/>
      <x:c r="H2" s="61"/>
    </x:row>
    <x:row r="3">
      <x:c r="A3" s="61"/>
      <x:c r="B3" s="61"/>
      <x:c r="C3" s="61"/>
      <x:c r="D3" s="61"/>
      <x:c r="E3" s="61"/>
      <x:c r="F3" s="61"/>
      <x:c r="G3" s="61"/>
      <x:c r="H3" s="61"/>
    </x:row>
    <x:row r="4" ht="36" customHeight="1">
      <x:c r="A4" s="62" t="str">
        <x:v>The system currently operates at 53.0 bar / 4.30 kg/s, with only Recovery≈46.047% slightly above the 46.0% limit. Unlike the original task, the objective is not minimum Pressure but minimum movement from the current setpoint. Pressure resolution is 0.05 bar and Feed-flow resolution is 0.005 kg/s. Define movement cost as N=|ΔP|/0.05 + |ΔFlow|/0.005. Select the verified feasible setpoint with minimum N.</x:v>
      </x:c>
      <x:c r="B4" s="62"/>
      <x:c r="C4" s="62"/>
      <x:c r="D4" s="62"/>
      <x:c r="E4" s="62"/>
      <x:c r="F4" s="62"/>
      <x:c r="G4" s="62"/>
      <x:c r="H4" s="62"/>
    </x:row>
    <x:row r="5" ht="36" customHeight="1">
      <x:c r="A5" s="62"/>
      <x:c r="B5" s="62"/>
      <x:c r="C5" s="62"/>
      <x:c r="D5" s="62"/>
      <x:c r="E5" s="62"/>
      <x:c r="F5" s="62"/>
      <x:c r="G5" s="62"/>
      <x:c r="H5" s="62"/>
    </x:row>
    <x:row r="6">
      <x:c r="A6" s="61"/>
      <x:c r="B6" s="61"/>
      <x:c r="C6" s="61"/>
      <x:c r="D6" s="61"/>
      <x:c r="E6" s="61"/>
      <x:c r="F6" s="61"/>
      <x:c r="G6" s="61"/>
      <x:c r="H6" s="61"/>
    </x:row>
    <x:row r="7">
      <x:c r="A7" s="61"/>
      <x:c r="B7" s="61"/>
      <x:c r="C7" s="61"/>
      <x:c r="D7" s="61"/>
      <x:c r="E7" s="61"/>
      <x:c r="F7" s="61"/>
      <x:c r="G7" s="61"/>
      <x:c r="H7" s="61"/>
    </x:row>
    <x:row r="8">
      <x:c r="A8" s="63" t="str">
        <x:v>Fixed System Parameters</x:v>
      </x:c>
      <x:c r="B8" s="63"/>
      <x:c r="C8" s="63"/>
      <x:c r="D8" s="63"/>
      <x:c r="E8" s="61"/>
      <x:c r="F8" s="63" t="str">
        <x:v>Operating Objectives and Item Constraints</x:v>
      </x:c>
      <x:c r="G8" s="63"/>
      <x:c r="H8" s="63"/>
    </x:row>
    <x:row r="9">
      <x:c r="A9" s="88" t="str">
        <x:v>Category</x:v>
      </x:c>
      <x:c r="B9" s="88" t="str">
        <x:v>Parameter</x:v>
      </x:c>
      <x:c r="C9" s="88" t="str">
        <x:v>Value</x:v>
      </x:c>
      <x:c r="D9" s="88" t="str">
        <x:v>Note</x:v>
      </x:c>
      <x:c r="E9" s="61"/>
      <x:c r="F9" s="88" t="str">
        <x:v>Item</x:v>
      </x:c>
      <x:c r="G9" s="88" t="str">
        <x:v>Requirement / Value</x:v>
      </x:c>
      <x:c r="H9" s="88" t="str">
        <x:v>Note</x:v>
      </x:c>
    </x:row>
    <x:row r="10">
      <x:c r="A10" s="65" t="str">
        <x:v>Feed</x:v>
      </x:c>
      <x:c r="B10" s="65" t="str">
        <x:v>NaCl mass fraction</x:v>
      </x:c>
      <x:c r="C10" s="65" t="n">
        <x:v>0.03</x:v>
      </x:c>
      <x:c r="D10" s="65" t="str">
        <x:v>Fixed; ~30.5 g/L</x:v>
      </x:c>
      <x:c r="E10" s="61"/>
      <x:c r="F10" s="65" t="str">
        <x:v>Qp minimum</x:v>
      </x:c>
      <x:c r="G10" s="65" t="n">
        <x:v>6.9</x:v>
      </x:c>
      <x:c r="H10" s="65" t="str">
        <x:v>m³/h</x:v>
      </x:c>
    </x:row>
    <x:row r="11">
      <x:c r="A11" s="65" t="str">
        <x:v>Feed</x:v>
      </x:c>
      <x:c r="B11" s="65" t="str">
        <x:v>Temperature</x:v>
      </x:c>
      <x:c r="C11" s="65" t="n">
        <x:v>32</x:v>
      </x:c>
      <x:c r="D11" s="65" t="str">
        <x:v>°C; fixed</x:v>
      </x:c>
      <x:c r="E11" s="61"/>
      <x:c r="F11" s="65" t="str">
        <x:v>Qp maximum</x:v>
      </x:c>
      <x:c r="G11" s="65" t="str">
        <x:v>None</x:v>
      </x:c>
      <x:c r="H11" s="65" t="str">
        <x:v>No upper limit</x:v>
      </x:c>
    </x:row>
    <x:row r="12">
      <x:c r="A12" s="65" t="str">
        <x:v>Membrane</x:v>
      </x:c>
      <x:c r="B12" s="65" t="str">
        <x:v>Effective membrane area</x:v>
      </x:c>
      <x:c r="C12" s="65" t="n">
        <x:v>400</x:v>
      </x:c>
      <x:c r="D12" s="65" t="str">
        <x:v>m²; fixed</x:v>
      </x:c>
      <x:c r="E12" s="61"/>
      <x:c r="F12" s="65" t="str">
        <x:v>Recovery maximum</x:v>
      </x:c>
      <x:c r="G12" s="65" t="n">
        <x:v>46</x:v>
      </x:c>
      <x:c r="H12" s="65" t="str">
        <x:v>%</x:v>
      </x:c>
    </x:row>
    <x:row r="13">
      <x:c r="A13" s="65" t="str">
        <x:v>Membrane</x:v>
      </x:c>
      <x:c r="B13" s="65" t="str">
        <x:v>A_comp</x:v>
      </x:c>
      <x:c r="C13" s="65" t="n">
        <x:v>4.2e-12</x:v>
      </x:c>
      <x:c r="D13" s="65" t="str">
        <x:v>m/s/Pa; fixed</x:v>
      </x:c>
      <x:c r="E13" s="61"/>
      <x:c r="F13" s="65" t="str">
        <x:v>Flux maximum</x:v>
      </x:c>
      <x:c r="G13" s="65" t="n">
        <x:v>18</x:v>
      </x:c>
      <x:c r="H13" s="65" t="str">
        <x:v>LMH</x:v>
      </x:c>
    </x:row>
    <x:row r="14">
      <x:c r="A14" s="65" t="str">
        <x:v>Membrane</x:v>
      </x:c>
      <x:c r="B14" s="65" t="str">
        <x:v>B_comp</x:v>
      </x:c>
      <x:c r="C14" s="65" t="n">
        <x:v>3.4e-8</x:v>
      </x:c>
      <x:c r="D14" s="65" t="str">
        <x:v>m/s; fixed</x:v>
      </x:c>
      <x:c r="E14" s="61"/>
      <x:c r="F14" s="65" t="str">
        <x:v>Salt rejection minimum</x:v>
      </x:c>
      <x:c r="G14" s="65" t="n">
        <x:v>98.7</x:v>
      </x:c>
      <x:c r="H14" s="65" t="str">
        <x:v>%</x:v>
      </x:c>
    </x:row>
    <x:row r="15">
      <x:c r="A15" s="65" t="str">
        <x:v>Hydraulics</x:v>
      </x:c>
      <x:c r="B15" s="65" t="str">
        <x:v>Permeate pressure</x:v>
      </x:c>
      <x:c r="C15" s="65" t="n">
        <x:v>1.013</x:v>
      </x:c>
      <x:c r="D15" s="65" t="str">
        <x:v>bar</x:v>
      </x:c>
      <x:c r="E15" s="61"/>
      <x:c r="F15" s="65" t="str">
        <x:v>Permeate NaCl maximum</x:v>
      </x:c>
      <x:c r="G15" s="65" t="n">
        <x:v>400</x:v>
      </x:c>
      <x:c r="H15" s="65" t="str">
        <x:v>mg/L</x:v>
      </x:c>
    </x:row>
    <x:row r="16">
      <x:c r="A16" s="65" t="str">
        <x:v>Hydraulics</x:v>
      </x:c>
      <x:c r="B16" s="65" t="str">
        <x:v>Pressure drop</x:v>
      </x:c>
      <x:c r="C16" s="65" t="n">
        <x:v>0.653</x:v>
      </x:c>
      <x:c r="D16" s="65" t="str">
        <x:v>bar</x:v>
      </x:c>
      <x:c r="E16" s="61"/>
      <x:c r="F16" s="65" t="str">
        <x:v>Current setpoint</x:v>
      </x:c>
      <x:c r="G16" s="65" t="str">
        <x:v>53.0 bar / 4.30 kg/s</x:v>
      </x:c>
      <x:c r="H16" s="65" t="str">
        <x:v>Slight Recovery violation</x:v>
      </x:c>
    </x:row>
    <x:row r="17">
      <x:c r="A17" s="65" t="str">
        <x:v>Channel</x:v>
      </x:c>
      <x:c r="B17" s="65" t="str">
        <x:v>Channel height</x:v>
      </x:c>
      <x:c r="C17" s="65" t="n">
        <x:v>0.002</x:v>
      </x:c>
      <x:c r="D17" s="65" t="str">
        <x:v>m</x:v>
      </x:c>
      <x:c r="E17" s="61"/>
      <x:c r="F17" s="65" t="str">
        <x:v>Movement cost</x:v>
      </x:c>
      <x:c r="G17" s="65" t="str">
        <x:v>N=|ΔP|/0.05 + |ΔFlow|/0.005</x:v>
      </x:c>
      <x:c r="H17" s="65" t="str">
        <x:v>Discrete control steps</x:v>
      </x:c>
    </x:row>
    <x:row r="18">
      <x:c r="A18" s="65" t="str">
        <x:v>Channel</x:v>
      </x:c>
      <x:c r="B18" s="65" t="str">
        <x:v>Spacer porosity</x:v>
      </x:c>
      <x:c r="C18" s="65" t="n">
        <x:v>0.75</x:v>
      </x:c>
      <x:c r="D18" s="65" t="str">
        <x:v>-</x:v>
      </x:c>
      <x:c r="E18" s="61"/>
      <x:c r="F18" s="65" t="str">
        <x:v>Candidate A</x:v>
      </x:c>
      <x:c r="G18" s="65" t="str">
        <x:v>52.90 / 4.30</x:v>
      </x:c>
      <x:c r="H18" s="65" t="str">
        <x:v>Pressure change only: -0.10 bar</x:v>
      </x:c>
    </x:row>
    <x:row r="19">
      <x:c r="A19" s="65" t="str">
        <x:v>Channel</x:v>
      </x:c>
      <x:c r="B19" s="65" t="str">
        <x:v>Equivalent module length</x:v>
      </x:c>
      <x:c r="C19" s="65" t="n">
        <x:v>20</x:v>
      </x:c>
      <x:c r="D19" s="65" t="str">
        <x:v>m</x:v>
      </x:c>
      <x:c r="E19" s="61"/>
      <x:c r="F19" s="65" t="str">
        <x:v>Candidate B</x:v>
      </x:c>
      <x:c r="G19" s="65" t="str">
        <x:v>52.65 / 4.30</x:v>
      </x:c>
      <x:c r="H19" s="65" t="str">
        <x:v>Larger Pressure reduction</x:v>
      </x:c>
    </x:row>
    <x:row r="20">
      <x:c r="A20" s="65" t="str">
        <x:v>Model</x:v>
      </x:c>
      <x:c r="B20" s="65" t="str">
        <x:v>Concentration polarization / mass transfer</x:v>
      </x:c>
      <x:c r="C20" s="65" t="str">
        <x:v>calculated</x:v>
      </x:c>
      <x:c r="D20" s="65" t="str">
        <x:v>WaterTAP calculated</x:v>
      </x:c>
      <x:c r="E20" s="61"/>
      <x:c r="F20" s="65" t="str">
        <x:v>Candidate C</x:v>
      </x:c>
      <x:c r="G20" s="65" t="str">
        <x:v>52.65 / 4.295</x:v>
      </x:c>
      <x:c r="H20" s="65" t="str">
        <x:v>Pressure plus flow change</x:v>
      </x:c>
    </x:row>
    <x:row r="21">
      <x:c r="A21" s="61"/>
      <x:c r="B21" s="61"/>
      <x:c r="C21" s="61"/>
      <x:c r="D21" s="61"/>
      <x:c r="E21" s="61"/>
      <x:c r="F21" s="61"/>
      <x:c r="G21" s="61"/>
      <x:c r="H21" s="61"/>
    </x:row>
    <x:row r="22">
      <x:c r="A22" s="61"/>
      <x:c r="B22" s="61"/>
      <x:c r="C22" s="61"/>
      <x:c r="D22" s="61"/>
      <x:c r="E22" s="61"/>
      <x:c r="F22" s="63" t="str">
        <x:v>Required Tasks</x:v>
      </x:c>
      <x:c r="G22" s="63"/>
      <x:c r="H22" s="63"/>
    </x:row>
    <x:row r="23" ht="34" customHeight="1">
      <x:c r="A23" s="61"/>
      <x:c r="B23" s="61"/>
      <x:c r="C23" s="61"/>
      <x:c r="D23" s="61"/>
      <x:c r="E23" s="61"/>
      <x:c r="F23" s="65" t="str">
        <x:v>1. Confirm that the current point has only a slight Recovery violation.</x:v>
      </x:c>
      <x:c r="G23" s="65"/>
      <x:c r="H23" s="65"/>
    </x:row>
    <x:row r="24" ht="34" customHeight="1">
      <x:c r="A24" s="61"/>
      <x:c r="B24" s="61"/>
      <x:c r="C24" s="61"/>
      <x:c r="D24" s="61"/>
      <x:c r="E24" s="61"/>
      <x:c r="F24" s="65" t="str">
        <x:v>2. Verify whether each candidate satisfies all operating constraints.</x:v>
      </x:c>
      <x:c r="G24" s="65"/>
      <x:c r="H24" s="65"/>
    </x:row>
    <x:row r="25" ht="34" customHeight="1">
      <x:c r="A25" s="61"/>
      <x:c r="B25" s="61"/>
      <x:c r="C25" s="61"/>
      <x:c r="D25" s="61"/>
      <x:c r="E25" s="61"/>
      <x:c r="F25" s="65" t="str">
        <x:v>3. Compute movement cost N for every feasible candidate.</x:v>
      </x:c>
      <x:c r="G25" s="65"/>
      <x:c r="H25" s="65"/>
    </x:row>
    <x:row r="26" ht="34" customHeight="1">
      <x:c r="A26" s="61"/>
      <x:c r="B26" s="61"/>
      <x:c r="C26" s="61"/>
      <x:c r="D26" s="61"/>
      <x:c r="E26" s="61"/>
      <x:c r="F26" s="65" t="str">
        <x:v>4. Select the safe setpoint with minimum N; do not prefer a lower-Pressure point if it requires more control movement.</x:v>
      </x:c>
      <x:c r="G26" s="65"/>
      <x:c r="H26" s="65"/>
    </x:row>
    <x:row r="27">
      <x:c r="A27" s="61"/>
      <x:c r="B27" s="61"/>
      <x:c r="C27" s="61"/>
      <x:c r="D27" s="61"/>
      <x:c r="E27" s="61"/>
      <x:c r="F27" s="61"/>
      <x:c r="G27" s="61"/>
      <x:c r="H27" s="61"/>
    </x:row>
    <x:row r="28">
      <x:c r="A28" s="66" t="str">
        <x:v>Task boundary: In D2-2b, feed conditions, membrane properties, area, and system structure remain fixed. The problem arises from the operating setpoint or the allowed operating envelope. Do not change feed quality, temperature, membrane area, or A/B.</x:v>
      </x:c>
      <x:c r="B28" s="66"/>
      <x:c r="C28" s="66"/>
      <x:c r="D28" s="66"/>
      <x:c r="E28" s="61"/>
      <x:c r="F28" s="61"/>
      <x:c r="G28" s="61"/>
      <x:c r="H28" s="61"/>
    </x:row>
    <x:row r="29">
      <x:c r="A29" s="66"/>
      <x:c r="B29" s="66"/>
      <x:c r="C29" s="66"/>
      <x:c r="D29" s="66"/>
      <x:c r="E29" s="61"/>
      <x:c r="F29" s="61"/>
      <x:c r="G29" s="61"/>
      <x:c r="H29" s="61"/>
    </x:row>
  </x:sheetData>
  <x:mergeCells>
    <x:mergeCell ref="A1:H1"/>
    <x:mergeCell ref="A4:H5"/>
    <x:mergeCell ref="A8:D8"/>
    <x:mergeCell ref="F8:H8"/>
    <x:mergeCell ref="F22:H22"/>
    <x:mergeCell ref="F23:H23"/>
    <x:mergeCell ref="F24:H24"/>
    <x:mergeCell ref="F25:H25"/>
    <x:mergeCell ref="F26:H26"/>
    <x:mergeCell ref="A28:D29"/>
  </x:mergeCells>
  <x:pageMargins left="0.7" right="0.7" top="0.75" bottom="0.75" header="0.3" footer="0.3"/>
</x:worksheet>
</file>

<file path=xl/worksheets/sheet2.xml><?xml version="1.0" encoding="utf-8"?>
<x:worksheet xmlns:x="http://schemas.openxmlformats.org/spreadsheetml/2006/main">
  <x:sheetFormatPr defaultRowHeight="15"/>
  <x:cols>
    <x:col min="1" max="1" width="23" hidden="0" customWidth="1"/>
    <x:col min="2" max="2" width="15" hidden="0" customWidth="1"/>
    <x:col min="3" max="3" width="15" hidden="0" customWidth="1"/>
    <x:col min="4" max="4" width="15" hidden="0" customWidth="1"/>
    <x:col min="5" max="5" width="15" hidden="0" customWidth="1"/>
    <x:col min="6" max="6" width="15" hidden="0" customWidth="1"/>
    <x:col min="7" max="7" width="15" hidden="0" customWidth="1"/>
    <x:col min="8" max="8" width="15" hidden="0" customWidth="1"/>
    <x:col min="9" max="9" width="15" hidden="0" customWidth="1"/>
    <x:col min="10" max="10" width="12" hidden="0" customWidth="1"/>
    <x:col min="11" max="11" width="12" hidden="0" customWidth="1"/>
    <x:col min="12" max="12" width="12" hidden="0" customWidth="1"/>
    <x:col min="13" max="13" width="12" hidden="0" customWidth="1"/>
    <x:col min="14" max="14" width="12" hidden="0" customWidth="1"/>
    <x:col min="15" max="15" width="20" hidden="0" customWidth="1"/>
    <x:col min="16" max="16" width="14" hidden="0" customWidth="1"/>
    <x:col min="17" max="17" width="12" hidden="0" customWidth="1"/>
  </x:cols>
  <x:sheetData>
    <x:row r="1" ht="30" customHeight="1">
      <x:c r="A1" s="4" t="str">
        <x:v>D2-2b: Gold Answer — Advanced Operating Setpoint Adjustment</x:v>
      </x:c>
      <x:c r="B1" s="4"/>
      <x:c r="C1" s="4"/>
      <x:c r="D1" s="4"/>
      <x:c r="E1" s="4"/>
      <x:c r="F1" s="4"/>
      <x:c r="G1" s="4"/>
      <x:c r="H1" s="4"/>
      <x:c r="I1" s="4"/>
      <x:c r="J1" s="4"/>
      <x:c r="K1" s="4"/>
      <x:c r="L1" s="4"/>
      <x:c r="M1" s="4"/>
      <x:c r="N1" s="4"/>
      <x:c r="O1" s="4"/>
      <x:c r="P1" s="4"/>
      <x:c r="Q1" s="4"/>
    </x:row>
    <x:row r="2">
      <x:c r="A2" s="61"/>
      <x:c r="B2" s="61"/>
      <x:c r="C2" s="61"/>
      <x:c r="D2" s="61"/>
      <x:c r="E2" s="61"/>
      <x:c r="F2" s="61"/>
      <x:c r="G2" s="61"/>
      <x:c r="H2" s="61"/>
      <x:c r="I2" s="61"/>
      <x:c r="J2" s="61"/>
      <x:c r="K2" s="61"/>
      <x:c r="L2" s="61"/>
      <x:c r="M2" s="61"/>
      <x:c r="N2" s="61"/>
      <x:c r="O2" s="61"/>
      <x:c r="P2" s="61"/>
      <x:c r="Q2" s="61"/>
    </x:row>
    <x:row r="3">
      <x:c r="A3" s="61"/>
      <x:c r="B3" s="61"/>
      <x:c r="C3" s="61"/>
      <x:c r="D3" s="61"/>
      <x:c r="E3" s="61"/>
      <x:c r="F3" s="61"/>
      <x:c r="G3" s="61"/>
      <x:c r="H3" s="61"/>
      <x:c r="I3" s="61"/>
      <x:c r="J3" s="61"/>
      <x:c r="K3" s="61"/>
      <x:c r="L3" s="61"/>
      <x:c r="M3" s="61"/>
      <x:c r="N3" s="61"/>
      <x:c r="O3" s="90" t="str">
        <x:v>Constraint</x:v>
      </x:c>
      <x:c r="P3" s="90" t="str">
        <x:v>Value</x:v>
      </x:c>
      <x:c r="Q3" s="90" t="str">
        <x:v>Unit</x:v>
      </x:c>
    </x:row>
    <x:row r="4" ht="44" customHeight="1">
      <x:c r="A4" s="76" t="str">
        <x:v>At 53/4.30, only Recovery≈46.047% fails. Candidate 52.90/4.30 passes all constraints with movement cost N=0.10/0.05=2. Candidate 52.65/4.30 also passes but N=0.35/0.05=7. Candidate 52.65/4.295 passes but N=7+1=8. Therefore, the minimum-movement correction is 52.90 bar / 4.30 kg/s, not the lowest-Pressure solution from the original task.</x:v>
      </x:c>
      <x:c r="B4" s="76"/>
      <x:c r="C4" s="76"/>
      <x:c r="D4" s="76"/>
      <x:c r="E4" s="76"/>
      <x:c r="F4" s="76"/>
      <x:c r="G4" s="76"/>
      <x:c r="H4" s="76"/>
      <x:c r="I4" s="76"/>
      <x:c r="J4" s="76"/>
      <x:c r="K4" s="76"/>
      <x:c r="L4" s="76"/>
      <x:c r="M4" s="76"/>
      <x:c r="N4" s="76"/>
      <x:c r="O4" s="77" t="str">
        <x:v>Qp min</x:v>
      </x:c>
      <x:c r="P4" s="77" t="n">
        <x:v>6.9</x:v>
      </x:c>
      <x:c r="Q4" s="77" t="str">
        <x:v>m³/h</x:v>
      </x:c>
    </x:row>
    <x:row r="5" ht="44" customHeight="1">
      <x:c r="A5" s="76"/>
      <x:c r="B5" s="76"/>
      <x:c r="C5" s="76"/>
      <x:c r="D5" s="76"/>
      <x:c r="E5" s="76"/>
      <x:c r="F5" s="76"/>
      <x:c r="G5" s="76"/>
      <x:c r="H5" s="76"/>
      <x:c r="I5" s="76"/>
      <x:c r="J5" s="76"/>
      <x:c r="K5" s="76"/>
      <x:c r="L5" s="76"/>
      <x:c r="M5" s="76"/>
      <x:c r="N5" s="76"/>
      <x:c r="O5" s="77" t="str">
        <x:v>Qp max</x:v>
      </x:c>
      <x:c r="P5" s="77" t="n">
        <x:v>999</x:v>
      </x:c>
      <x:c r="Q5" s="77" t="str">
        <x:v>m³/h</x:v>
      </x:c>
    </x:row>
    <x:row r="6">
      <x:c r="A6" s="61"/>
      <x:c r="B6" s="61"/>
      <x:c r="C6" s="61"/>
      <x:c r="D6" s="61"/>
      <x:c r="E6" s="61"/>
      <x:c r="F6" s="61"/>
      <x:c r="G6" s="61"/>
      <x:c r="H6" s="61"/>
      <x:c r="I6" s="61"/>
      <x:c r="J6" s="61"/>
      <x:c r="K6" s="61"/>
      <x:c r="L6" s="61"/>
      <x:c r="M6" s="61"/>
      <x:c r="N6" s="61"/>
      <x:c r="O6" s="77" t="str">
        <x:v>Recovery max</x:v>
      </x:c>
      <x:c r="P6" s="77" t="n">
        <x:v>46</x:v>
      </x:c>
      <x:c r="Q6" s="77" t="str">
        <x:v>%</x:v>
      </x:c>
    </x:row>
    <x:row r="7">
      <x:c r="A7" s="61"/>
      <x:c r="B7" s="61"/>
      <x:c r="C7" s="61"/>
      <x:c r="D7" s="61"/>
      <x:c r="E7" s="61"/>
      <x:c r="F7" s="61"/>
      <x:c r="G7" s="61"/>
      <x:c r="H7" s="61"/>
      <x:c r="I7" s="61"/>
      <x:c r="J7" s="61"/>
      <x:c r="K7" s="61"/>
      <x:c r="L7" s="61"/>
      <x:c r="M7" s="61"/>
      <x:c r="N7" s="61"/>
      <x:c r="O7" s="77" t="str">
        <x:v>Flux max</x:v>
      </x:c>
      <x:c r="P7" s="77" t="n">
        <x:v>18</x:v>
      </x:c>
      <x:c r="Q7" s="77" t="str">
        <x:v>LMH</x:v>
      </x:c>
    </x:row>
    <x:row r="8">
      <x:c r="A8" s="63" t="str">
        <x:v>Continuous Reasoning Trajectory</x:v>
      </x:c>
      <x:c r="B8" s="63"/>
      <x:c r="C8" s="63"/>
      <x:c r="D8" s="63"/>
      <x:c r="E8" s="63"/>
      <x:c r="F8" s="63"/>
      <x:c r="G8" s="61"/>
      <x:c r="H8" s="61"/>
      <x:c r="I8" s="61"/>
      <x:c r="J8" s="61"/>
      <x:c r="K8" s="61"/>
      <x:c r="L8" s="61"/>
      <x:c r="M8" s="61"/>
      <x:c r="N8" s="61"/>
      <x:c r="O8" s="77" t="str">
        <x:v>Rejection min</x:v>
      </x:c>
      <x:c r="P8" s="77" t="n">
        <x:v>98.7</x:v>
      </x:c>
      <x:c r="Q8" s="77" t="str">
        <x:v>%</x:v>
      </x:c>
    </x:row>
    <x:row r="9">
      <x:c r="A9" s="88" t="str">
        <x:v>Node</x:v>
      </x:c>
      <x:c r="B9" s="88" t="str">
        <x:v>Evidence point</x:v>
      </x:c>
      <x:c r="C9" s="88" t="str">
        <x:v>Key observation</x:v>
      </x:c>
      <x:c r="D9" s="88" t="str">
        <x:v>State update</x:v>
      </x:c>
      <x:c r="E9" s="88" t="str">
        <x:v>Engineering meaning</x:v>
      </x:c>
      <x:c r="F9" s="88" t="str">
        <x:v>Decision</x:v>
      </x:c>
      <x:c r="G9" s="61"/>
      <x:c r="H9" s="61"/>
      <x:c r="I9" s="61"/>
      <x:c r="J9" s="61"/>
      <x:c r="K9" s="61"/>
      <x:c r="L9" s="61"/>
      <x:c r="M9" s="61"/>
      <x:c r="N9" s="61"/>
      <x:c r="O9" s="77" t="str">
        <x:v>NaCl max</x:v>
      </x:c>
      <x:c r="P9" s="77" t="n">
        <x:v>400</x:v>
      </x:c>
      <x:c r="Q9" s="77" t="str">
        <x:v>mg/L</x:v>
      </x:c>
    </x:row>
    <x:row r="10" ht="60" customHeight="1">
      <x:c r="A10" s="65" t="str">
        <x:v>Current state</x:v>
      </x:c>
      <x:c r="B10" s="65" t="str">
        <x:v>D</x:v>
      </x:c>
      <x:c r="C10" s="65" t="str">
        <x:v>Only Recovery slightly exceeds the limit</x:v>
      </x:c>
      <x:c r="D10" s="65" t="str">
        <x:v>Use a minimum-movement objective</x:v>
      </x:c>
      <x:c r="E10" s="65" t="str">
        <x:v>Do not minimize Pressure by default</x:v>
      </x:c>
      <x:c r="F10" s="65" t="str">
        <x:v>Continue</x:v>
      </x:c>
      <x:c r="G10" s="61"/>
      <x:c r="H10" s="61"/>
      <x:c r="I10" s="61"/>
      <x:c r="J10" s="61"/>
      <x:c r="K10" s="61"/>
      <x:c r="L10" s="61"/>
      <x:c r="M10" s="61"/>
      <x:c r="N10" s="61"/>
      <x:c r="O10" s="61"/>
      <x:c r="P10" s="61"/>
      <x:c r="Q10" s="61"/>
    </x:row>
    <x:row r="11" ht="60" customHeight="1">
      <x:c r="A11" s="65" t="str">
        <x:v>Candidate A</x:v>
      </x:c>
      <x:c r="B11" s="65" t="str">
        <x:v>E</x:v>
      </x:c>
      <x:c r="C11" s="65" t="str">
        <x:v>All constraints pass; N=2</x:v>
      </x:c>
      <x:c r="D11" s="65" t="str">
        <x:v>Current best</x:v>
      </x:c>
      <x:c r="E11" s="65" t="str">
        <x:v>Smallest verified movement so far</x:v>
      </x:c>
      <x:c r="F11" s="65" t="str">
        <x:v>Keep as incumbent</x:v>
      </x:c>
      <x:c r="G11" s="61"/>
      <x:c r="H11" s="61"/>
      <x:c r="I11" s="61"/>
      <x:c r="J11" s="61"/>
      <x:c r="K11" s="61"/>
      <x:c r="L11" s="61"/>
      <x:c r="M11" s="61"/>
      <x:c r="N11" s="61"/>
      <x:c r="O11" s="61"/>
      <x:c r="P11" s="61"/>
      <x:c r="Q11" s="61"/>
    </x:row>
    <x:row r="12" ht="60" customHeight="1">
      <x:c r="A12" s="65" t="str">
        <x:v>Candidate B</x:v>
      </x:c>
      <x:c r="B12" s="65" t="str">
        <x:v>G</x:v>
      </x:c>
      <x:c r="C12" s="65" t="str">
        <x:v>All constraints pass; N=7</x:v>
      </x:c>
      <x:c r="D12" s="65" t="str">
        <x:v>Farther from current setpoint</x:v>
      </x:c>
      <x:c r="E12" s="65" t="str">
        <x:v>Feasible but not minimum movement</x:v>
      </x:c>
      <x:c r="F12" s="65" t="str">
        <x:v>Prune</x:v>
      </x:c>
      <x:c r="G12" s="61"/>
      <x:c r="H12" s="61"/>
      <x:c r="I12" s="61"/>
      <x:c r="J12" s="61"/>
      <x:c r="K12" s="61"/>
      <x:c r="L12" s="61"/>
      <x:c r="M12" s="61"/>
      <x:c r="N12" s="61"/>
      <x:c r="O12" s="61"/>
      <x:c r="P12" s="61"/>
      <x:c r="Q12" s="61"/>
    </x:row>
    <x:row r="13" ht="60" customHeight="1">
      <x:c r="A13" s="65" t="str">
        <x:v>Candidate C</x:v>
      </x:c>
      <x:c r="B13" s="65" t="str">
        <x:v>I</x:v>
      </x:c>
      <x:c r="C13" s="65" t="str">
        <x:v>All constraints pass; N=8</x:v>
      </x:c>
      <x:c r="D13" s="65" t="str">
        <x:v>Farther from current setpoint</x:v>
      </x:c>
      <x:c r="E13" s="65" t="str">
        <x:v>Feasible but not minimum movement</x:v>
      </x:c>
      <x:c r="F13" s="65" t="str">
        <x:v>Prune</x:v>
      </x:c>
      <x:c r="G13" s="61"/>
      <x:c r="H13" s="61"/>
      <x:c r="I13" s="61"/>
      <x:c r="J13" s="61"/>
      <x:c r="K13" s="61"/>
      <x:c r="L13" s="61"/>
      <x:c r="M13" s="61"/>
      <x:c r="N13" s="61"/>
      <x:c r="O13" s="61"/>
      <x:c r="P13" s="61"/>
      <x:c r="Q13" s="61"/>
    </x:row>
    <x:row r="14" ht="60" customHeight="1">
      <x:c r="A14" s="65" t="str">
        <x:v>Final</x:v>
      </x:c>
      <x:c r="B14" s="65" t="str">
        <x:v>E</x:v>
      </x:c>
      <x:c r="C14" s="65" t="str">
        <x:v>Candidate A has minimum N</x:v>
      </x:c>
      <x:c r="D14" s="65" t="str">
        <x:v>Select 52.90 / 4.30</x:v>
      </x:c>
      <x:c r="E14" s="65" t="str">
        <x:v>Objective differs from the original task</x:v>
      </x:c>
      <x:c r="F14" s="65" t="str">
        <x:v>Stop</x:v>
      </x:c>
      <x:c r="G14" s="61"/>
      <x:c r="H14" s="61"/>
      <x:c r="I14" s="61"/>
      <x:c r="J14" s="61"/>
      <x:c r="K14" s="61"/>
      <x:c r="L14" s="61"/>
      <x:c r="M14" s="61"/>
      <x:c r="N14" s="61"/>
      <x:c r="O14" s="61"/>
      <x:c r="P14" s="61"/>
      <x:c r="Q14" s="61"/>
    </x:row>
    <x:row r="15">
      <x:c r="A15" s="61"/>
      <x:c r="B15" s="61"/>
      <x:c r="C15" s="61"/>
      <x:c r="D15" s="61"/>
      <x:c r="E15" s="61"/>
      <x:c r="F15" s="61"/>
      <x:c r="G15" s="61"/>
      <x:c r="H15" s="61"/>
      <x:c r="I15" s="61"/>
      <x:c r="J15" s="61"/>
      <x:c r="K15" s="61"/>
      <x:c r="L15" s="61"/>
      <x:c r="M15" s="61"/>
      <x:c r="N15" s="61"/>
      <x:c r="O15" s="61"/>
      <x:c r="P15" s="61"/>
      <x:c r="Q15" s="61"/>
    </x:row>
    <x:row r="16">
      <x:c r="A16" s="61"/>
      <x:c r="B16" s="61"/>
      <x:c r="C16" s="61"/>
      <x:c r="D16" s="61"/>
      <x:c r="E16" s="61"/>
      <x:c r="F16" s="61"/>
      <x:c r="G16" s="61"/>
      <x:c r="H16" s="61"/>
      <x:c r="I16" s="61"/>
      <x:c r="J16" s="61"/>
      <x:c r="K16" s="61"/>
      <x:c r="L16" s="61"/>
      <x:c r="M16" s="61"/>
      <x:c r="N16" s="61"/>
      <x:c r="O16" s="61"/>
      <x:c r="P16" s="61"/>
      <x:c r="Q16" s="61"/>
    </x:row>
    <x:row r="17">
      <x:c r="A17" s="61"/>
      <x:c r="B17" s="61"/>
      <x:c r="C17" s="61"/>
      <x:c r="D17" s="61"/>
      <x:c r="E17" s="61"/>
      <x:c r="F17" s="61"/>
      <x:c r="G17" s="61"/>
      <x:c r="H17" s="61"/>
      <x:c r="I17" s="61"/>
      <x:c r="J17" s="61"/>
      <x:c r="K17" s="61"/>
      <x:c r="L17" s="61"/>
      <x:c r="M17" s="61"/>
      <x:c r="N17" s="61"/>
      <x:c r="O17" s="61"/>
      <x:c r="P17" s="61"/>
      <x:c r="Q17" s="61"/>
    </x:row>
    <x:row r="18">
      <x:c r="A18" s="61"/>
      <x:c r="B18" s="61"/>
      <x:c r="C18" s="61"/>
      <x:c r="D18" s="61"/>
      <x:c r="E18" s="61"/>
      <x:c r="F18" s="61"/>
      <x:c r="G18" s="61"/>
      <x:c r="H18" s="61"/>
      <x:c r="I18" s="61"/>
      <x:c r="J18" s="61"/>
      <x:c r="K18" s="61"/>
      <x:c r="L18" s="61"/>
      <x:c r="M18" s="61"/>
      <x:c r="N18" s="61"/>
      <x:c r="O18" s="61"/>
      <x:c r="P18" s="61"/>
      <x:c r="Q18" s="61"/>
    </x:row>
    <x:row r="19">
      <x:c r="A19" s="63" t="str">
        <x:v>simulate_ro Evidence and Constraint Checks</x:v>
      </x:c>
      <x:c r="B19" s="63"/>
      <x:c r="C19" s="63"/>
      <x:c r="D19" s="63"/>
      <x:c r="E19" s="63"/>
      <x:c r="F19" s="63"/>
      <x:c r="G19" s="63"/>
      <x:c r="H19" s="63"/>
      <x:c r="I19" s="63"/>
      <x:c r="J19" s="63"/>
      <x:c r="K19" s="63"/>
      <x:c r="L19" s="63"/>
      <x:c r="M19" s="63"/>
      <x:c r="N19" s="63"/>
      <x:c r="O19" s="61"/>
      <x:c r="P19" s="61"/>
      <x:c r="Q19" s="61"/>
    </x:row>
    <x:row r="20">
      <x:c r="A20" s="88" t="str">
        <x:v>Scenario</x:v>
      </x:c>
      <x:c r="B20" s="88" t="str">
        <x:v>Pressure bar</x:v>
      </x:c>
      <x:c r="C20" s="88" t="str">
        <x:v>Feed kg/s</x:v>
      </x:c>
      <x:c r="D20" s="88" t="str">
        <x:v>Permeate kg/s</x:v>
      </x:c>
      <x:c r="E20" s="88" t="str">
        <x:v>Qp m³/h</x:v>
      </x:c>
      <x:c r="F20" s="88" t="str">
        <x:v>Flux LMH</x:v>
      </x:c>
      <x:c r="G20" s="88" t="str">
        <x:v>Recovery %</x:v>
      </x:c>
      <x:c r="H20" s="88" t="str">
        <x:v>Rejection %</x:v>
      </x:c>
      <x:c r="I20" s="88" t="str">
        <x:v>NaCl mg/L</x:v>
      </x:c>
      <x:c r="J20" s="88" t="str">
        <x:v>Qp</x:v>
      </x:c>
      <x:c r="K20" s="88" t="str">
        <x:v>Recovery</x:v>
      </x:c>
      <x:c r="L20" s="88" t="str">
        <x:v>Flux</x:v>
      </x:c>
      <x:c r="M20" s="88" t="str">
        <x:v>Water quality</x:v>
      </x:c>
      <x:c r="N20" s="88" t="str">
        <x:v>Overall</x:v>
      </x:c>
      <x:c r="O20" s="61"/>
      <x:c r="P20" s="61"/>
      <x:c r="Q20" s="61"/>
    </x:row>
    <x:row r="21">
      <x:c r="A21" s="61" t="str">
        <x:v>53 / 4.30</x:v>
      </x:c>
      <x:c r="B21" s="77" t="n">
        <x:v>53</x:v>
      </x:c>
      <x:c r="C21" s="77" t="n">
        <x:v>4.3</x:v>
      </x:c>
      <x:c r="D21" s="77" t="n">
        <x:v>1.936389470542942</x:v>
      </x:c>
      <x:c r="E21" s="77" t="n">
        <x:v>6.971002093954592</x:v>
      </x:c>
      <x:c r="F21" s="77" t="n">
        <x:v>17.42157007973964</x:v>
      </x:c>
      <x:c r="G21" s="77" t="n">
        <x:v>46.04686341611642</x:v>
      </x:c>
      <x:c r="H21" s="77" t="n">
        <x:v>98.88980362822365</x:v>
      </x:c>
      <x:c r="I21" s="77" t="n">
        <x:v>340.5625226813322</x:v>
      </x:c>
      <x:c r="J21" s="61" t="str">
        <x:f>IF(AND(E21&gt;=$P$4,E21&lt;=$P$5),"PASS","FAIL")</x:f>
        <x:v>PASS</x:v>
      </x:c>
      <x:c r="K21" s="61" t="str">
        <x:f>IF(G21&lt;=$P$6,"PASS","FAIL")</x:f>
        <x:v>FAIL</x:v>
      </x:c>
      <x:c r="L21" s="61" t="str">
        <x:f>IF(F21&lt;=$P$7,"PASS","FAIL")</x:f>
        <x:v>PASS</x:v>
      </x:c>
      <x:c r="M21" s="61" t="str">
        <x:f>IF(AND(H21&gt;=$P$8,I21&lt;=$P$9),"PASS","FAIL")</x:f>
        <x:v>PASS</x:v>
      </x:c>
      <x:c r="N21" s="61" t="str">
        <x:f>IF(AND(J21="PASS",K21="PASS",L21="PASS",M21="PASS"),"PASS","FAIL")</x:f>
        <x:v>FAIL</x:v>
      </x:c>
      <x:c r="O21" s="61"/>
      <x:c r="P21" s="61"/>
      <x:c r="Q21" s="61"/>
    </x:row>
    <x:row r="22">
      <x:c r="A22" s="61" t="str">
        <x:v>52.90 / 4.30</x:v>
      </x:c>
      <x:c r="B22" s="77" t="n">
        <x:v>52.9</x:v>
      </x:c>
      <x:c r="C22" s="77" t="n">
        <x:v>4.3</x:v>
      </x:c>
      <x:c r="D22" s="77" t="n">
        <x:v>1.9312051679303568</x:v>
      </x:c>
      <x:c r="E22" s="77" t="n">
        <x:v>6.9523386045492845</x:v>
      </x:c>
      <x:c r="F22" s="77" t="n">
        <x:v>17.374921034588446</x:v>
      </x:c>
      <x:c r="G22" s="77" t="n">
        <x:v>45.92356951296811</x:v>
      </x:c>
      <x:c r="H22" s="77" t="n">
        <x:v>98.88863825382515</x:v>
      </x:c>
      <x:c r="I22" s="77" t="n">
        <x:v>340.91991899743056</x:v>
      </x:c>
      <x:c r="J22" s="61" t="str">
        <x:f>IF(AND(E22&gt;=$P$4,E22&lt;=$P$5),"PASS","FAIL")</x:f>
        <x:v>PASS</x:v>
      </x:c>
      <x:c r="K22" s="61" t="str">
        <x:f>IF(G22&lt;=$P$6,"PASS","FAIL")</x:f>
        <x:v>PASS</x:v>
      </x:c>
      <x:c r="L22" s="61" t="str">
        <x:f>IF(F22&lt;=$P$7,"PASS","FAIL")</x:f>
        <x:v>PASS</x:v>
      </x:c>
      <x:c r="M22" s="61" t="str">
        <x:f>IF(AND(H22&gt;=$P$8,I22&lt;=$P$9),"PASS","FAIL")</x:f>
        <x:v>PASS</x:v>
      </x:c>
      <x:c r="N22" s="61" t="str">
        <x:f>IF(AND(J22="PASS",K22="PASS",L22="PASS",M22="PASS"),"PASS","FAIL")</x:f>
        <x:v>PASS</x:v>
      </x:c>
      <x:c r="O22" s="61"/>
      <x:c r="P22" s="61"/>
      <x:c r="Q22" s="61"/>
    </x:row>
    <x:row r="23">
      <x:c r="A23" s="61" t="str">
        <x:v>52.65 / 4.30</x:v>
      </x:c>
      <x:c r="B23" s="77" t="n">
        <x:v>52.65</x:v>
      </x:c>
      <x:c r="C23" s="77" t="n">
        <x:v>4.3</x:v>
      </x:c>
      <x:c r="D23" s="77" t="n">
        <x:v>1.9181949349895129</x:v>
      </x:c>
      <x:c r="E23" s="77" t="n">
        <x:v>6.905501765962247</x:v>
      </x:c>
      <x:c r="F23" s="77" t="n">
        <x:v>17.257853105822207</x:v>
      </x:c>
      <x:c r="G23" s="77" t="n">
        <x:v>45.614157857364695</x:v>
      </x:c>
      <x:c r="H23" s="77" t="n">
        <x:v>98.8856631802543</x:v>
      </x:c>
      <x:c r="I23" s="77" t="n">
        <x:v>341.8323118819894</x:v>
      </x:c>
      <x:c r="J23" s="61" t="str">
        <x:f>IF(AND(E23&gt;=$P$4,E23&lt;=$P$5),"PASS","FAIL")</x:f>
        <x:v>PASS</x:v>
      </x:c>
      <x:c r="K23" s="61" t="str">
        <x:f>IF(G23&lt;=$P$6,"PASS","FAIL")</x:f>
        <x:v>PASS</x:v>
      </x:c>
      <x:c r="L23" s="61" t="str">
        <x:f>IF(F23&lt;=$P$7,"PASS","FAIL")</x:f>
        <x:v>PASS</x:v>
      </x:c>
      <x:c r="M23" s="61" t="str">
        <x:f>IF(AND(H23&gt;=$P$8,I23&lt;=$P$9),"PASS","FAIL")</x:f>
        <x:v>PASS</x:v>
      </x:c>
      <x:c r="N23" s="61" t="str">
        <x:f>IF(AND(J23="PASS",K23="PASS",L23="PASS",M23="PASS"),"PASS","FAIL")</x:f>
        <x:v>PASS</x:v>
      </x:c>
      <x:c r="O23" s="61"/>
      <x:c r="P23" s="61"/>
      <x:c r="Q23" s="61"/>
    </x:row>
    <x:row r="24">
      <x:c r="A24" s="61" t="str">
        <x:v>52.65 / 4.295</x:v>
      </x:c>
      <x:c r="B24" s="77" t="n">
        <x:v>52.65</x:v>
      </x:c>
      <x:c r="C24" s="77" t="n">
        <x:v>4.295</x:v>
      </x:c>
      <x:c r="D24" s="77" t="n">
        <x:v>1.917031086827258</x:v>
      </x:c>
      <x:c r="E24" s="77" t="n">
        <x:v>6.901311912578129</x:v>
      </x:c>
      <x:c r="F24" s="77" t="n">
        <x:v>17.247377528991624</x:v>
      </x:c>
      <x:c r="G24" s="77" t="n">
        <x:v>45.639542017473474</x:v>
      </x:c>
      <x:c r="H24" s="77" t="n">
        <x:v>98.88480818986883</x:v>
      </x:c>
      <x:c r="I24" s="77" t="n">
        <x:v>342.09451932985843</x:v>
      </x:c>
      <x:c r="J24" s="61" t="str">
        <x:f>IF(AND(E24&gt;=$P$4,E24&lt;=$P$5),"PASS","FAIL")</x:f>
        <x:v>PASS</x:v>
      </x:c>
      <x:c r="K24" s="61" t="str">
        <x:f>IF(G24&lt;=$P$6,"PASS","FAIL")</x:f>
        <x:v>PASS</x:v>
      </x:c>
      <x:c r="L24" s="61" t="str">
        <x:f>IF(F24&lt;=$P$7,"PASS","FAIL")</x:f>
        <x:v>PASS</x:v>
      </x:c>
      <x:c r="M24" s="61" t="str">
        <x:f>IF(AND(H24&gt;=$P$8,I24&lt;=$P$9),"PASS","FAIL")</x:f>
        <x:v>PASS</x:v>
      </x:c>
      <x:c r="N24" s="61" t="str">
        <x:f>IF(AND(J24="PASS",K24="PASS",L24="PASS",M24="PASS"),"PASS","FAIL")</x:f>
        <x:v>PASS</x:v>
      </x:c>
      <x:c r="O24" s="61"/>
      <x:c r="P24" s="61"/>
      <x:c r="Q24" s="61"/>
    </x:row>
    <x:row r="25">
      <x:c r="A25" s="61"/>
      <x:c r="B25" s="61"/>
      <x:c r="C25" s="61"/>
      <x:c r="D25" s="61"/>
      <x:c r="E25" s="61"/>
      <x:c r="F25" s="61"/>
      <x:c r="G25" s="61"/>
      <x:c r="H25" s="61"/>
      <x:c r="I25" s="61"/>
      <x:c r="J25" s="61"/>
      <x:c r="K25" s="61"/>
      <x:c r="L25" s="61"/>
      <x:c r="M25" s="61"/>
      <x:c r="N25" s="61"/>
      <x:c r="O25" s="61"/>
      <x:c r="P25" s="61"/>
      <x:c r="Q25" s="61"/>
    </x:row>
    <x:row r="26">
      <x:c r="A26" s="61"/>
      <x:c r="B26" s="61"/>
      <x:c r="C26" s="61"/>
      <x:c r="D26" s="61"/>
      <x:c r="E26" s="61"/>
      <x:c r="F26" s="61"/>
      <x:c r="G26" s="61"/>
      <x:c r="H26" s="61"/>
      <x:c r="I26" s="61"/>
      <x:c r="J26" s="61"/>
      <x:c r="K26" s="61"/>
      <x:c r="L26" s="61"/>
      <x:c r="M26" s="61"/>
      <x:c r="N26" s="61"/>
      <x:c r="O26" s="61"/>
      <x:c r="P26" s="61"/>
      <x:c r="Q26" s="61"/>
    </x:row>
    <x:row r="27">
      <x:c r="A27" s="61"/>
      <x:c r="B27" s="61"/>
      <x:c r="C27" s="61"/>
      <x:c r="D27" s="61"/>
      <x:c r="E27" s="61"/>
      <x:c r="F27" s="61"/>
      <x:c r="G27" s="61"/>
      <x:c r="H27" s="61"/>
      <x:c r="I27" s="61"/>
      <x:c r="J27" s="61"/>
      <x:c r="K27" s="61"/>
      <x:c r="L27" s="61"/>
      <x:c r="M27" s="61"/>
      <x:c r="N27" s="61"/>
      <x:c r="O27" s="61"/>
      <x:c r="P27" s="61"/>
      <x:c r="Q27" s="61"/>
    </x:row>
    <x:row r="28">
      <x:c r="A28" s="61"/>
      <x:c r="B28" s="61"/>
      <x:c r="C28" s="61"/>
      <x:c r="D28" s="61"/>
      <x:c r="E28" s="61"/>
      <x:c r="F28" s="61"/>
      <x:c r="G28" s="61"/>
      <x:c r="H28" s="61"/>
      <x:c r="I28" s="61"/>
      <x:c r="J28" s="61"/>
      <x:c r="K28" s="61"/>
      <x:c r="L28" s="61"/>
      <x:c r="M28" s="61"/>
      <x:c r="N28" s="61"/>
      <x:c r="O28" s="61"/>
      <x:c r="P28" s="61"/>
      <x:c r="Q28" s="61"/>
    </x:row>
    <x:row r="29">
      <x:c r="A29" s="61"/>
      <x:c r="B29" s="61"/>
      <x:c r="C29" s="61"/>
      <x:c r="D29" s="61"/>
      <x:c r="E29" s="61"/>
      <x:c r="F29" s="61"/>
      <x:c r="G29" s="61"/>
      <x:c r="H29" s="61"/>
      <x:c r="I29" s="61"/>
      <x:c r="J29" s="61"/>
      <x:c r="K29" s="61"/>
      <x:c r="L29" s="61"/>
      <x:c r="M29" s="61"/>
      <x:c r="N29" s="61"/>
      <x:c r="O29" s="61"/>
      <x:c r="P29" s="61"/>
      <x:c r="Q29" s="61"/>
    </x:row>
    <x:row r="30">
      <x:c r="A30" s="61"/>
      <x:c r="B30" s="61"/>
      <x:c r="C30" s="61"/>
      <x:c r="D30" s="61"/>
      <x:c r="E30" s="61"/>
      <x:c r="F30" s="61"/>
      <x:c r="G30" s="61"/>
      <x:c r="H30" s="61"/>
      <x:c r="I30" s="61"/>
      <x:c r="J30" s="61"/>
      <x:c r="K30" s="61"/>
      <x:c r="L30" s="61"/>
      <x:c r="M30" s="61"/>
      <x:c r="N30" s="61"/>
      <x:c r="O30" s="61"/>
      <x:c r="P30" s="61"/>
      <x:c r="Q30" s="61"/>
    </x:row>
    <x:row r="31" ht="52" customHeight="1">
      <x:c r="A31" s="76" t="str">
        <x:v>Final Engineering Conclusion
At 53/4.30, only Recovery≈46.047% fails. Candidate 52.90/4.30 passes all constraints with movement cost N=0.10/0.05=2. Candidate 52.65/4.30 also passes but N=0.35/0.05=7. Candidate 52.65/4.295 passes but N=7+1=8. Therefore, the minimum-movement correction is 52.90 bar / 4.30 kg/s, not the lowest-Pressure solution from the original task.</x:v>
      </x:c>
      <x:c r="B31" s="76"/>
      <x:c r="C31" s="76"/>
      <x:c r="D31" s="76"/>
      <x:c r="E31" s="76"/>
      <x:c r="F31" s="76"/>
      <x:c r="G31" s="76"/>
      <x:c r="H31" s="76"/>
      <x:c r="I31" s="76"/>
      <x:c r="J31" s="76"/>
      <x:c r="K31" s="76"/>
      <x:c r="L31" s="76"/>
      <x:c r="M31" s="76"/>
      <x:c r="N31" s="76"/>
      <x:c r="O31" s="61"/>
      <x:c r="P31" s="61"/>
      <x:c r="Q31" s="61"/>
    </x:row>
    <x:row r="32" ht="52" customHeight="1">
      <x:c r="A32" s="76"/>
      <x:c r="B32" s="76"/>
      <x:c r="C32" s="76"/>
      <x:c r="D32" s="76"/>
      <x:c r="E32" s="76"/>
      <x:c r="F32" s="76"/>
      <x:c r="G32" s="76"/>
      <x:c r="H32" s="76"/>
      <x:c r="I32" s="76"/>
      <x:c r="J32" s="76"/>
      <x:c r="K32" s="76"/>
      <x:c r="L32" s="76"/>
      <x:c r="M32" s="76"/>
      <x:c r="N32" s="76"/>
      <x:c r="O32" s="61"/>
      <x:c r="P32" s="61"/>
      <x:c r="Q32" s="61"/>
    </x:row>
    <x:row r="33" ht="52" customHeight="1">
      <x:c r="A33" s="76"/>
      <x:c r="B33" s="76"/>
      <x:c r="C33" s="76"/>
      <x:c r="D33" s="76"/>
      <x:c r="E33" s="76"/>
      <x:c r="F33" s="76"/>
      <x:c r="G33" s="76"/>
      <x:c r="H33" s="76"/>
      <x:c r="I33" s="76"/>
      <x:c r="J33" s="76"/>
      <x:c r="K33" s="76"/>
      <x:c r="L33" s="76"/>
      <x:c r="M33" s="76"/>
      <x:c r="N33" s="76"/>
      <x:c r="O33" s="61"/>
      <x:c r="P33" s="61"/>
      <x:c r="Q33" s="61"/>
    </x:row>
    <x:row r="34" ht="52" customHeight="1">
      <x:c r="A34" s="76"/>
      <x:c r="B34" s="76"/>
      <x:c r="C34" s="76"/>
      <x:c r="D34" s="76"/>
      <x:c r="E34" s="76"/>
      <x:c r="F34" s="76"/>
      <x:c r="G34" s="76"/>
      <x:c r="H34" s="76"/>
      <x:c r="I34" s="76"/>
      <x:c r="J34" s="76"/>
      <x:c r="K34" s="76"/>
      <x:c r="L34" s="76"/>
      <x:c r="M34" s="76"/>
      <x:c r="N34" s="76"/>
      <x:c r="O34" s="61"/>
      <x:c r="P34" s="61"/>
      <x:c r="Q34" s="61"/>
    </x:row>
  </x:sheetData>
  <x:mergeCells>
    <x:mergeCell ref="A1:Q1"/>
    <x:mergeCell ref="A4:N5"/>
    <x:mergeCell ref="A8:F8"/>
    <x:mergeCell ref="A19:N19"/>
    <x:mergeCell ref="A31:N34"/>
  </x:mergeCells>
  <x:conditionalFormatting sqref="J21:J24">
    <x:cfRule type="expression" dxfId="0" priority="1">
      <x:formula>J21="PASS"</x:formula>
    </x:cfRule>
    <x:cfRule type="expression" dxfId="1" priority="2">
      <x:formula>J21="FAIL"</x:formula>
    </x:cfRule>
  </x:conditionalFormatting>
  <x:conditionalFormatting sqref="K21:K24">
    <x:cfRule type="expression" dxfId="2" priority="3">
      <x:formula>K21="PASS"</x:formula>
    </x:cfRule>
    <x:cfRule type="expression" dxfId="3" priority="4">
      <x:formula>K21="FAIL"</x:formula>
    </x:cfRule>
  </x:conditionalFormatting>
  <x:conditionalFormatting sqref="L21:L24">
    <x:cfRule type="expression" dxfId="4" priority="5">
      <x:formula>L21="PASS"</x:formula>
    </x:cfRule>
    <x:cfRule type="expression" dxfId="5" priority="6">
      <x:formula>L21="FAIL"</x:formula>
    </x:cfRule>
  </x:conditionalFormatting>
  <x:conditionalFormatting sqref="M21:M24">
    <x:cfRule type="expression" dxfId="6" priority="7">
      <x:formula>M21="PASS"</x:formula>
    </x:cfRule>
    <x:cfRule type="expression" dxfId="7" priority="8">
      <x:formula>M21="FAIL"</x:formula>
    </x:cfRule>
  </x:conditionalFormatting>
  <x:conditionalFormatting sqref="N21:N24">
    <x:cfRule type="expression" dxfId="8" priority="9">
      <x:formula>N21="PASS"</x:formula>
    </x:cfRule>
    <x:cfRule type="expression" dxfId="9" priority="10">
      <x:formula>N21="FAIL"</x:formula>
    </x:cfRule>
  </x:conditionalFormatting>
  <x:pageMargins left="0.7" right="0.7" top="0.75" bottom="0.75" header="0.3" footer="0.3"/>
</x:worksheet>
</file>

<file path=xl/worksheets/sheet3.xml><?xml version="1.0" encoding="utf-8"?>
<x:worksheet xmlns:x="http://schemas.openxmlformats.org/spreadsheetml/2006/main">
  <x:sheetFormatPr defaultRowHeight="15"/>
  <x:cols>
    <x:col min="1" max="1" width="25" hidden="0" customWidth="1"/>
    <x:col min="2" max="2" width="27" hidden="0" customWidth="1"/>
    <x:col min="3" max="3" width="48" hidden="0" customWidth="1"/>
    <x:col min="4" max="4" width="34" hidden="0" customWidth="1"/>
    <x:col min="5" max="5" width="36" hidden="0" customWidth="1"/>
    <x:col min="6" max="6" width="10" hidden="0" customWidth="1"/>
    <x:col min="7" max="7" width="10" hidden="0" customWidth="1"/>
  </x:cols>
  <x:sheetData>
    <x:row r="1">
      <x:c r="A1" s="4" t="str">
        <x:v>D2-2b: Trajectory Quality Rubric (100 points)</x:v>
      </x:c>
      <x:c r="B1" s="4"/>
      <x:c r="C1" s="4"/>
      <x:c r="D1" s="4"/>
      <x:c r="E1" s="4"/>
      <x:c r="F1" s="4"/>
      <x:c r="G1" s="4"/>
    </x:row>
    <x:row r="2">
      <x:c r="A2" s="61"/>
      <x:c r="B2" s="61"/>
      <x:c r="C2" s="61"/>
      <x:c r="D2" s="61"/>
      <x:c r="E2" s="61"/>
      <x:c r="F2" s="61"/>
      <x:c r="G2" s="61"/>
    </x:row>
    <x:row r="3">
      <x:c r="A3" s="61"/>
      <x:c r="B3" s="61"/>
      <x:c r="C3" s="61"/>
      <x:c r="D3" s="61"/>
      <x:c r="E3" s="61"/>
      <x:c r="F3" s="61"/>
      <x:c r="G3" s="61"/>
    </x:row>
    <x:row r="4">
      <x:c r="A4" s="82" t="str">
        <x:v>Evaluate the complete state → plan → tool call → observation → update → next action → stopping/decision trajectory. Alternative tool orders may earn full credit only if they respect the item-specific objective, control degrees of freedom, and stopping rule.</x:v>
      </x:c>
      <x:c r="B4" s="82"/>
      <x:c r="C4" s="82"/>
      <x:c r="D4" s="82"/>
      <x:c r="E4" s="82"/>
      <x:c r="F4" s="82"/>
      <x:c r="G4" s="82"/>
    </x:row>
    <x:row r="5">
      <x:c r="A5" s="82"/>
      <x:c r="B5" s="82"/>
      <x:c r="C5" s="82"/>
      <x:c r="D5" s="82"/>
      <x:c r="E5" s="82"/>
      <x:c r="F5" s="82"/>
      <x:c r="G5" s="82"/>
    </x:row>
    <x:row r="6">
      <x:c r="A6" s="61"/>
      <x:c r="B6" s="61"/>
      <x:c r="C6" s="61"/>
      <x:c r="D6" s="61"/>
      <x:c r="E6" s="61"/>
      <x:c r="F6" s="61"/>
      <x:c r="G6" s="61"/>
    </x:row>
    <x:row r="7">
      <x:c r="A7" s="61"/>
      <x:c r="B7" s="61"/>
      <x:c r="C7" s="61"/>
      <x:c r="D7" s="61"/>
      <x:c r="E7" s="61"/>
      <x:c r="F7" s="61"/>
      <x:c r="G7" s="61"/>
    </x:row>
    <x:row r="8">
      <x:c r="A8" s="88" t="str">
        <x:v>Trajectory dimension</x:v>
      </x:c>
      <x:c r="B8" s="88" t="str">
        <x:v>Evaluation focus</x:v>
      </x:c>
      <x:c r="C8" s="88" t="str">
        <x:v>Full-credit evidence</x:v>
      </x:c>
      <x:c r="D8" s="88" t="str">
        <x:v>Partial credit</x:v>
      </x:c>
      <x:c r="E8" s="88" t="str">
        <x:v>Critical failure mode</x:v>
      </x:c>
      <x:c r="F8" s="88" t="str">
        <x:v>Weight</x:v>
      </x:c>
      <x:c r="G8" s="88" t="str">
        <x:v>Score</x:v>
      </x:c>
    </x:row>
    <x:row r="9">
      <x:c r="A9" s="65" t="str">
        <x:v>TQ1 Problem framing</x:v>
      </x:c>
      <x:c r="B9" s="65" t="str">
        <x:v>Recognize D2-2b and the item-specific objective</x:v>
      </x:c>
      <x:c r="C9" s="65" t="str">
        <x:v>Optimize minimum movement rather than minimum Pressure; keep feed, membrane, and area fixed</x:v>
      </x:c>
      <x:c r="D9" s="65" t="str">
        <x:v>Understands setpoint correction but misses part of the special objective</x:v>
      </x:c>
      <x:c r="E9" s="65" t="str">
        <x:v>Changes feed/membrane or turns the task into design</x:v>
      </x:c>
      <x:c r="F9" s="65" t="n">
        <x:v>15</x:v>
      </x:c>
      <x:c r="G9" s="83"/>
    </x:row>
    <x:row r="10">
      <x:c r="A10" s="65" t="str">
        <x:v>TQ2 Plan quality</x:v>
      </x:c>
      <x:c r="B10" s="65" t="str">
        <x:v>Decompose in an information-efficient order</x:v>
      </x:c>
      <x:c r="C10" s="65" t="str">
        <x:v>Use evidence-driven branching/boundary logic rather than enumeration</x:v>
      </x:c>
      <x:c r="D10" s="65" t="str">
        <x:v>Mostly reasonable but skips a key stage</x:v>
      </x:c>
      <x:c r="E10" s="65" t="str">
        <x:v>Brute-force grid or ignores stated priority</x:v>
      </x:c>
      <x:c r="F10" s="65" t="n">
        <x:v>15</x:v>
      </x:c>
      <x:c r="G10" s="83"/>
    </x:row>
    <x:row r="11">
      <x:c r="A11" s="65" t="str">
        <x:v>TQ3 Tool-call correctness</x:v>
      </x:c>
      <x:c r="B11" s="65" t="str">
        <x:v>Change only allowed variables in simulate_ro</x:v>
      </x:c>
      <x:c r="C11" s="65" t="str">
        <x:v>All comparisons keep identical feed/membrane parameters; Pressure/Flow match the item</x:v>
      </x:c>
      <x:c r="D11" s="65" t="str">
        <x:v>Minor input/unit issue</x:v>
      </x:c>
      <x:c r="E11" s="65" t="str">
        <x:v>Changes salinity, temperature, area, A, or B</x:v>
      </x:c>
      <x:c r="F11" s="65" t="n">
        <x:v>20</x:v>
      </x:c>
      <x:c r="G11" s="83"/>
    </x:row>
    <x:row r="12">
      <x:c r="A12" s="65" t="str">
        <x:v>TQ4 Observation interpretation</x:v>
      </x:c>
      <x:c r="B12" s="65" t="str">
        <x:v>Read active constraints and FAIL/PASS precisely</x:v>
      </x:c>
      <x:c r="C12" s="65" t="str">
        <x:v>At 53/4.30, only Recovery≈46.047% fails. Candidate 52.90/4.30 passes all constraints with movement cost N=0.10/0.05=2. Candidate 5</x:v>
      </x:c>
      <x:c r="D12" s="65" t="str">
        <x:v>Mostly correct but misses one boundary or failure mechanism</x:v>
      </x:c>
      <x:c r="E12" s="65" t="str">
        <x:v>Rounds near-fail to PASS or treats one passing metric as overall success</x:v>
      </x:c>
      <x:c r="F12" s="65" t="n">
        <x:v>20</x:v>
      </x:c>
      <x:c r="G12" s="83"/>
    </x:row>
    <x:row r="13">
      <x:c r="A13" s="65" t="str">
        <x:v>TQ5 Adaptation and pruning</x:v>
      </x:c>
      <x:c r="B13" s="65" t="str">
        <x:v>Let each result determine the next action</x:v>
      </x:c>
      <x:c r="C13" s="65" t="str">
        <x:v>Optimize minimum movement rather than minimum Pressure; stop once evidence is sufficient</x:v>
      </x:c>
      <x:c r="D13" s="65" t="str">
        <x:v>Some redundancy</x:v>
      </x:c>
      <x:c r="E13" s="65" t="str">
        <x:v>Continues disproved branches or performs unstructured enumeration</x:v>
      </x:c>
      <x:c r="F13" s="65" t="n">
        <x:v>20</x:v>
      </x:c>
      <x:c r="G13" s="83"/>
    </x:row>
    <x:row r="14">
      <x:c r="A14" s="65" t="str">
        <x:v>TQ6 Final decision</x:v>
      </x:c>
      <x:c r="B14" s="65" t="str">
        <x:v>Deliver the conclusion required by this objective</x:v>
      </x:c>
      <x:c r="C14" s="65" t="str">
        <x:v>.295 passes but N=7+1=8. Therefore, the minimum-movement correction is 52.90 bar / 4.30 kg/s, not the lowest-Pressure solution from the original task.</x:v>
      </x:c>
      <x:c r="D14" s="65" t="str">
        <x:v>Correct endpoint/conclusion with weak rationale</x:v>
      </x:c>
      <x:c r="E14" s="65" t="str">
        <x:v>Blindly applies the original 'minimum Pressure' objective</x:v>
      </x:c>
      <x:c r="F14" s="65" t="n">
        <x:v>10</x:v>
      </x:c>
      <x:c r="G14" s="83"/>
    </x:row>
    <x:row r="15">
      <x:c r="A15" s="61"/>
      <x:c r="B15" s="61"/>
      <x:c r="C15" s="61"/>
      <x:c r="D15" s="61"/>
      <x:c r="E15" s="61"/>
      <x:c r="F15" s="61"/>
      <x:c r="G15" s="61"/>
    </x:row>
    <x:row r="16">
      <x:c r="A16" s="61"/>
      <x:c r="B16" s="61"/>
      <x:c r="C16" s="61"/>
      <x:c r="D16" s="61"/>
      <x:c r="E16" s="84" t="str">
        <x:v>Trajectory Quality Total</x:v>
      </x:c>
      <x:c r="F16" s="84" t="n">
        <x:v>100</x:v>
      </x:c>
      <x:c r="G16" s="84" t="n">
        <x:f>SUM(G9:G14)</x:f>
        <x:v>0</x:v>
      </x:c>
    </x:row>
  </x:sheetData>
  <x:mergeCells>
    <x:mergeCell ref="A1:G1"/>
    <x:mergeCell ref="A4:G5"/>
  </x:mergeCells>
  <x:pageMargins left="0.7" right="0.7" top="0.75" bottom="0.75" header="0.3" footer="0.3"/>
</x:worksheet>
</file>

<file path=xl/worksheets/sheet4.xml><?xml version="1.0" encoding="utf-8"?>
<x:worksheet xmlns:x="http://schemas.openxmlformats.org/spreadsheetml/2006/main">
  <x:sheetFormatPr defaultRowHeight="15"/>
  <x:cols>
    <x:col min="1" max="1" width="24" hidden="0" customWidth="1"/>
    <x:col min="2" max="2" width="28" hidden="0" customWidth="1"/>
    <x:col min="3" max="3" width="35" hidden="0" customWidth="1"/>
    <x:col min="4" max="4" width="35" hidden="0" customWidth="1"/>
    <x:col min="5" max="5" width="35" hidden="0" customWidth="1"/>
    <x:col min="6" max="6" width="48" hidden="0" customWidth="1"/>
    <x:col min="7" max="7" width="10" hidden="0" customWidth="1"/>
  </x:cols>
  <x:sheetData>
    <x:row r="1">
      <x:c r="A1" s="4" t="str">
        <x:v>D2-2b: Tool Usage Efficiency (100 points)</x:v>
      </x:c>
      <x:c r="B1" s="4"/>
      <x:c r="C1" s="4"/>
      <x:c r="D1" s="4"/>
      <x:c r="E1" s="4"/>
      <x:c r="F1" s="4"/>
      <x:c r="G1" s="4"/>
    </x:row>
    <x:row r="2">
      <x:c r="A2" s="61"/>
      <x:c r="B2" s="61"/>
      <x:c r="C2" s="61"/>
      <x:c r="D2" s="61"/>
      <x:c r="E2" s="61"/>
      <x:c r="F2" s="61"/>
      <x:c r="G2" s="61"/>
    </x:row>
    <x:row r="3">
      <x:c r="A3" s="61"/>
      <x:c r="B3" s="61"/>
      <x:c r="C3" s="61"/>
      <x:c r="D3" s="61"/>
      <x:c r="E3" s="61"/>
      <x:c r="F3" s="61"/>
      <x:c r="G3" s="61"/>
    </x:row>
    <x:row r="4">
      <x:c r="A4" s="82" t="str">
        <x:v>Tool efficiency is scored separately (100 points). The primary scientific tool is simulate_ro. Item focus: ~4 evidence points; the key is evaluating feasible candidates against the stated movement objective, not pressure minimization. Call count is secondary to information gain, adaptation, pruning, and evidence-based stopping.</x:v>
      </x:c>
      <x:c r="B4" s="82"/>
      <x:c r="C4" s="82"/>
      <x:c r="D4" s="82"/>
      <x:c r="E4" s="82"/>
      <x:c r="F4" s="82"/>
      <x:c r="G4" s="82"/>
    </x:row>
    <x:row r="5">
      <x:c r="A5" s="82"/>
      <x:c r="B5" s="82"/>
      <x:c r="C5" s="82"/>
      <x:c r="D5" s="82"/>
      <x:c r="E5" s="82"/>
      <x:c r="F5" s="82"/>
      <x:c r="G5" s="82"/>
    </x:row>
    <x:row r="6">
      <x:c r="A6" s="61"/>
      <x:c r="B6" s="61"/>
      <x:c r="C6" s="61"/>
      <x:c r="D6" s="61"/>
      <x:c r="E6" s="61"/>
      <x:c r="F6" s="61"/>
      <x:c r="G6" s="61"/>
    </x:row>
    <x:row r="7">
      <x:c r="A7" s="61"/>
      <x:c r="B7" s="61"/>
      <x:c r="C7" s="61"/>
      <x:c r="D7" s="61"/>
      <x:c r="E7" s="61"/>
      <x:c r="F7" s="61"/>
      <x:c r="G7" s="61"/>
    </x:row>
    <x:row r="8">
      <x:c r="A8" s="88" t="str">
        <x:v>Efficiency dimension</x:v>
      </x:c>
      <x:c r="B8" s="88" t="str">
        <x:v>Evaluation focus</x:v>
      </x:c>
      <x:c r="C8" s="88" t="str">
        <x:v>High performance</x:v>
      </x:c>
      <x:c r="D8" s="88" t="str">
        <x:v>Medium performance</x:v>
      </x:c>
      <x:c r="E8" s="88" t="str">
        <x:v>Low performance</x:v>
      </x:c>
      <x:c r="F8" s="88" t="str">
        <x:v>Item-specific observation</x:v>
      </x:c>
      <x:c r="G8" s="88" t="str">
        <x:v>Points</x:v>
      </x:c>
    </x:row>
    <x:row r="9">
      <x:c r="A9" s="65" t="str">
        <x:v>E1 Tool selection</x:v>
      </x:c>
      <x:c r="B9" s="65" t="str">
        <x:v>Use only tools relevant to operating setpoints</x:v>
      </x:c>
      <x:c r="C9" s="65" t="str">
        <x:v>Primarily simulate_ro; no unrelated plant/chemistry calls</x:v>
      </x:c>
      <x:c r="D9" s="65" t="str">
        <x:v>Minor irrelevant calls</x:v>
      </x:c>
      <x:c r="E9" s="65" t="str">
        <x:v>Wrong tool or excessive metadata</x:v>
      </x:c>
      <x:c r="F9" s="65" t="str">
        <x:v>~4 evidence points; the key is evaluating feasible candidates against the stated movement objective, not pressure minimization.</x:v>
      </x:c>
      <x:c r="G9" s="65" t="n">
        <x:v>20</x:v>
      </x:c>
    </x:row>
    <x:row r="10">
      <x:c r="A10" s="65" t="str">
        <x:v>E2 Information gain</x:v>
      </x:c>
      <x:c r="B10" s="65" t="str">
        <x:v>Test the most discriminating points first</x:v>
      </x:c>
      <x:c r="C10" s="65" t="str">
        <x:v>Key branch/boundary/upper-corner tests first</x:v>
      </x:c>
      <x:c r="D10" s="65" t="str">
        <x:v>Mostly reasonable order</x:v>
      </x:c>
      <x:c r="E10" s="65" t="str">
        <x:v>Dense full-grid search first</x:v>
      </x:c>
      <x:c r="F10" s="65" t="str">
        <x:v>~4 evidence points; the key is evaluating feasible candidates against the stated movement objective, not pressure minimization.</x:v>
      </x:c>
      <x:c r="G10" s="65" t="n">
        <x:v>20</x:v>
      </x:c>
    </x:row>
    <x:row r="11">
      <x:c r="A11" s="65" t="str">
        <x:v>E3 Adaptation</x:v>
      </x:c>
      <x:c r="B11" s="65" t="str">
        <x:v>Let each result trigger the next call</x:v>
      </x:c>
      <x:c r="C11" s="65" t="str">
        <x:v>FAIL/PASS directly determines the next action</x:v>
      </x:c>
      <x:c r="D11" s="65" t="str">
        <x:v>Partly adaptive</x:v>
      </x:c>
      <x:c r="E11" s="65" t="str">
        <x:v>Preset enumeration ignores results</x:v>
      </x:c>
      <x:c r="F11" s="65" t="str">
        <x:v>~4 evidence points; the key is evaluating feasible candidates against the stated movement objective, not pressure minimization.</x:v>
      </x:c>
      <x:c r="G11" s="65" t="n">
        <x:v>20</x:v>
      </x:c>
    </x:row>
    <x:row r="12">
      <x:c r="A12" s="65" t="str">
        <x:v>E4 Pruning</x:v>
      </x:c>
      <x:c r="B12" s="65" t="str">
        <x:v>Stop invalid branches once proven</x:v>
      </x:c>
      <x:c r="C12" s="65" t="str">
        <x:v>Prompt stopping; no equivalent repeats</x:v>
      </x:c>
      <x:c r="D12" s="65" t="str">
        <x:v>Some repetition</x:v>
      </x:c>
      <x:c r="E12" s="65" t="str">
        <x:v>Keeps testing disproved options</x:v>
      </x:c>
      <x:c r="F12" s="65" t="str">
        <x:v>~4 evidence points; the key is evaluating feasible candidates against the stated movement objective, not pressure minimization.</x:v>
      </x:c>
      <x:c r="G12" s="65" t="n">
        <x:v>20</x:v>
      </x:c>
    </x:row>
    <x:row r="13">
      <x:c r="A13" s="65" t="str">
        <x:v>E5 Convergence</x:v>
      </x:c>
      <x:c r="B13" s="65" t="str">
        <x:v>Use minimal but sufficient evidence</x:v>
      </x:c>
      <x:c r="C13" s="65" t="str">
        <x:v>Call budget matches the item structure</x:v>
      </x:c>
      <x:c r="D13" s="65" t="str">
        <x:v>2–3 extra calls but still reasonable</x:v>
      </x:c>
      <x:c r="E13" s="65" t="str">
        <x:v>Too many calls or missing critical evidence</x:v>
      </x:c>
      <x:c r="F13" s="65" t="str">
        <x:v>~4 evidence points; the key is evaluating feasible candidates against the stated movement objective, not pressure minimization.</x:v>
      </x:c>
      <x:c r="G13" s="65" t="n">
        <x:v>20</x:v>
      </x:c>
    </x:row>
    <x:row r="14">
      <x:c r="A14" s="61"/>
      <x:c r="B14" s="61"/>
      <x:c r="C14" s="61"/>
      <x:c r="D14" s="61"/>
      <x:c r="E14" s="61"/>
      <x:c r="F14" s="61"/>
      <x:c r="G14" s="61"/>
    </x:row>
    <x:row r="15">
      <x:c r="A15" s="61"/>
      <x:c r="B15" s="61"/>
      <x:c r="C15" s="61"/>
      <x:c r="D15" s="61"/>
      <x:c r="E15" s="61"/>
      <x:c r="F15" s="84" t="str">
        <x:v>Tool Efficiency Total</x:v>
      </x:c>
      <x:c r="G15" s="84" t="n">
        <x:v>100</x:v>
      </x:c>
    </x:row>
  </x:sheetData>
  <x:mergeCells>
    <x:mergeCell ref="A1:G1"/>
    <x:mergeCell ref="A4:G5"/>
  </x:mergeCells>
  <x:pageMargins left="0.7" right="0.7" top="0.75" bottom="0.75" header="0.3" footer="0.3"/>
</x:worksheet>
</file>