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dbb98328944a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stion" sheetId="1" r:id="R256734ad29054038"/>
    <x:sheet xmlns:r="http://schemas.openxmlformats.org/officeDocument/2006/relationships" name="Gold_Answer" sheetId="2" r:id="R7eec38f58ca4441e"/>
    <x:sheet xmlns:r="http://schemas.openxmlformats.org/officeDocument/2006/relationships" name="Trajectory_Rubric" sheetId="3" r:id="R8f9db02c280f49f2"/>
    <x:sheet xmlns:r="http://schemas.openxmlformats.org/officeDocument/2006/relationships" name="Tool_Efficiency" sheetId="4" r:id="Rdc698f8186af47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"/>
    <x:numFmt numFmtId="201" formatCode="0.00"/>
    <x:numFmt numFmtId="202" formatCode="0"/>
  </x:numFmts>
  <x:fonts count="1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i/>
      <x:sz val="11"/>
      <x:color rgb="FF7F6000"/>
      <x:name val="Carlito"/>
    </x:font>
    <x:font>
      <x:b/>
      <x:sz val="15"/>
      <x:color rgb="FFFFFFFF"/>
      <x:name val="Carlito"/>
    </x:font>
    <x:font>
      <x:b/>
      <x:sz val="11"/>
      <x:color rgb="FF385723"/>
      <x:name val="Carlito"/>
    </x:font>
    <x:font>
      <x:sz val="11"/>
      <x:color rgb="FF17365D"/>
      <x:name val="Carlito"/>
    </x:font>
    <x:font>
      <x:b/>
      <x:sz val="10"/>
      <x:color rgb="FF1F1F1F"/>
      <x:name val="Arial"/>
    </x:font>
    <x:font>
      <x:sz val="10"/>
      <x:color rgb="FF1F1F1F"/>
      <x:name val="Arial"/>
    </x:font>
    <x:font>
      <x:i/>
      <x:sz val="10"/>
      <x:color rgb="FF1F1F1F"/>
      <x:name val="Arial"/>
    </x:font>
    <x:font>
      <x:b/>
      <x:sz val="16"/>
      <x:color rgb="FFFFFFFF"/>
      <x:name val="Arial"/>
    </x:font>
    <x:font>
      <x:b/>
      <x:sz val="10"/>
      <x:color rgb="FFFFFFFF"/>
      <x:name val="Arial"/>
    </x:font>
    <x:font>
      <x:b/>
      <x:sz val="15"/>
      <x:color rgb="FFFFFFF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DEBF7"/>
      </x:patternFill>
    </x:fill>
    <x:fill>
      <x:patternFill patternType="solid">
        <x:fgColor rgb="FF2F75B5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</x:fills>
  <x:borders count="2">
    <x:border/>
    <x:border/>
  </x:borders>
  <x:cellStyleXfs count="1">
    <x:xf numFmtId="0" fontId="0" fillId="0" borderId="0"/>
  </x:cellStyleXfs>
  <x:cellXfs count="10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/>
    <x:xf numFmtId="0" fontId="6" fillId="6" borderId="1" xfId="0" applyNumberFormat="1" applyFont="1" applyFill="1" applyBorder="1"/>
    <x:xf numFmtId="0" fontId="6" fillId="6" borderId="1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vertical="center" wrapText="1"/>
    </x:xf>
    <x:xf numFmtId="0" fontId="6" fillId="6" borderId="1" xfId="0" applyNumberFormat="1" applyFont="1" applyFill="1" applyBorder="1" applyAlignment="1">
      <x:alignment vertical="center" wrapText="1"/>
    </x:xf>
    <x:xf numFmtId="0" fontId="7" fillId="3" borderId="0" xfId="0" applyNumberFormat="1" applyFont="1" applyFill="1" applyBorder="1"/>
    <x:xf numFmtId="0" fontId="7" fillId="3" borderId="0" xfId="0" applyNumberFormat="1" applyFont="1" applyFill="1" applyBorder="1" applyAlignment="1">
      <x:alignment wrapText="1"/>
    </x:xf>
    <x:xf numFmtId="0" fontId="7" fillId="3" borderId="1" xfId="0" applyNumberFormat="1" applyFont="1" applyFill="1" applyBorder="1"/>
    <x:xf numFmtId="0" fontId="7" fillId="3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0" fontId="8" fillId="2" borderId="0" xfId="0" applyNumberFormat="1" applyFont="1" applyFill="1" applyBorder="1" applyAlignment="1">
      <x:alignment horizontal="center" vertical="center"/>
    </x:xf>
    <x:xf numFmtId="0" fontId="9" fillId="0" borderId="0" xfId="0" applyNumberFormat="1" applyFont="1" applyFill="1" applyBorder="1"/>
    <x:xf numFmtId="0" fontId="8" fillId="3" borderId="0" xfId="0" applyNumberFormat="1" applyFont="1" applyFill="1" applyBorder="1" applyAlignment="1">
      <x:alignment vertical="center" wrapText="1"/>
    </x:xf>
    <x:xf numFmtId="0" fontId="8" fillId="3" borderId="0" xfId="0" applyNumberFormat="1" applyFont="1" applyFill="1" applyBorder="1"/>
    <x:xf numFmtId="0" fontId="8" fillId="4" borderId="0" xfId="0" applyNumberFormat="1" applyFont="1" applyFill="1" applyBorder="1" applyAlignment="1">
      <x:alignment horizontal="center"/>
    </x:xf>
    <x:xf numFmtId="0" fontId="9" fillId="0" borderId="0" xfId="0" applyNumberFormat="1" applyFont="1" applyFill="1" applyBorder="1" applyAlignment="1">
      <x:alignment wrapText="1"/>
    </x:xf>
    <x:xf numFmtId="0" fontId="10" fillId="5" borderId="0" xfId="0" applyNumberFormat="1" applyFont="1" applyFill="1" applyBorder="1" applyAlignment="1">
      <x:alignment vertical="center" wrapText="1"/>
    </x:xf>
    <x:xf numFmtId="0" fontId="8" fillId="2" borderId="1" xfId="0" applyNumberFormat="1" applyFont="1" applyFill="1" applyBorder="1" applyAlignment="1">
      <x:alignment horizontal="center" vertical="center"/>
    </x:xf>
    <x:xf numFmtId="0" fontId="9" fillId="0" borderId="1" xfId="0" applyNumberFormat="1" applyFont="1" applyFill="1" applyBorder="1"/>
    <x:xf numFmtId="0" fontId="8" fillId="3" borderId="1" xfId="0" applyNumberFormat="1" applyFont="1" applyFill="1" applyBorder="1" applyAlignment="1">
      <x:alignment vertical="center" wrapText="1"/>
    </x:xf>
    <x:xf numFmtId="0" fontId="8" fillId="3" borderId="1" xfId="0" applyNumberFormat="1" applyFont="1" applyFill="1" applyBorder="1"/>
    <x:xf numFmtId="0" fontId="8" fillId="4" borderId="1" xfId="0" applyNumberFormat="1" applyFont="1" applyFill="1" applyBorder="1" applyAlignment="1">
      <x:alignment horizontal="center"/>
    </x:xf>
    <x:xf numFmtId="0" fontId="9" fillId="0" borderId="1" xfId="0" applyNumberFormat="1" applyFont="1" applyFill="1" applyBorder="1" applyAlignment="1">
      <x:alignment wrapText="1"/>
    </x:xf>
    <x:xf numFmtId="0" fontId="10" fillId="5" borderId="1" xfId="0" applyNumberFormat="1" applyFont="1" applyFill="1" applyBorder="1" applyAlignment="1">
      <x:alignment vertical="center" wrapText="1"/>
    </x:xf>
    <x:xf numFmtId="0" fontId="8" fillId="2" borderId="0" xfId="0" applyNumberFormat="1" applyFont="1" applyFill="1" applyBorder="1" applyAlignment="1">
      <x:alignment horizontal="center"/>
    </x:xf>
    <x:xf numFmtId="0" fontId="8" fillId="6" borderId="0" xfId="0" applyNumberFormat="1" applyFont="1" applyFill="1" applyBorder="1" applyAlignment="1">
      <x:alignment wrapText="1"/>
    </x:xf>
    <x:xf numFmtId="0" fontId="8" fillId="4" borderId="0" xfId="0" applyNumberFormat="1" applyFont="1" applyFill="1" applyBorder="1" applyAlignment="1">
      <x:alignment horizontal="center" wrapText="1"/>
    </x:xf>
    <x:xf numFmtId="200" fontId="9" fillId="0" borderId="0" xfId="0" applyNumberFormat="1" applyFont="1" applyFill="1" applyBorder="1" applyAlignment="1">
      <x:alignment wrapText="1"/>
    </x:xf>
    <x:xf numFmtId="201" fontId="9" fillId="0" borderId="0" xfId="0" applyNumberFormat="1" applyFont="1" applyFill="1" applyBorder="1" applyAlignment="1">
      <x:alignment wrapText="1"/>
    </x:xf>
    <x:xf numFmtId="0" fontId="8" fillId="6" borderId="0" xfId="0" applyNumberFormat="1" applyFont="1" applyFill="1" applyBorder="1" applyAlignment="1">
      <x:alignment vertical="center" wrapText="1"/>
    </x:xf>
    <x:xf numFmtId="0" fontId="8" fillId="2" borderId="1" xfId="0" applyNumberFormat="1" applyFont="1" applyFill="1" applyBorder="1" applyAlignment="1">
      <x:alignment horizontal="center"/>
    </x:xf>
    <x:xf numFmtId="0" fontId="8" fillId="6" borderId="1" xfId="0" applyNumberFormat="1" applyFont="1" applyFill="1" applyBorder="1" applyAlignment="1">
      <x:alignment wrapText="1"/>
    </x:xf>
    <x:xf numFmtId="0" fontId="8" fillId="4" borderId="1" xfId="0" applyNumberFormat="1" applyFont="1" applyFill="1" applyBorder="1" applyAlignment="1">
      <x:alignment horizontal="center" wrapText="1"/>
    </x:xf>
    <x:xf numFmtId="200" fontId="9" fillId="0" borderId="1" xfId="0" applyNumberFormat="1" applyFont="1" applyFill="1" applyBorder="1" applyAlignment="1">
      <x:alignment wrapText="1"/>
    </x:xf>
    <x:xf numFmtId="201" fontId="9" fillId="0" borderId="1" xfId="0" applyNumberFormat="1" applyFont="1" applyFill="1" applyBorder="1" applyAlignment="1">
      <x:alignment wrapText="1"/>
    </x:xf>
    <x:xf numFmtId="0" fontId="8" fillId="6" borderId="1" xfId="0" applyNumberFormat="1" applyFont="1" applyFill="1" applyBorder="1" applyAlignment="1">
      <x:alignment vertical="center" wrapText="1"/>
    </x:xf>
    <x:xf numFmtId="0" fontId="9" fillId="3" borderId="0" xfId="0" applyNumberFormat="1" applyFont="1" applyFill="1" applyBorder="1" applyAlignment="1">
      <x:alignment wrapText="1"/>
    </x:xf>
    <x:xf numFmtId="202" fontId="9" fillId="0" borderId="0" xfId="0" applyNumberFormat="1" applyFont="1" applyFill="1" applyBorder="1" applyAlignment="1">
      <x:alignment wrapText="1"/>
    </x:xf>
    <x:xf numFmtId="0" fontId="9" fillId="5" borderId="0" xfId="0" applyNumberFormat="1" applyFont="1" applyFill="1" applyBorder="1" applyAlignment="1">
      <x:alignment wrapText="1"/>
    </x:xf>
    <x:xf numFmtId="0" fontId="8" fillId="6" borderId="0" xfId="0" applyNumberFormat="1" applyFont="1" applyFill="1" applyBorder="1"/>
    <x:xf numFmtId="0" fontId="9" fillId="3" borderId="1" xfId="0" applyNumberFormat="1" applyFont="1" applyFill="1" applyBorder="1" applyAlignment="1">
      <x:alignment wrapText="1"/>
    </x:xf>
    <x:xf numFmtId="202" fontId="9" fillId="0" borderId="1" xfId="0" applyNumberFormat="1" applyFont="1" applyFill="1" applyBorder="1" applyAlignment="1">
      <x:alignment wrapText="1"/>
    </x:xf>
    <x:xf numFmtId="0" fontId="9" fillId="5" borderId="1" xfId="0" applyNumberFormat="1" applyFont="1" applyFill="1" applyBorder="1" applyAlignment="1">
      <x:alignment wrapText="1"/>
    </x:xf>
    <x:xf numFmtId="0" fontId="8" fillId="6" borderId="1" xfId="0" applyNumberFormat="1" applyFont="1" applyFill="1" applyBorder="1"/>
    <x:xf numFmtId="0" fontId="11" fillId="2" borderId="0" xfId="0" applyNumberFormat="1" applyFont="1" applyFill="1" applyBorder="1" applyAlignment="1">
      <x:alignment horizontal="center" vertical="center"/>
    </x:xf>
    <x:xf numFmtId="0" fontId="11" fillId="2" borderId="1" xfId="0" applyNumberFormat="1" applyFont="1" applyFill="1" applyBorder="1" applyAlignment="1">
      <x:alignment horizontal="center" vertical="center"/>
    </x:xf>
    <x:xf numFmtId="0" fontId="12" fillId="4" borderId="0" xfId="0" applyNumberFormat="1" applyFont="1" applyFill="1" applyBorder="1" applyAlignment="1">
      <x:alignment horizontal="center"/>
    </x:xf>
    <x:xf numFmtId="0" fontId="12" fillId="4" borderId="1" xfId="0" applyNumberFormat="1" applyFont="1" applyFill="1" applyBorder="1" applyAlignment="1">
      <x:alignment horizontal="center"/>
    </x:xf>
    <x:xf numFmtId="0" fontId="13" fillId="2" borderId="0" xfId="0" applyNumberFormat="1" applyFont="1" applyFill="1" applyBorder="1" applyAlignment="1">
      <x:alignment horizontal="center"/>
    </x:xf>
    <x:xf numFmtId="0" fontId="13" fillId="2" borderId="1" xfId="0" applyNumberFormat="1" applyFont="1" applyFill="1" applyBorder="1" applyAlignment="1">
      <x:alignment horizontal="center"/>
    </x:xf>
    <x:xf numFmtId="0" fontId="12" fillId="4" borderId="0" xfId="0" applyNumberFormat="1" applyFont="1" applyFill="1" applyBorder="1" applyAlignment="1">
      <x:alignment horizontal="center" wrapText="1"/>
    </x:xf>
    <x:xf numFmtId="0" fontId="12" fillId="4" borderId="1" xfId="0" applyNumberFormat="1" applyFont="1" applyFill="1" applyBorder="1" applyAlignment="1">
      <x:alignment horizontal="center" wrapText="1"/>
    </x:xf>
  </x:cellXfs>
  <x:cellStyles count="1">
    <x:cellStyle name="Normal" xfId="0"/>
  </x:cellStyles>
  <x:dxfs count="6">
    <x:dxf>
      <x:font>
        <x:color rgb="FF385723"/>
      </x:font>
      <x:fill>
        <x:patternFill patternType="solid">
          <x:bgColor rgb="FFE2F0D9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385723"/>
      </x:font>
      <x:fill>
        <x:patternFill patternType="solid">
          <x:bgColor rgb="FFE2F0D9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385723"/>
      </x:font>
      <x:fill>
        <x:patternFill patternType="solid">
          <x:bgColor rgb="FFE2F0D9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1a7c838e8c4af6" /><Relationship Type="http://schemas.openxmlformats.org/officeDocument/2006/relationships/theme" Target="/xl/theme/theme1.xml" Id="R2122835f9cd344fb" /><Relationship Type="http://schemas.openxmlformats.org/officeDocument/2006/relationships/sharedStrings" Target="/xl/sharedStrings.xml" Id="Rbeb9ca6d454b4906" /><Relationship Type="http://schemas.openxmlformats.org/officeDocument/2006/relationships/worksheet" Target="/xl/worksheets/sheet1.xml" Id="R256734ad29054038" /><Relationship Type="http://schemas.openxmlformats.org/officeDocument/2006/relationships/worksheet" Target="/xl/worksheets/sheet2.xml" Id="R7eec38f58ca4441e" /><Relationship Type="http://schemas.openxmlformats.org/officeDocument/2006/relationships/worksheet" Target="/xl/worksheets/sheet3.xml" Id="R8f9db02c280f49f2" /><Relationship Type="http://schemas.openxmlformats.org/officeDocument/2006/relationships/worksheet" Target="/xl/worksheets/sheet4.xml" Id="Rdc698f8186af475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6" hidden="0" customWidth="1"/>
    <x:col min="3" max="3" width="16" hidden="0" customWidth="1"/>
    <x:col min="4" max="4" width="24" hidden="0" customWidth="1"/>
    <x:col min="5" max="5" width="3" hidden="0" customWidth="1"/>
    <x:col min="6" max="6" width="28" hidden="0" customWidth="1"/>
    <x:col min="7" max="7" width="24" hidden="0" customWidth="1"/>
    <x:col min="8" max="8" width="30" hidden="0" customWidth="1"/>
  </x:cols>
  <x:sheetData>
    <x:row r="1" ht="30" customHeight="1">
      <x:c r="A1" s="96" t="str">
        <x:v>D2-2a: Minimum Pressure Compensation after a Salinity Shock</x:v>
      </x:c>
      <x:c r="B1" s="96"/>
      <x:c r="C1" s="96"/>
      <x:c r="D1" s="96"/>
      <x:c r="E1" s="96"/>
      <x:c r="F1" s="96"/>
      <x:c r="G1" s="96"/>
      <x:c r="H1" s="96"/>
    </x:row>
    <x:row r="2">
      <x:c r="A2" s="63"/>
      <x:c r="B2" s="63"/>
      <x:c r="C2" s="63"/>
      <x:c r="D2" s="63"/>
      <x:c r="E2" s="63"/>
      <x:c r="F2" s="63"/>
      <x:c r="G2" s="63"/>
      <x:c r="H2" s="63"/>
    </x:row>
    <x:row r="3">
      <x:c r="A3" s="63"/>
      <x:c r="B3" s="63"/>
      <x:c r="C3" s="63"/>
      <x:c r="D3" s="63"/>
      <x:c r="E3" s="63"/>
      <x:c r="F3" s="63"/>
      <x:c r="G3" s="63"/>
      <x:c r="H3" s="63"/>
    </x:row>
    <x:row r="4" ht="34" customHeight="1">
      <x:c r="A4" s="64" t="str">
        <x:v>An SWRO train normally operates at a NaCl mass fraction of 0.030. A tidal-mixing event abruptly raises feed salinity to 0.033. Membrane properties, area, temperature, and feed flow are fixed; only the high-pressure-pump setpoint may be changed. Quantify the same-setpoint deterioration first, then restore all constraints with the smallest tested pressure increase. Production recovery alone is not sufficient.</x:v>
      </x:c>
      <x:c r="B4" s="64"/>
      <x:c r="C4" s="64"/>
      <x:c r="D4" s="64"/>
      <x:c r="E4" s="64"/>
      <x:c r="F4" s="64"/>
      <x:c r="G4" s="64"/>
      <x:c r="H4" s="64"/>
    </x:row>
    <x:row r="5" ht="34" customHeight="1">
      <x:c r="A5" s="64"/>
      <x:c r="B5" s="64"/>
      <x:c r="C5" s="64"/>
      <x:c r="D5" s="64"/>
      <x:c r="E5" s="64"/>
      <x:c r="F5" s="64"/>
      <x:c r="G5" s="64"/>
      <x:c r="H5" s="64"/>
    </x:row>
    <x:row r="6">
      <x:c r="A6" s="63"/>
      <x:c r="B6" s="63"/>
      <x:c r="C6" s="63"/>
      <x:c r="D6" s="63"/>
      <x:c r="E6" s="63"/>
      <x:c r="F6" s="63"/>
      <x:c r="G6" s="63"/>
      <x:c r="H6" s="63"/>
    </x:row>
    <x:row r="7">
      <x:c r="A7" s="63"/>
      <x:c r="B7" s="63"/>
      <x:c r="C7" s="63"/>
      <x:c r="D7" s="63"/>
      <x:c r="E7" s="63"/>
      <x:c r="F7" s="63"/>
      <x:c r="G7" s="63"/>
      <x:c r="H7" s="63"/>
    </x:row>
    <x:row r="8">
      <x:c r="A8" s="65" t="str">
        <x:v>Fixed System Parameters and Normal Operating Point</x:v>
      </x:c>
      <x:c r="B8" s="65"/>
      <x:c r="C8" s="65"/>
      <x:c r="D8" s="65"/>
      <x:c r="E8" s="63"/>
      <x:c r="F8" s="65" t="str">
        <x:v>Disturbance Scenario, Constraints, and Control Ranges</x:v>
      </x:c>
      <x:c r="G8" s="65"/>
      <x:c r="H8" s="65"/>
    </x:row>
    <x:row r="9">
      <x:c r="A9" s="98" t="str">
        <x:v>Category</x:v>
      </x:c>
      <x:c r="B9" s="98" t="str">
        <x:v>Parameter</x:v>
      </x:c>
      <x:c r="C9" s="98" t="str">
        <x:v>Value</x:v>
      </x:c>
      <x:c r="D9" s="98" t="str">
        <x:v>Unit / Note</x:v>
      </x:c>
      <x:c r="E9" s="63"/>
      <x:c r="F9" s="98" t="str">
        <x:v>Item</x:v>
      </x:c>
      <x:c r="G9" s="98" t="str">
        <x:v>Requirement / Value</x:v>
      </x:c>
      <x:c r="H9" s="98" t="str">
        <x:v>Note</x:v>
      </x:c>
    </x:row>
    <x:row r="10">
      <x:c r="A10" s="67" t="str">
        <x:v>Normal feed</x:v>
      </x:c>
      <x:c r="B10" s="67" t="str">
        <x:v>NaCl mass fraction</x:v>
      </x:c>
      <x:c r="C10" s="67" t="n">
        <x:v>0.03</x:v>
      </x:c>
      <x:c r="D10" s="67" t="str">
        <x:v>WaterTAP equivalent</x:v>
      </x:c>
      <x:c r="E10" s="63"/>
      <x:c r="F10" s="67" t="str">
        <x:v>Salinity shock</x:v>
      </x:c>
      <x:c r="G10" s="67" t="n">
        <x:v>0.033</x:v>
      </x:c>
      <x:c r="H10" s="67" t="str">
        <x:v>All other feed conditions unchanged</x:v>
      </x:c>
    </x:row>
    <x:row r="11">
      <x:c r="A11" s="67" t="str">
        <x:v>Normal setpoint</x:v>
      </x:c>
      <x:c r="B11" s="67" t="str">
        <x:v>Feed pressure</x:v>
      </x:c>
      <x:c r="C11" s="67" t="n">
        <x:v>52</x:v>
      </x:c>
      <x:c r="D11" s="67" t="str">
        <x:v>bar</x:v>
      </x:c>
      <x:c r="E11" s="63"/>
      <x:c r="F11" s="67" t="str">
        <x:v>Permeate flow</x:v>
      </x:c>
      <x:c r="G11" s="67" t="str">
        <x:v>≥ 6.30 m³/h</x:v>
      </x:c>
      <x:c r="H11" s="67" t="str">
        <x:v>Hard production constraint</x:v>
      </x:c>
    </x:row>
    <x:row r="12">
      <x:c r="A12" s="67" t="str">
        <x:v>Normal setpoint</x:v>
      </x:c>
      <x:c r="B12" s="67" t="str">
        <x:v>Feed mass flow</x:v>
      </x:c>
      <x:c r="C12" s="67" t="n">
        <x:v>4.073</x:v>
      </x:c>
      <x:c r="D12" s="67" t="str">
        <x:v>kg/s</x:v>
      </x:c>
      <x:c r="E12" s="63"/>
      <x:c r="F12" s="67" t="str">
        <x:v>Recovery</x:v>
      </x:c>
      <x:c r="G12" s="67" t="str">
        <x:v>≤ 46.0%</x:v>
      </x:c>
      <x:c r="H12" s="67" t="str">
        <x:v>Operating limit</x:v>
      </x:c>
    </x:row>
    <x:row r="13">
      <x:c r="A13" s="67" t="str">
        <x:v>Feed</x:v>
      </x:c>
      <x:c r="B13" s="67" t="str">
        <x:v>Temperature</x:v>
      </x:c>
      <x:c r="C13" s="67" t="n">
        <x:v>32</x:v>
      </x:c>
      <x:c r="D13" s="67" t="str">
        <x:v>°C, fixed</x:v>
      </x:c>
      <x:c r="E13" s="63"/>
      <x:c r="F13" s="67" t="str">
        <x:v>Flux</x:v>
      </x:c>
      <x:c r="G13" s="67" t="str">
        <x:v>≤ 18.0 LMH</x:v>
      </x:c>
      <x:c r="H13" s="67" t="str">
        <x:v>Operating limit</x:v>
      </x:c>
    </x:row>
    <x:row r="14">
      <x:c r="A14" s="67" t="str">
        <x:v>Membrane</x:v>
      </x:c>
      <x:c r="B14" s="67" t="str">
        <x:v>Effective membrane area</x:v>
      </x:c>
      <x:c r="C14" s="67" t="n">
        <x:v>400</x:v>
      </x:c>
      <x:c r="D14" s="67" t="str">
        <x:v>m², fixed</x:v>
      </x:c>
      <x:c r="E14" s="63"/>
      <x:c r="F14" s="67" t="str">
        <x:v>Salt rejection</x:v>
      </x:c>
      <x:c r="G14" s="67" t="str">
        <x:v>≥ 98.7%</x:v>
      </x:c>
      <x:c r="H14" s="67" t="str">
        <x:v>Water-quality requirement</x:v>
      </x:c>
    </x:row>
    <x:row r="15">
      <x:c r="A15" s="67" t="str">
        <x:v>Membrane</x:v>
      </x:c>
      <x:c r="B15" s="67" t="str">
        <x:v>A_comp</x:v>
      </x:c>
      <x:c r="C15" s="67" t="n">
        <x:v>4.2e-12</x:v>
      </x:c>
      <x:c r="D15" s="67" t="str">
        <x:v>m/s/Pa, fixed</x:v>
      </x:c>
      <x:c r="E15" s="63"/>
      <x:c r="F15" s="67" t="str">
        <x:v>Permeate NaCl</x:v>
      </x:c>
      <x:c r="G15" s="67" t="str">
        <x:v>≤ 400 mg/L</x:v>
      </x:c>
      <x:c r="H15" s="67" t="str">
        <x:v>Water-quality requirement</x:v>
      </x:c>
    </x:row>
    <x:row r="16">
      <x:c r="A16" s="67" t="str">
        <x:v>Membrane</x:v>
      </x:c>
      <x:c r="B16" s="67" t="str">
        <x:v>B_comp</x:v>
      </x:c>
      <x:c r="C16" s="67" t="n">
        <x:v>3.4e-8</x:v>
      </x:c>
      <x:c r="D16" s="67" t="str">
        <x:v>m/s, fixed</x:v>
      </x:c>
      <x:c r="E16" s="63"/>
      <x:c r="F16" s="67" t="str">
        <x:v>Pressure candidates</x:v>
      </x:c>
      <x:c r="G16" s="67" t="str">
        <x:v>52 / 54 / 54.5 bar</x:v>
      </x:c>
      <x:c r="H16" s="67" t="str">
        <x:v>Validate progressively at 0.5-bar scale</x:v>
      </x:c>
    </x:row>
    <x:row r="17">
      <x:c r="A17" s="67" t="str">
        <x:v>Hydraulics</x:v>
      </x:c>
      <x:c r="B17" s="67" t="str">
        <x:v>Permeate pressure</x:v>
      </x:c>
      <x:c r="C17" s="67" t="n">
        <x:v>1.013</x:v>
      </x:c>
      <x:c r="D17" s="67" t="str">
        <x:v>bar</x:v>
      </x:c>
      <x:c r="E17" s="63"/>
      <x:c r="F17" s="67" t="str">
        <x:v>Feed flow</x:v>
      </x:c>
      <x:c r="G17" s="67" t="str">
        <x:v>Fixed at 4.073 kg/s</x:v>
      </x:c>
      <x:c r="H17" s="67" t="str">
        <x:v>Not adjustable in this item</x:v>
      </x:c>
    </x:row>
    <x:row r="18">
      <x:c r="A18" s="67" t="str">
        <x:v>Hydraulics</x:v>
      </x:c>
      <x:c r="B18" s="67" t="str">
        <x:v>Pressure drop</x:v>
      </x:c>
      <x:c r="C18" s="67" t="n">
        <x:v>0.653</x:v>
      </x:c>
      <x:c r="D18" s="67" t="str">
        <x:v>bar</x:v>
      </x:c>
      <x:c r="E18" s="63"/>
      <x:c r="F18" s="63"/>
      <x:c r="G18" s="63"/>
      <x:c r="H18" s="63"/>
    </x:row>
    <x:row r="19">
      <x:c r="A19" s="67" t="str">
        <x:v>Channel</x:v>
      </x:c>
      <x:c r="B19" s="67" t="str">
        <x:v>Channel height</x:v>
      </x:c>
      <x:c r="C19" s="67" t="n">
        <x:v>0.002</x:v>
      </x:c>
      <x:c r="D19" s="67" t="str">
        <x:v>m</x:v>
      </x:c>
      <x:c r="E19" s="63"/>
      <x:c r="F19" s="63"/>
      <x:c r="G19" s="63"/>
      <x:c r="H19" s="63"/>
    </x:row>
    <x:row r="20">
      <x:c r="A20" s="67" t="str">
        <x:v>Channel</x:v>
      </x:c>
      <x:c r="B20" s="67" t="str">
        <x:v>Spacer porosity</x:v>
      </x:c>
      <x:c r="C20" s="67" t="n">
        <x:v>0.75</x:v>
      </x:c>
      <x:c r="D20" s="67" t="str">
        <x:v>-</x:v>
      </x:c>
      <x:c r="E20" s="63"/>
      <x:c r="F20" s="65" t="str">
        <x:v>Required Tasks</x:v>
      </x:c>
      <x:c r="G20" s="65"/>
      <x:c r="H20" s="65"/>
    </x:row>
    <x:row r="21" ht="34" customHeight="1">
      <x:c r="A21" s="67" t="str">
        <x:v>Channel</x:v>
      </x:c>
      <x:c r="B21" s="67" t="str">
        <x:v>Module length</x:v>
      </x:c>
      <x:c r="C21" s="67" t="n">
        <x:v>20</x:v>
      </x:c>
      <x:c r="D21" s="67" t="str">
        <x:v>m</x:v>
      </x:c>
      <x:c r="E21" s="63"/>
      <x:c r="F21" s="67" t="str">
        <x:v>1. Identify a feed-salinity disturbance and establish the 0.030 / 52 bar baseline.</x:v>
      </x:c>
      <x:c r="G21" s="67"/>
      <x:c r="H21" s="67"/>
    </x:row>
    <x:row r="22" ht="46" customHeight="1">
      <x:c r="A22" s="67" t="str">
        <x:v>Model</x:v>
      </x:c>
      <x:c r="B22" s="67" t="str">
        <x:v>Concentration polarization / mass transfer</x:v>
      </x:c>
      <x:c r="C22" s="67" t="str">
        <x:v>calculated</x:v>
      </x:c>
      <x:c r="D22" s="67" t="str">
        <x:v>WaterTAP calculated</x:v>
      </x:c>
      <x:c r="E22" s="63"/>
      <x:c r="F22" s="67" t="str">
        <x:v>2. Keep 52 bar and 4.073 kg/s unchanged, set NaCl to 0.033, and diagnose changes in Qp, Recovery, Flux, and water quality.</x:v>
      </x:c>
      <x:c r="G22" s="67"/>
      <x:c r="H22" s="67"/>
    </x:row>
    <x:row r="23" ht="34" customHeight="1">
      <x:c r="A23" s="63"/>
      <x:c r="B23" s="63"/>
      <x:c r="C23" s="63"/>
      <x:c r="D23" s="63"/>
      <x:c r="E23" s="63"/>
      <x:c r="F23" s="67" t="str">
        <x:v>3. Test 54 bar first; if it still fails, test 54.5 bar. State the exact failed constraints at each step.</x:v>
      </x:c>
      <x:c r="G23" s="67"/>
      <x:c r="H23" s="67"/>
    </x:row>
    <x:row r="24" ht="46" customHeight="1">
      <x:c r="A24" s="63"/>
      <x:c r="B24" s="63"/>
      <x:c r="C24" s="63"/>
      <x:c r="D24" s="63"/>
      <x:c r="E24" s="63"/>
      <x:c r="F24" s="67" t="str">
        <x:v>4. Select the lowest tested pressure that restores every constraint and explain why feed-flow adjustment is unnecessary.</x:v>
      </x:c>
      <x:c r="G24" s="67"/>
      <x:c r="H24" s="67"/>
    </x:row>
    <x:row r="25" ht="34" customHeight="1">
      <x:c r="A25" s="63"/>
      <x:c r="B25" s="63"/>
      <x:c r="C25" s="63"/>
      <x:c r="D25" s="63"/>
      <x:c r="E25" s="63"/>
      <x:c r="F25" s="67" t="str">
        <x:v>5. Provide a concise control-room response and explicitly state why Qp alone is not a sufficient success criterion.</x:v>
      </x:c>
      <x:c r="G25" s="67"/>
      <x:c r="H25" s="67"/>
    </x:row>
    <x:row r="26">
      <x:c r="A26" s="63"/>
      <x:c r="B26" s="63"/>
      <x:c r="C26" s="63"/>
      <x:c r="D26" s="63"/>
      <x:c r="E26" s="63"/>
      <x:c r="F26" s="63"/>
      <x:c r="G26" s="63"/>
      <x:c r="H26" s="63"/>
    </x:row>
    <x:row r="27">
      <x:c r="A27" s="68" t="str">
        <x:v>Task boundary: D2-2a is triggered by a feed-salinity disturbance. System design and membrane properties remain fixed; only the allowed Pressure / Feed-flow controls may be changed adaptively.</x:v>
      </x:c>
      <x:c r="B27" s="68"/>
      <x:c r="C27" s="68"/>
      <x:c r="D27" s="68"/>
      <x:c r="E27" s="63"/>
      <x:c r="F27" s="63"/>
      <x:c r="G27" s="63"/>
      <x:c r="H27" s="63"/>
    </x:row>
    <x:row r="28">
      <x:c r="A28" s="68"/>
      <x:c r="B28" s="68"/>
      <x:c r="C28" s="68"/>
      <x:c r="D28" s="68"/>
      <x:c r="E28" s="63"/>
      <x:c r="F28" s="63"/>
      <x:c r="G28" s="63"/>
      <x:c r="H28" s="63"/>
    </x:row>
  </x:sheetData>
  <x:mergeCells>
    <x:mergeCell ref="A1:H1"/>
    <x:mergeCell ref="A4:H5"/>
    <x:mergeCell ref="A8:D8"/>
    <x:mergeCell ref="F8:H8"/>
    <x:mergeCell ref="F20:H20"/>
    <x:mergeCell ref="F21:H21"/>
    <x:mergeCell ref="F22:H22"/>
    <x:mergeCell ref="F23:H23"/>
    <x:mergeCell ref="F24:H24"/>
    <x:mergeCell ref="F25:H25"/>
    <x:mergeCell ref="A27:D2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22" hidden="0" customWidth="1"/>
    <x:col min="3" max="3" width="18" hidden="0" customWidth="1"/>
    <x:col min="4" max="4" width="22" hidden="0" customWidth="1"/>
    <x:col min="5" max="5" width="22" hidden="0" customWidth="1"/>
    <x:col min="6" max="6" width="22" hidden="0" customWidth="1"/>
    <x:col min="7" max="7" width="18" hidden="0" customWidth="1"/>
    <x:col min="8" max="8" width="15" hidden="0" customWidth="1"/>
    <x:col min="9" max="9" width="15" hidden="0" customWidth="1"/>
    <x:col min="10" max="10" width="15" hidden="0" customWidth="1"/>
    <x:col min="11" max="11" width="12" hidden="0" customWidth="1"/>
    <x:col min="12" max="12" width="12" hidden="0" customWidth="1"/>
    <x:col min="13" max="13" width="12" hidden="0" customWidth="1"/>
  </x:cols>
  <x:sheetData>
    <x:row r="1">
      <x:c r="A1" s="100" t="str">
        <x:v>D2-2a: Gold Answer — Feed-Salinity Disturbance Response</x:v>
      </x:c>
      <x:c r="B1" s="100"/>
      <x:c r="C1" s="100"/>
      <x:c r="D1" s="100"/>
      <x:c r="E1" s="100"/>
      <x:c r="F1" s="100"/>
      <x:c r="G1" s="100"/>
      <x:c r="H1" s="100"/>
      <x:c r="I1" s="100"/>
      <x:c r="J1" s="100"/>
      <x:c r="K1" s="100"/>
      <x:c r="L1" s="100"/>
      <x:c r="M1" s="100"/>
    </x:row>
    <x:row r="2">
      <x:c r="A2" s="63"/>
      <x:c r="B2" s="63"/>
      <x:c r="C2" s="63"/>
      <x:c r="D2" s="63"/>
      <x:c r="E2" s="63"/>
      <x:c r="F2" s="63"/>
      <x:c r="G2" s="63"/>
      <x:c r="H2" s="63"/>
      <x:c r="I2" s="63"/>
      <x:c r="J2" s="63"/>
      <x:c r="K2" s="63"/>
      <x:c r="L2" s="63"/>
      <x:c r="M2" s="63"/>
    </x:row>
    <x:row r="3">
      <x:c r="A3" s="63"/>
      <x:c r="B3" s="63"/>
      <x:c r="C3" s="63"/>
      <x:c r="D3" s="63"/>
      <x:c r="E3" s="63"/>
      <x:c r="F3" s="63"/>
      <x:c r="G3" s="63"/>
      <x:c r="H3" s="63"/>
      <x:c r="I3" s="63"/>
      <x:c r="J3" s="63"/>
      <x:c r="K3" s="63"/>
      <x:c r="L3" s="63"/>
      <x:c r="M3" s="63"/>
    </x:row>
    <x:row r="4" ht="30" customHeight="1">
      <x:c r="A4" s="77" t="str">
        <x:v>Efficient reference path: ~4 simulate_ro calls: baseline → same-setpoint salinity shock → 54 bar FAIL → 54.5 bar first all-constraints PASS.</x:v>
      </x:c>
      <x:c r="B4" s="77"/>
      <x:c r="C4" s="77"/>
      <x:c r="D4" s="77"/>
      <x:c r="E4" s="77"/>
      <x:c r="F4" s="77"/>
      <x:c r="G4" s="77"/>
      <x:c r="H4" s="77"/>
      <x:c r="I4" s="77"/>
      <x:c r="J4" s="77"/>
      <x:c r="K4" s="77"/>
      <x:c r="L4" s="77"/>
      <x:c r="M4" s="77"/>
    </x:row>
    <x:row r="5">
      <x:c r="A5" s="63"/>
      <x:c r="B5" s="63"/>
      <x:c r="C5" s="63"/>
      <x:c r="D5" s="63"/>
      <x:c r="E5" s="63"/>
      <x:c r="F5" s="63"/>
      <x:c r="G5" s="63"/>
      <x:c r="H5" s="63"/>
      <x:c r="I5" s="63"/>
      <x:c r="J5" s="63"/>
      <x:c r="K5" s="63"/>
      <x:c r="L5" s="63"/>
      <x:c r="M5" s="63"/>
    </x:row>
    <x:row r="6">
      <x:c r="A6" s="63"/>
      <x:c r="B6" s="63"/>
      <x:c r="C6" s="63"/>
      <x:c r="D6" s="63"/>
      <x:c r="E6" s="63"/>
      <x:c r="F6" s="63"/>
      <x:c r="G6" s="63"/>
      <x:c r="H6" s="63"/>
      <x:c r="I6" s="63"/>
      <x:c r="J6" s="63"/>
      <x:c r="K6" s="63"/>
      <x:c r="L6" s="63"/>
      <x:c r="M6" s="63"/>
    </x:row>
    <x:row r="7">
      <x:c r="A7" s="65" t="str">
        <x:v>Human View: Continuous Reasoning Chain</x:v>
      </x:c>
      <x:c r="B7" s="65"/>
      <x:c r="C7" s="65"/>
      <x:c r="D7" s="65"/>
      <x:c r="E7" s="65"/>
      <x:c r="F7" s="65"/>
      <x:c r="G7" s="65"/>
      <x:c r="H7" s="63"/>
      <x:c r="I7" s="63"/>
      <x:c r="J7" s="63"/>
      <x:c r="K7" s="63"/>
      <x:c r="L7" s="63"/>
      <x:c r="M7" s="63"/>
    </x:row>
    <x:row r="8">
      <x:c r="A8" s="102" t="str">
        <x:v>Step</x:v>
      </x:c>
      <x:c r="B8" s="102" t="str">
        <x:v>Human action</x:v>
      </x:c>
      <x:c r="C8" s="102" t="str">
        <x:v>Input</x:v>
      </x:c>
      <x:c r="D8" s="102" t="str">
        <x:v>Tool Call / Action</x:v>
      </x:c>
      <x:c r="E8" s="102" t="str">
        <x:v>Key output</x:v>
      </x:c>
      <x:c r="F8" s="102" t="str">
        <x:v>How it informs next step</x:v>
      </x:c>
      <x:c r="G8" s="102" t="str">
        <x:v>Primary evaluation</x:v>
      </x:c>
      <x:c r="H8" s="63"/>
      <x:c r="I8" s="63"/>
      <x:c r="J8" s="63"/>
      <x:c r="K8" s="63"/>
      <x:c r="L8" s="63"/>
      <x:c r="M8" s="63"/>
    </x:row>
    <x:row r="9" ht="54" customHeight="1">
      <x:c r="A9" s="67" t="n">
        <x:v>1</x:v>
      </x:c>
      <x:c r="B9" s="67" t="str">
        <x:v>Establish normal baseline</x:v>
      </x:c>
      <x:c r="C9" s="67" t="str">
        <x:v>0.030; 52 bar; 4.073 kg/s</x:v>
      </x:c>
      <x:c r="D9" s="67" t="str">
        <x:v>simulate_ro #1</x:v>
      </x:c>
      <x:c r="E9" s="67" t="str">
        <x:v>Qp≈6.594; Recovery≈45.98%; NaCl≈356.7; all constraints pass</x:v>
      </x:c>
      <x:c r="F9" s="67" t="str">
        <x:v>Reference before the salinity shock</x:v>
      </x:c>
      <x:c r="G9" s="67" t="str">
        <x:v>First tool call</x:v>
      </x:c>
      <x:c r="H9" s="63"/>
      <x:c r="I9" s="63"/>
      <x:c r="J9" s="63"/>
      <x:c r="K9" s="63"/>
      <x:c r="L9" s="63"/>
      <x:c r="M9" s="63"/>
    </x:row>
    <x:row r="10" ht="54" customHeight="1">
      <x:c r="A10" s="67" t="n">
        <x:v>2</x:v>
      </x:c>
      <x:c r="B10" s="67" t="str">
        <x:v>Diagnose the shock at the same setpoint</x:v>
      </x:c>
      <x:c r="C10" s="67" t="str">
        <x:v>0.033; 52 bar; 4.073 kg/s</x:v>
      </x:c>
      <x:c r="D10" s="67" t="str">
        <x:v>simulate_ro #2</x:v>
      </x:c>
      <x:c r="E10" s="67" t="str">
        <x:v>Qp≈5.855 and NaCl≈413.8; production and quality fail</x:v>
      </x:c>
      <x:c r="F10" s="67" t="str">
        <x:v>Compensation is required; flow remains fixed</x:v>
      </x:c>
      <x:c r="G10" s="67" t="str">
        <x:v>State understanding</x:v>
      </x:c>
      <x:c r="H10" s="63"/>
      <x:c r="I10" s="63"/>
      <x:c r="J10" s="63"/>
      <x:c r="K10" s="63"/>
      <x:c r="L10" s="63"/>
      <x:c r="M10" s="63"/>
    </x:row>
    <x:row r="11" ht="54" customHeight="1">
      <x:c r="A11" s="67" t="n">
        <x:v>3</x:v>
      </x:c>
      <x:c r="B11" s="67" t="str">
        <x:v>Test a smaller pressure increase</x:v>
      </x:c>
      <x:c r="C11" s="67" t="str">
        <x:v>0.033; 54 bar; 4.073 kg/s</x:v>
      </x:c>
      <x:c r="D11" s="67" t="str">
        <x:v>simulate_ro #3</x:v>
      </x:c>
      <x:c r="E11" s="67" t="str">
        <x:v>Qp≈6.223 and NaCl≈401.8; both still fail</x:v>
      </x:c>
      <x:c r="F11" s="67" t="str">
        <x:v>Move to the next candidate pressure</x:v>
      </x:c>
      <x:c r="G11" s="67" t="str">
        <x:v>Adaptive comparison</x:v>
      </x:c>
      <x:c r="H11" s="63"/>
      <x:c r="I11" s="63"/>
      <x:c r="J11" s="63"/>
      <x:c r="K11" s="63"/>
      <x:c r="L11" s="63"/>
      <x:c r="M11" s="63"/>
    </x:row>
    <x:row r="12" ht="54" customHeight="1">
      <x:c r="A12" s="67" t="n">
        <x:v>4</x:v>
      </x:c>
      <x:c r="B12" s="67" t="str">
        <x:v>Verify the lowest feasible candidate</x:v>
      </x:c>
      <x:c r="C12" s="67" t="str">
        <x:v>0.033; 54.5 bar; 4.073 kg/s</x:v>
      </x:c>
      <x:c r="D12" s="67" t="str">
        <x:v>simulate_ro #4</x:v>
      </x:c>
      <x:c r="E12" s="67" t="str">
        <x:v>Qp≈6.313 and NaCl≈399.1; all constraints pass</x:v>
      </x:c>
      <x:c r="F12" s="67" t="str">
        <x:v>Lowest verified compensating setpoint</x:v>
      </x:c>
      <x:c r="G12" s="67" t="str">
        <x:v>Final decision</x:v>
      </x:c>
      <x:c r="H12" s="63"/>
      <x:c r="I12" s="63"/>
      <x:c r="J12" s="63"/>
      <x:c r="K12" s="63"/>
      <x:c r="L12" s="63"/>
      <x:c r="M12" s="63"/>
    </x:row>
    <x:row r="13">
      <x:c r="A13" s="63"/>
      <x:c r="B13" s="63"/>
      <x:c r="C13" s="63"/>
      <x:c r="D13" s="63"/>
      <x:c r="E13" s="63"/>
      <x:c r="F13" s="63"/>
      <x:c r="G13" s="63"/>
      <x:c r="H13" s="63"/>
      <x:c r="I13" s="63"/>
      <x:c r="J13" s="63"/>
      <x:c r="K13" s="63"/>
      <x:c r="L13" s="63"/>
      <x:c r="M13" s="63"/>
    </x:row>
    <x:row r="14">
      <x:c r="A14" s="63"/>
      <x:c r="B14" s="63"/>
      <x:c r="C14" s="63"/>
      <x:c r="D14" s="63"/>
      <x:c r="E14" s="63"/>
      <x:c r="F14" s="63"/>
      <x:c r="G14" s="63"/>
      <x:c r="H14" s="63"/>
      <x:c r="I14" s="63"/>
      <x:c r="J14" s="63"/>
      <x:c r="K14" s="63"/>
      <x:c r="L14" s="63"/>
      <x:c r="M14" s="63"/>
    </x:row>
    <x:row r="15">
      <x:c r="A15" s="63"/>
      <x:c r="B15" s="63"/>
      <x:c r="C15" s="63"/>
      <x:c r="D15" s="63"/>
      <x:c r="E15" s="63"/>
      <x:c r="F15" s="63"/>
      <x:c r="G15" s="63"/>
      <x:c r="H15" s="63"/>
      <x:c r="I15" s="63"/>
      <x:c r="J15" s="63"/>
      <x:c r="K15" s="63"/>
      <x:c r="L15" s="63"/>
      <x:c r="M15" s="63"/>
    </x:row>
    <x:row r="16">
      <x:c r="A16" s="63"/>
      <x:c r="B16" s="63"/>
      <x:c r="C16" s="63"/>
      <x:c r="D16" s="63"/>
      <x:c r="E16" s="63"/>
      <x:c r="F16" s="63"/>
      <x:c r="G16" s="63"/>
      <x:c r="H16" s="63"/>
      <x:c r="I16" s="63"/>
      <x:c r="J16" s="63"/>
      <x:c r="K16" s="63"/>
      <x:c r="L16" s="63"/>
      <x:c r="M16" s="63"/>
    </x:row>
    <x:row r="17">
      <x:c r="A17" s="65" t="str">
        <x:v>Direct simulate_ro Results</x:v>
      </x:c>
      <x:c r="B17" s="65"/>
      <x:c r="C17" s="65"/>
      <x:c r="D17" s="65"/>
      <x:c r="E17" s="65"/>
      <x:c r="F17" s="65"/>
      <x:c r="G17" s="65"/>
      <x:c r="H17" s="65"/>
      <x:c r="I17" s="65"/>
      <x:c r="J17" s="65"/>
      <x:c r="K17" s="65"/>
      <x:c r="L17" s="65"/>
      <x:c r="M17" s="65"/>
    </x:row>
    <x:row r="18">
      <x:c r="A18" s="102" t="str">
        <x:v>Scenario</x:v>
      </x:c>
      <x:c r="B18" s="102" t="str">
        <x:v>NaCl frac</x:v>
      </x:c>
      <x:c r="C18" s="102" t="str">
        <x:v>Pressure bar</x:v>
      </x:c>
      <x:c r="D18" s="102" t="str">
        <x:v>Feed kg/s</x:v>
      </x:c>
      <x:c r="E18" s="102" t="str">
        <x:v>Permeate kg/s</x:v>
      </x:c>
      <x:c r="F18" s="102" t="str">
        <x:v>Qp m³/h</x:v>
      </x:c>
      <x:c r="G18" s="102" t="str">
        <x:v>Flux LMH</x:v>
      </x:c>
      <x:c r="H18" s="102" t="str">
        <x:v>Recovery %</x:v>
      </x:c>
      <x:c r="I18" s="102" t="str">
        <x:v>Rejection %</x:v>
      </x:c>
      <x:c r="J18" s="102" t="str">
        <x:v>NaCl mg/L</x:v>
      </x:c>
      <x:c r="K18" s="102" t="str">
        <x:v>Qp</x:v>
      </x:c>
      <x:c r="L18" s="102" t="str">
        <x:v>Quality</x:v>
      </x:c>
      <x:c r="M18" s="102" t="str">
        <x:v>Overall</x:v>
      </x:c>
    </x:row>
    <x:row r="19">
      <x:c r="A19" s="67" t="str">
        <x:v>Normal baseline</x:v>
      </x:c>
      <x:c r="B19" s="79" t="n">
        <x:v>0.03</x:v>
      </x:c>
      <x:c r="C19" s="80" t="n">
        <x:v>52</x:v>
      </x:c>
      <x:c r="D19" s="80" t="n">
        <x:v>4.073</x:v>
      </x:c>
      <x:c r="E19" s="79" t="n">
        <x:v>1.8317024077875053</x:v>
      </x:c>
      <x:c r="F19" s="79" t="n">
        <x:v>6.594128668035019</x:v>
      </x:c>
      <x:c r="G19" s="79" t="n">
        <x:v>16.479440695464636</x:v>
      </x:c>
      <x:c r="H19" s="79" t="n">
        <x:v>45.9844466906034</x:v>
      </x:c>
      <x:c r="I19" s="79" t="n">
        <x:v>98.83705234864722</x:v>
      </x:c>
      <x:c r="J19" s="79" t="n">
        <x:v>356.7400588598959</x:v>
      </x:c>
      <x:c r="K19" s="67" t="str">
        <x:v>PASS</x:v>
      </x:c>
      <x:c r="L19" s="67" t="str">
        <x:v>PASS</x:v>
      </x:c>
      <x:c r="M19" s="67" t="str">
        <x:v>PASS</x:v>
      </x:c>
    </x:row>
    <x:row r="20">
      <x:c r="A20" s="67" t="str">
        <x:v>0.033 unchanged</x:v>
      </x:c>
      <x:c r="B20" s="79" t="n">
        <x:v>0.033</x:v>
      </x:c>
      <x:c r="C20" s="80" t="n">
        <x:v>52</x:v>
      </x:c>
      <x:c r="D20" s="80" t="n">
        <x:v>4.073</x:v>
      </x:c>
      <x:c r="E20" s="79" t="n">
        <x:v>1.626461009388229</x:v>
      </x:c>
      <x:c r="F20" s="79" t="n">
        <x:v>5.855259633797624</x:v>
      </x:c>
      <x:c r="G20" s="79" t="n">
        <x:v>14.632092311640347</x:v>
      </x:c>
      <x:c r="H20" s="79" t="n">
        <x:v>40.92113629871129</x:v>
      </x:c>
      <x:c r="I20" s="79" t="n">
        <x:v>98.77644712289644</x:v>
      </x:c>
      <x:c r="J20" s="79" t="n">
        <x:v>413.7663046574956</x:v>
      </x:c>
      <x:c r="K20" s="67" t="str">
        <x:v>FAIL</x:v>
      </x:c>
      <x:c r="L20" s="67" t="str">
        <x:v>FAIL</x:v>
      </x:c>
      <x:c r="M20" s="67" t="str">
        <x:v>FAIL</x:v>
      </x:c>
    </x:row>
    <x:row r="21">
      <x:c r="A21" s="67" t="str">
        <x:v>0.033: 54 bar</x:v>
      </x:c>
      <x:c r="B21" s="79" t="n">
        <x:v>0.033</x:v>
      </x:c>
      <x:c r="C21" s="80" t="n">
        <x:v>54</x:v>
      </x:c>
      <x:c r="D21" s="80" t="n">
        <x:v>4.073</x:v>
      </x:c>
      <x:c r="E21" s="79" t="n">
        <x:v>1.728720440314135</x:v>
      </x:c>
      <x:c r="F21" s="79" t="n">
        <x:v>6.223393585130886</x:v>
      </x:c>
      <x:c r="G21" s="79" t="n">
        <x:v>15.55223320384493</x:v>
      </x:c>
      <x:c r="H21" s="79" t="n">
        <x:v>43.49434111471497</x:v>
      </x:c>
      <x:c r="I21" s="79" t="n">
        <x:v>98.8119652661832</x:v>
      </x:c>
      <x:c r="J21" s="79" t="n">
        <x:v>401.7588729864681</x:v>
      </x:c>
      <x:c r="K21" s="67" t="str">
        <x:v>FAIL</x:v>
      </x:c>
      <x:c r="L21" s="67" t="str">
        <x:v>FAIL</x:v>
      </x:c>
      <x:c r="M21" s="67" t="str">
        <x:v>FAIL</x:v>
      </x:c>
    </x:row>
    <x:row r="22">
      <x:c r="A22" s="67" t="str">
        <x:v>0.033: 54.5 bar</x:v>
      </x:c>
      <x:c r="B22" s="79" t="n">
        <x:v>0.033</x:v>
      </x:c>
      <x:c r="C22" s="80" t="n">
        <x:v>54.5</x:v>
      </x:c>
      <x:c r="D22" s="80" t="n">
        <x:v>4.073</x:v>
      </x:c>
      <x:c r="E22" s="79" t="n">
        <x:v>1.7536519332679432</x:v>
      </x:c>
      <x:c r="F22" s="79" t="n">
        <x:v>6.313146959764596</x:v>
      </x:c>
      <x:c r="G22" s="79" t="n">
        <x:v>15.776567828546561</x:v>
      </x:c>
      <x:c r="H22" s="79" t="n">
        <x:v>44.121701426590576</x:v>
      </x:c>
      <x:c r="I22" s="79" t="n">
        <x:v>98.81971237160553</x:v>
      </x:c>
      <x:c r="J22" s="79" t="n">
        <x:v>399.13982076271947</x:v>
      </x:c>
      <x:c r="K22" s="67" t="str">
        <x:v>PASS</x:v>
      </x:c>
      <x:c r="L22" s="67" t="str">
        <x:v>PASS</x:v>
      </x:c>
      <x:c r="M22" s="67" t="str">
        <x:v>PASS</x:v>
      </x:c>
    </x:row>
    <x:row r="23">
      <x:c r="A23" s="63"/>
      <x:c r="B23" s="63"/>
      <x:c r="C23" s="63"/>
      <x:c r="D23" s="63"/>
      <x:c r="E23" s="63"/>
      <x:c r="F23" s="63"/>
      <x:c r="G23" s="63"/>
      <x:c r="H23" s="63"/>
      <x:c r="I23" s="63"/>
      <x:c r="J23" s="63"/>
      <x:c r="K23" s="63"/>
      <x:c r="L23" s="63"/>
      <x:c r="M23" s="63"/>
    </x:row>
    <x:row r="24">
      <x:c r="A24" s="63"/>
      <x:c r="B24" s="63"/>
      <x:c r="C24" s="63"/>
      <x:c r="D24" s="63"/>
      <x:c r="E24" s="63"/>
      <x:c r="F24" s="63"/>
      <x:c r="G24" s="63"/>
      <x:c r="H24" s="63"/>
      <x:c r="I24" s="63"/>
      <x:c r="J24" s="63"/>
      <x:c r="K24" s="63"/>
      <x:c r="L24" s="63"/>
      <x:c r="M24" s="63"/>
    </x:row>
    <x:row r="25">
      <x:c r="A25" s="63"/>
      <x:c r="B25" s="63"/>
      <x:c r="C25" s="63"/>
      <x:c r="D25" s="63"/>
      <x:c r="E25" s="63"/>
      <x:c r="F25" s="63"/>
      <x:c r="G25" s="63"/>
      <x:c r="H25" s="63"/>
      <x:c r="I25" s="63"/>
      <x:c r="J25" s="63"/>
      <x:c r="K25" s="63"/>
      <x:c r="L25" s="63"/>
      <x:c r="M25" s="63"/>
    </x:row>
    <x:row r="26">
      <x:c r="A26" s="63"/>
      <x:c r="B26" s="63"/>
      <x:c r="C26" s="63"/>
      <x:c r="D26" s="63"/>
      <x:c r="E26" s="63"/>
      <x:c r="F26" s="63"/>
      <x:c r="G26" s="63"/>
      <x:c r="H26" s="63"/>
      <x:c r="I26" s="63"/>
      <x:c r="J26" s="63"/>
      <x:c r="K26" s="63"/>
      <x:c r="L26" s="63"/>
      <x:c r="M26" s="63"/>
    </x:row>
    <x:row r="27">
      <x:c r="A27" s="63"/>
      <x:c r="B27" s="63"/>
      <x:c r="C27" s="63"/>
      <x:c r="D27" s="63"/>
      <x:c r="E27" s="63"/>
      <x:c r="F27" s="63"/>
      <x:c r="G27" s="63"/>
      <x:c r="H27" s="63"/>
      <x:c r="I27" s="63"/>
      <x:c r="J27" s="63"/>
      <x:c r="K27" s="63"/>
      <x:c r="L27" s="63"/>
      <x:c r="M27" s="63"/>
    </x:row>
    <x:row r="28">
      <x:c r="A28" s="63"/>
      <x:c r="B28" s="63"/>
      <x:c r="C28" s="63"/>
      <x:c r="D28" s="63"/>
      <x:c r="E28" s="63"/>
      <x:c r="F28" s="63"/>
      <x:c r="G28" s="63"/>
      <x:c r="H28" s="63"/>
      <x:c r="I28" s="63"/>
      <x:c r="J28" s="63"/>
      <x:c r="K28" s="63"/>
      <x:c r="L28" s="63"/>
      <x:c r="M28" s="63"/>
    </x:row>
    <x:row r="29">
      <x:c r="A29" s="65" t="str">
        <x:v>Recommended Operating Response</x:v>
      </x:c>
      <x:c r="B29" s="65"/>
      <x:c r="C29" s="65"/>
      <x:c r="D29" s="65"/>
      <x:c r="E29" s="65"/>
      <x:c r="F29" s="65"/>
      <x:c r="G29" s="63"/>
      <x:c r="H29" s="81" t="str">
        <x:v>Final Conclusion
When feed salinity jumps from 0.030 to 0.033, the original 52-bar setting fails both permeate-flow and permeate-NaCl constraints. 54 bar still fails both; 54.5 bar is the first tested pressure that passes every constraint. With feed flow fixed, the lowest verified pressure compensation is therefore 54.5 bar.</x:v>
      </x:c>
      <x:c r="I29" s="81"/>
      <x:c r="J29" s="81"/>
      <x:c r="K29" s="81"/>
      <x:c r="L29" s="81"/>
      <x:c r="M29" s="81"/>
    </x:row>
    <x:row r="30">
      <x:c r="A30" s="102" t="str">
        <x:v>Feed state / rule</x:v>
      </x:c>
      <x:c r="B30" s="102" t="str">
        <x:v>Pressure</x:v>
      </x:c>
      <x:c r="C30" s="102" t="str">
        <x:v>Feed flow</x:v>
      </x:c>
      <x:c r="D30" s="102" t="str">
        <x:v>Key evidence</x:v>
      </x:c>
      <x:c r="E30" s="102" t="str">
        <x:v>Decision / status</x:v>
      </x:c>
      <x:c r="F30" s="102" t="str">
        <x:v>Note / correction</x:v>
      </x:c>
      <x:c r="G30" s="63"/>
      <x:c r="H30" s="81"/>
      <x:c r="I30" s="81"/>
      <x:c r="J30" s="81"/>
      <x:c r="K30" s="81"/>
      <x:c r="L30" s="81"/>
      <x:c r="M30" s="81"/>
    </x:row>
    <x:row r="31">
      <x:c r="A31" s="67" t="str">
        <x:v>Normal 0.030</x:v>
      </x:c>
      <x:c r="B31" s="67" t="str">
        <x:v>52.0 bar</x:v>
      </x:c>
      <x:c r="C31" s="67" t="str">
        <x:v>4.073 kg/s</x:v>
      </x:c>
      <x:c r="D31" s="67" t="str">
        <x:v>All constraints pass</x:v>
      </x:c>
      <x:c r="E31" s="67" t="str">
        <x:v>Hold</x:v>
      </x:c>
      <x:c r="F31" s="67"/>
      <x:c r="G31" s="63"/>
      <x:c r="H31" s="81"/>
      <x:c r="I31" s="81"/>
      <x:c r="J31" s="81"/>
      <x:c r="K31" s="81"/>
      <x:c r="L31" s="81"/>
      <x:c r="M31" s="81"/>
    </x:row>
    <x:row r="32">
      <x:c r="A32" s="67" t="str">
        <x:v>Shock 0.033</x:v>
      </x:c>
      <x:c r="B32" s="67" t="str">
        <x:v>54.5 bar</x:v>
      </x:c>
      <x:c r="C32" s="67" t="str">
        <x:v>4.073 kg/s</x:v>
      </x:c>
      <x:c r="D32" s="67" t="str">
        <x:v>54 bar still fails Qp/NaCl; 54.5 first passes all</x:v>
      </x:c>
      <x:c r="E32" s="67" t="str">
        <x:v>Minimum compensation</x:v>
      </x:c>
      <x:c r="F32" s="67"/>
      <x:c r="G32" s="63"/>
      <x:c r="H32" s="81"/>
      <x:c r="I32" s="81"/>
      <x:c r="J32" s="81"/>
      <x:c r="K32" s="81"/>
      <x:c r="L32" s="81"/>
      <x:c r="M32" s="81"/>
    </x:row>
    <x:row r="33">
      <x:c r="A33" s="63"/>
      <x:c r="B33" s="63"/>
      <x:c r="C33" s="63"/>
      <x:c r="D33" s="63"/>
      <x:c r="E33" s="63"/>
      <x:c r="F33" s="63"/>
      <x:c r="G33" s="63"/>
      <x:c r="H33" s="81"/>
      <x:c r="I33" s="81"/>
      <x:c r="J33" s="81"/>
      <x:c r="K33" s="81"/>
      <x:c r="L33" s="81"/>
      <x:c r="M33" s="81"/>
    </x:row>
    <x:row r="34">
      <x:c r="A34" s="63"/>
      <x:c r="B34" s="63"/>
      <x:c r="C34" s="63"/>
      <x:c r="D34" s="63"/>
      <x:c r="E34" s="63"/>
      <x:c r="F34" s="63"/>
      <x:c r="G34" s="63"/>
      <x:c r="H34" s="81"/>
      <x:c r="I34" s="81"/>
      <x:c r="J34" s="81"/>
      <x:c r="K34" s="81"/>
      <x:c r="L34" s="81"/>
      <x:c r="M34" s="81"/>
    </x:row>
  </x:sheetData>
  <x:mergeCells>
    <x:mergeCell ref="A1:M1"/>
    <x:mergeCell ref="A4:M4"/>
    <x:mergeCell ref="A7:G7"/>
    <x:mergeCell ref="A17:M17"/>
    <x:mergeCell ref="A29:F29"/>
    <x:mergeCell ref="H29:M34"/>
  </x:mergeCells>
  <x:conditionalFormatting sqref="K19:K22">
    <x:cfRule type="expression" dxfId="0" priority="1">
      <x:formula>K19="PASS"</x:formula>
    </x:cfRule>
    <x:cfRule type="expression" dxfId="1" priority="2">
      <x:formula>K19="FAIL"</x:formula>
    </x:cfRule>
  </x:conditionalFormatting>
  <x:conditionalFormatting sqref="L19:L22">
    <x:cfRule type="expression" dxfId="2" priority="3">
      <x:formula>L19="PASS"</x:formula>
    </x:cfRule>
    <x:cfRule type="expression" dxfId="3" priority="4">
      <x:formula>L19="FAIL"</x:formula>
    </x:cfRule>
  </x:conditionalFormatting>
  <x:conditionalFormatting sqref="M19:M22">
    <x:cfRule type="expression" dxfId="4" priority="5">
      <x:formula>M19="PASS"</x:formula>
    </x:cfRule>
    <x:cfRule type="expression" dxfId="5" priority="6">
      <x:formula>M19="FAIL"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6" hidden="0" customWidth="1"/>
    <x:col min="3" max="3" width="48" hidden="0" customWidth="1"/>
    <x:col min="4" max="4" width="35" hidden="0" customWidth="1"/>
    <x:col min="5" max="5" width="35" hidden="0" customWidth="1"/>
    <x:col min="6" max="6" width="10" hidden="0" customWidth="1"/>
    <x:col min="7" max="7" width="10" hidden="0" customWidth="1"/>
  </x:cols>
  <x:sheetData>
    <x:row r="1">
      <x:c r="A1" s="100" t="str">
        <x:v>D2-2a: Trajectory Quality Rubric (100 points)</x:v>
      </x:c>
      <x:c r="B1" s="100"/>
      <x:c r="C1" s="100"/>
      <x:c r="D1" s="100"/>
      <x:c r="E1" s="100"/>
      <x:c r="F1" s="100"/>
      <x:c r="G1" s="100"/>
    </x:row>
    <x:row r="2">
      <x:c r="A2" s="63"/>
      <x:c r="B2" s="63"/>
      <x:c r="C2" s="63"/>
      <x:c r="D2" s="63"/>
      <x:c r="E2" s="63"/>
      <x:c r="F2" s="63"/>
      <x:c r="G2" s="63"/>
    </x:row>
    <x:row r="3">
      <x:c r="A3" s="63"/>
      <x:c r="B3" s="63"/>
      <x:c r="C3" s="63"/>
      <x:c r="D3" s="63"/>
      <x:c r="E3" s="63"/>
      <x:c r="F3" s="63"/>
      <x:c r="G3" s="63"/>
    </x:row>
    <x:row r="4">
      <x:c r="A4" s="88" t="str">
        <x:v>Score the complete state → plan → tool call → observation → update → next action → stopping/decision trajectory. Alternative tool orders are acceptable when each action is evidence-driven and the final engineering decision is verifiable. Tool efficiency is scored separately.</x:v>
      </x:c>
      <x:c r="B4" s="88"/>
      <x:c r="C4" s="88"/>
      <x:c r="D4" s="88"/>
      <x:c r="E4" s="88"/>
      <x:c r="F4" s="88"/>
      <x:c r="G4" s="88"/>
    </x:row>
    <x:row r="5">
      <x:c r="A5" s="88"/>
      <x:c r="B5" s="88"/>
      <x:c r="C5" s="88"/>
      <x:c r="D5" s="88"/>
      <x:c r="E5" s="88"/>
      <x:c r="F5" s="88"/>
      <x:c r="G5" s="88"/>
    </x:row>
    <x:row r="6">
      <x:c r="A6" s="63"/>
      <x:c r="B6" s="63"/>
      <x:c r="C6" s="63"/>
      <x:c r="D6" s="63"/>
      <x:c r="E6" s="63"/>
      <x:c r="F6" s="63"/>
      <x:c r="G6" s="63"/>
    </x:row>
    <x:row r="7">
      <x:c r="A7" s="63"/>
      <x:c r="B7" s="63"/>
      <x:c r="C7" s="63"/>
      <x:c r="D7" s="63"/>
      <x:c r="E7" s="63"/>
      <x:c r="F7" s="63"/>
      <x:c r="G7" s="63"/>
    </x:row>
    <x:row r="8">
      <x:c r="A8" s="102" t="str">
        <x:v>Trajectory dimension</x:v>
      </x:c>
      <x:c r="B8" s="102" t="str">
        <x:v>Evaluation focus</x:v>
      </x:c>
      <x:c r="C8" s="102" t="str">
        <x:v>Full-credit evidence</x:v>
      </x:c>
      <x:c r="D8" s="102" t="str">
        <x:v>Partial credit</x:v>
      </x:c>
      <x:c r="E8" s="102" t="str">
        <x:v>Critical failure mode</x:v>
      </x:c>
      <x:c r="F8" s="102" t="str">
        <x:v>Weight</x:v>
      </x:c>
      <x:c r="G8" s="102" t="str">
        <x:v>Score</x:v>
      </x:c>
    </x:row>
    <x:row r="9">
      <x:c r="A9" s="67" t="str">
        <x:v>TQ1 Problem framing</x:v>
      </x:c>
      <x:c r="B9" s="67" t="str">
        <x:v>Recognize a salinity shock, not equipment failure</x:v>
      </x:c>
      <x:c r="C9" s="67" t="str">
        <x:v>Baseline at 0.030/52, then 0.033 at the same setpoint</x:v>
      </x:c>
      <x:c r="D9" s="67" t="str">
        <x:v>Recognizes disturbance but weak causal comparison</x:v>
      </x:c>
      <x:c r="E9" s="67" t="str">
        <x:v>Redesigns membrane/area</x:v>
      </x:c>
      <x:c r="F9" s="89" t="n">
        <x:v>15</x:v>
      </x:c>
      <x:c r="G9" s="90"/>
    </x:row>
    <x:row r="10">
      <x:c r="A10" s="67" t="str">
        <x:v>TQ2 Plan quality</x:v>
      </x:c>
      <x:c r="B10" s="67" t="str">
        <x:v>Seek minimum compensation, not over-adjustment</x:v>
      </x:c>
      <x:c r="C10" s="67" t="str">
        <x:v>52→54→54.5 with progressive validation</x:v>
      </x:c>
      <x:c r="D10" s="67" t="str">
        <x:v>Reasonable but skips a key candidate</x:v>
      </x:c>
      <x:c r="E10" s="67" t="str">
        <x:v>Jumps directly to maximum pressure</x:v>
      </x:c>
      <x:c r="F10" s="89" t="n">
        <x:v>15</x:v>
      </x:c>
      <x:c r="G10" s="90"/>
    </x:row>
    <x:row r="11">
      <x:c r="A11" s="67" t="str">
        <x:v>TQ3 Tool correctness</x:v>
      </x:c>
      <x:c r="B11" s="67" t="str">
        <x:v>Change only salinity/pressure</x:v>
      </x:c>
      <x:c r="C11" s="67" t="str">
        <x:v>Keep flow at 4.073 and all system parameters fixed</x:v>
      </x:c>
      <x:c r="D11" s="67" t="str">
        <x:v>Minor parameter/unit issue</x:v>
      </x:c>
      <x:c r="E11" s="67" t="str">
        <x:v>Changes disallowed variables simultaneously</x:v>
      </x:c>
      <x:c r="F11" s="89" t="n">
        <x:v>20</x:v>
      </x:c>
      <x:c r="G11" s="90"/>
    </x:row>
    <x:row r="12">
      <x:c r="A12" s="67" t="str">
        <x:v>TQ4 Observation</x:v>
      </x:c>
      <x:c r="B12" s="67" t="str">
        <x:v>Identify dual-constraint failure correctly</x:v>
      </x:c>
      <x:c r="C12" s="67" t="str">
        <x:v>52 and 54 fail Qp/NaCl; 54.5 passes all</x:v>
      </x:c>
      <x:c r="D12" s="67" t="str">
        <x:v>Misses one failed constraint</x:v>
      </x:c>
      <x:c r="E12" s="67" t="str">
        <x:v>Checks Qp only</x:v>
      </x:c>
      <x:c r="F12" s="89" t="n">
        <x:v>20</x:v>
      </x:c>
      <x:c r="G12" s="90"/>
    </x:row>
    <x:row r="13">
      <x:c r="A13" s="67" t="str">
        <x:v>TQ5 Adaptation</x:v>
      </x:c>
      <x:c r="B13" s="67" t="str">
        <x:v>Continue only after a FAIL</x:v>
      </x:c>
      <x:c r="C13" s="67" t="str">
        <x:v>54 FAIL→54.5; stop after PASS</x:v>
      </x:c>
      <x:c r="D13" s="67" t="str">
        <x:v>Some redundancy</x:v>
      </x:c>
      <x:c r="E13" s="67" t="str">
        <x:v>Continues pointless scanning</x:v>
      </x:c>
      <x:c r="F13" s="89" t="n">
        <x:v>20</x:v>
      </x:c>
      <x:c r="G13" s="90"/>
    </x:row>
    <x:row r="14">
      <x:c r="A14" s="67" t="str">
        <x:v>TQ6 Final decision</x:v>
      </x:c>
      <x:c r="B14" s="67" t="str">
        <x:v>54.5 bar / 4.073 kg/s</x:v>
      </x:c>
      <x:c r="C14" s="67" t="str">
        <x:v>States it is the lowest verified candidate and no flow change is needed</x:v>
      </x:c>
      <x:c r="D14" s="67" t="str">
        <x:v>Correct setpoint with weak rationale</x:v>
      </x:c>
      <x:c r="E14" s="67" t="str">
        <x:v>Recommends 54 bar or blindly uses 58</x:v>
      </x:c>
      <x:c r="F14" s="89" t="n">
        <x:v>10</x:v>
      </x:c>
      <x:c r="G14" s="90"/>
    </x:row>
    <x:row r="15">
      <x:c r="A15" s="63"/>
      <x:c r="B15" s="63"/>
      <x:c r="C15" s="63"/>
      <x:c r="D15" s="63"/>
      <x:c r="E15" s="63"/>
      <x:c r="F15" s="63"/>
      <x:c r="G15" s="63"/>
    </x:row>
    <x:row r="16">
      <x:c r="A16" s="63"/>
      <x:c r="B16" s="63"/>
      <x:c r="C16" s="63"/>
      <x:c r="D16" s="63"/>
      <x:c r="E16" s="91" t="str">
        <x:v>Trajectory Quality Total</x:v>
      </x:c>
      <x:c r="F16" s="91" t="n">
        <x:v>100</x:v>
      </x:c>
      <x:c r="G16" s="91" t="n">
        <x:f>SUM(G9:G14)</x:f>
        <x:v>0</x:v>
      </x:c>
    </x:row>
  </x:sheetData>
  <x:mergeCells>
    <x:mergeCell ref="A1:G1"/>
    <x:mergeCell ref="A4:G5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35" hidden="0" customWidth="1"/>
    <x:col min="4" max="4" width="35" hidden="0" customWidth="1"/>
    <x:col min="5" max="5" width="35" hidden="0" customWidth="1"/>
    <x:col min="6" max="6" width="48" hidden="0" customWidth="1"/>
    <x:col min="7" max="7" width="10" hidden="0" customWidth="1"/>
  </x:cols>
  <x:sheetData>
    <x:row r="1">
      <x:c r="A1" s="100" t="str">
        <x:v>D2-2a: Tool Usage Efficiency (100 points)</x:v>
      </x:c>
      <x:c r="B1" s="100"/>
      <x:c r="C1" s="100"/>
      <x:c r="D1" s="100"/>
      <x:c r="E1" s="100"/>
      <x:c r="F1" s="100"/>
      <x:c r="G1" s="100"/>
    </x:row>
    <x:row r="2">
      <x:c r="A2" s="63"/>
      <x:c r="B2" s="63"/>
      <x:c r="C2" s="63"/>
      <x:c r="D2" s="63"/>
      <x:c r="E2" s="63"/>
      <x:c r="F2" s="63"/>
      <x:c r="G2" s="63"/>
    </x:row>
    <x:row r="3">
      <x:c r="A3" s="63"/>
      <x:c r="B3" s="63"/>
      <x:c r="C3" s="63"/>
      <x:c r="D3" s="63"/>
      <x:c r="E3" s="63"/>
      <x:c r="F3" s="63"/>
      <x:c r="G3" s="63"/>
    </x:row>
    <x:row r="4">
      <x:c r="A4" s="88" t="str">
        <x:v>Tool efficiency is scored separately from Trajectory Quality. The efficient reference trajectory uses ~4 calls of simulate_ro. Call count is secondary to information gain, adaptation, pruning, and evidence-based stopping.</x:v>
      </x:c>
      <x:c r="B4" s="88"/>
      <x:c r="C4" s="88"/>
      <x:c r="D4" s="88"/>
      <x:c r="E4" s="88"/>
      <x:c r="F4" s="88"/>
      <x:c r="G4" s="88"/>
    </x:row>
    <x:row r="5">
      <x:c r="A5" s="88"/>
      <x:c r="B5" s="88"/>
      <x:c r="C5" s="88"/>
      <x:c r="D5" s="88"/>
      <x:c r="E5" s="88"/>
      <x:c r="F5" s="88"/>
      <x:c r="G5" s="88"/>
    </x:row>
    <x:row r="6">
      <x:c r="A6" s="63"/>
      <x:c r="B6" s="63"/>
      <x:c r="C6" s="63"/>
      <x:c r="D6" s="63"/>
      <x:c r="E6" s="63"/>
      <x:c r="F6" s="63"/>
      <x:c r="G6" s="63"/>
    </x:row>
    <x:row r="7">
      <x:c r="A7" s="63"/>
      <x:c r="B7" s="63"/>
      <x:c r="C7" s="63"/>
      <x:c r="D7" s="63"/>
      <x:c r="E7" s="63"/>
      <x:c r="F7" s="63"/>
      <x:c r="G7" s="63"/>
    </x:row>
    <x:row r="8">
      <x:c r="A8" s="102" t="str">
        <x:v>Efficiency dimension</x:v>
      </x:c>
      <x:c r="B8" s="102" t="str">
        <x:v>Evaluation focus</x:v>
      </x:c>
      <x:c r="C8" s="102" t="str">
        <x:v>High performance</x:v>
      </x:c>
      <x:c r="D8" s="102" t="str">
        <x:v>Medium performance</x:v>
      </x:c>
      <x:c r="E8" s="102" t="str">
        <x:v>Low performance</x:v>
      </x:c>
      <x:c r="F8" s="102" t="str">
        <x:v>Item-specific observation</x:v>
      </x:c>
      <x:c r="G8" s="102" t="str">
        <x:v>Points</x:v>
      </x:c>
    </x:row>
    <x:row r="9">
      <x:c r="A9" s="67" t="str">
        <x:v>E1 Tool selection</x:v>
      </x:c>
      <x:c r="B9" s="67" t="str">
        <x:v>Use the right tool and avoid irrelevant calls</x:v>
      </x:c>
      <x:c r="C9" s="67" t="str">
        <x:v>Primarily simulate_ro</x:v>
      </x:c>
      <x:c r="D9" s="67" t="str">
        <x:v>Minor irrelevant calls</x:v>
      </x:c>
      <x:c r="E9" s="67" t="str">
        <x:v>Wrong tool / excessive metadata</x:v>
      </x:c>
      <x:c r="F9" s="67" t="str">
        <x:v>Baseline→52 disturbance→54→54.5; stop once 54.5 passes</x:v>
      </x:c>
      <x:c r="G9" s="67" t="n">
        <x:v>20</x:v>
      </x:c>
    </x:row>
    <x:row r="10">
      <x:c r="A10" s="67" t="str">
        <x:v>E2 Information gain</x:v>
      </x:c>
      <x:c r="B10" s="67" t="str">
        <x:v>Prioritize discriminating calls</x:v>
      </x:c>
      <x:c r="C10" s="67" t="str">
        <x:v>Baseline / critical failure / boundary first</x:v>
      </x:c>
      <x:c r="D10" s="67" t="str">
        <x:v>Mostly reasonable order</x:v>
      </x:c>
      <x:c r="E10" s="67" t="str">
        <x:v>Dense low-value scanning</x:v>
      </x:c>
      <x:c r="F10" s="67" t="str">
        <x:v>Baseline→52 disturbance→54→54.5; stop once 54.5 passes</x:v>
      </x:c>
      <x:c r="G10" s="67" t="n">
        <x:v>20</x:v>
      </x:c>
    </x:row>
    <x:row r="11">
      <x:c r="A11" s="67" t="str">
        <x:v>E3 Adaptation</x:v>
      </x:c>
      <x:c r="B11" s="67" t="str">
        <x:v>Let each result determine the next call</x:v>
      </x:c>
      <x:c r="C11" s="67" t="str">
        <x:v>FAIL/PASS directly drives next input</x:v>
      </x:c>
      <x:c r="D11" s="67" t="str">
        <x:v>Partly adaptive</x:v>
      </x:c>
      <x:c r="E11" s="67" t="str">
        <x:v>Preset enumeration ignores results</x:v>
      </x:c>
      <x:c r="F11" s="67" t="str">
        <x:v>Baseline→52 disturbance→54→54.5; stop once 54.5 passes</x:v>
      </x:c>
      <x:c r="G11" s="67" t="n">
        <x:v>20</x:v>
      </x:c>
    </x:row>
    <x:row r="12">
      <x:c r="A12" s="67" t="str">
        <x:v>E4 Pruning</x:v>
      </x:c>
      <x:c r="B12" s="67" t="str">
        <x:v>Stop failed branches promptly</x:v>
      </x:c>
      <x:c r="C12" s="67" t="str">
        <x:v>Switch or stop once evidence is sufficient</x:v>
      </x:c>
      <x:c r="D12" s="67" t="str">
        <x:v>Some repetition</x:v>
      </x:c>
      <x:c r="E12" s="67" t="str">
        <x:v>Keeps testing disproved branches</x:v>
      </x:c>
      <x:c r="F12" s="67" t="str">
        <x:v>Baseline→52 disturbance→54→54.5; stop once 54.5 passes</x:v>
      </x:c>
      <x:c r="G12" s="67" t="n">
        <x:v>20</x:v>
      </x:c>
    </x:row>
    <x:row r="13">
      <x:c r="A13" s="67" t="str">
        <x:v>E5 Convergence</x:v>
      </x:c>
      <x:c r="B13" s="67" t="str">
        <x:v>Reach sufficient evidence within a reasonable budget</x:v>
      </x:c>
      <x:c r="C13" s="67" t="str">
        <x:v>About ~4 calls, no obvious redundancy</x:v>
      </x:c>
      <x:c r="D13" s="67" t="str">
        <x:v>2–3 extra calls but still adaptive</x:v>
      </x:c>
      <x:c r="E13" s="67" t="str">
        <x:v>Many calls or insufficient evidence</x:v>
      </x:c>
      <x:c r="F13" s="67" t="str">
        <x:v>Baseline→52 disturbance→54→54.5; stop once 54.5 passes</x:v>
      </x:c>
      <x:c r="G13" s="67" t="n">
        <x:v>20</x:v>
      </x:c>
    </x:row>
    <x:row r="14">
      <x:c r="A14" s="63"/>
      <x:c r="B14" s="63"/>
      <x:c r="C14" s="63"/>
      <x:c r="D14" s="63"/>
      <x:c r="E14" s="63"/>
      <x:c r="F14" s="63"/>
      <x:c r="G14" s="63"/>
    </x:row>
    <x:row r="15">
      <x:c r="A15" s="63"/>
      <x:c r="B15" s="63"/>
      <x:c r="C15" s="63"/>
      <x:c r="D15" s="63"/>
      <x:c r="E15" s="63"/>
      <x:c r="F15" s="91" t="str">
        <x:v>Tool Efficiency Total</x:v>
      </x:c>
      <x:c r="G15" s="91" t="n">
        <x:v>100</x:v>
      </x:c>
    </x:row>
  </x:sheetData>
  <x:mergeCells>
    <x:mergeCell ref="A1:G1"/>
    <x:mergeCell ref="A4:G5"/>
  </x:mergeCells>
  <x:pageMargins left="0.7" right="0.7" top="0.75" bottom="0.75" header="0.3" footer="0.3"/>
</x:worksheet>
</file>