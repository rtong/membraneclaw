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f378f0a089458c" /></Relationships>
</file>

<file path=xl/workbook.xml><?xml version="1.0" encoding="utf-8"?>
<x:workbook xmlns:x="http://schemas.openxmlformats.org/spreadsheetml/2006/main">
  <x:sheets>
    <x:sheet xmlns:r="http://schemas.openxmlformats.org/officeDocument/2006/relationships" name="Question" sheetId="1" r:id="R23f7986b02ed4e72"/>
    <x:sheet xmlns:r="http://schemas.openxmlformats.org/officeDocument/2006/relationships" name="Gold_Answer" sheetId="2" r:id="R3e9841962f324dbe"/>
    <x:sheet xmlns:r="http://schemas.openxmlformats.org/officeDocument/2006/relationships" name="Trajectory_Rubric" sheetId="3" r:id="Raeb8713b8eb741a2"/>
    <x:sheet xmlns:r="http://schemas.openxmlformats.org/officeDocument/2006/relationships" name="Tool_Efficiency" sheetId="4" r:id="Rd55b9f59618b4b9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5"/>
      <x:color rgb="FFFFFFFF"/>
      <x:name val="Arial"/>
    </x:font>
    <x:font>
      <x:b/>
      <x:sz val="10"/>
      <x:color rgb="FF17365D"/>
      <x:name val="Arial"/>
    </x:font>
    <x:font>
      <x:b/>
      <x:sz val="11"/>
      <x:color rgb="FF17365D"/>
      <x:name val="Arial"/>
    </x:font>
    <x:font>
      <x:b/>
      <x:sz val="11"/>
      <x:color rgb="FFFFFFFF"/>
      <x:name val="Arial"/>
    </x:font>
    <x:font>
      <x:sz val="10"/>
      <x:name val="Arial"/>
    </x:font>
    <x:font>
      <x:i/>
      <x:sz val="11"/>
      <x:color rgb="FF7F6000"/>
      <x:name val="Arial"/>
    </x:font>
    <x:font>
      <x:b/>
      <x:sz val="11"/>
      <x:color rgb="FF385723"/>
      <x:name val="Arial"/>
    </x:font>
    <x:font>
      <x:sz val="11"/>
      <x:color rgb="FF17365D"/>
      <x:name val="Arial"/>
    </x:font>
    <x:font>
      <x:b/>
      <x:sz val="10"/>
      <x:color rgb="FF1F1F1F"/>
      <x:name val="Arial"/>
    </x:font>
    <x:font>
      <x:sz val="10"/>
      <x:color rgb="FF1F1F1F"/>
      <x:name val="Arial"/>
    </x:font>
    <x:font>
      <x:i/>
      <x:sz val="10"/>
      <x:color rgb="FF1F1F1F"/>
      <x:name val="Arial"/>
    </x:font>
    <x:font>
      <x:b/>
      <x:sz val="10"/>
      <x:color rgb="FFFFFFFF"/>
      <x:name val="Arial"/>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0" borderId="0" xfId="0" applyNumberFormat="1" applyFont="1" applyFill="1" applyBorder="1"/>
    <x:xf numFmtId="0" fontId="9" fillId="3" borderId="0" xfId="0" applyNumberFormat="1" applyFont="1" applyFill="1" applyBorder="1" applyAlignment="1">
      <x:alignment vertical="center" wrapText="1"/>
    </x:xf>
    <x:xf numFmtId="0" fontId="9" fillId="3" borderId="0" xfId="0" applyNumberFormat="1" applyFont="1" applyFill="1" applyBorder="1"/>
    <x:xf numFmtId="0" fontId="9" fillId="4" borderId="0" xfId="0" applyNumberFormat="1" applyFont="1" applyFill="1" applyBorder="1" applyAlignment="1">
      <x:alignment horizontal="center" wrapText="1"/>
    </x:xf>
    <x:xf numFmtId="0" fontId="10" fillId="0"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9" fillId="2" borderId="1" xfId="0" applyNumberFormat="1" applyFont="1" applyFill="1" applyBorder="1" applyAlignment="1">
      <x:alignment horizontal="center" vertical="center"/>
    </x:xf>
    <x:xf numFmtId="0" fontId="10" fillId="0" borderId="1" xfId="0" applyNumberFormat="1" applyFont="1" applyFill="1" applyBorder="1"/>
    <x:xf numFmtId="0" fontId="9" fillId="3" borderId="1" xfId="0" applyNumberFormat="1" applyFont="1" applyFill="1" applyBorder="1" applyAlignment="1">
      <x:alignment vertical="center" wrapText="1"/>
    </x:xf>
    <x:xf numFmtId="0" fontId="9" fillId="3" borderId="1" xfId="0" applyNumberFormat="1" applyFont="1" applyFill="1" applyBorder="1"/>
    <x:xf numFmtId="0" fontId="9" fillId="4" borderId="1" xfId="0" applyNumberFormat="1" applyFont="1" applyFill="1" applyBorder="1" applyAlignment="1">
      <x:alignment horizontal="center" wrapText="1"/>
    </x:xf>
    <x:xf numFmtId="0" fontId="10" fillId="0"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9" fillId="2"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6" borderId="0" xfId="0" applyNumberFormat="1" applyFont="1" applyFill="1" applyBorder="1" applyAlignment="1">
      <x:alignment vertical="center" wrapText="1"/>
    </x:xf>
    <x:xf numFmtId="200" fontId="10" fillId="0" borderId="0" xfId="0" applyNumberFormat="1" applyFont="1" applyFill="1" applyBorder="1"/>
    <x:xf numFmtId="0" fontId="9" fillId="2" borderId="1" xfId="0" applyNumberFormat="1" applyFont="1" applyFill="1" applyBorder="1" applyAlignment="1">
      <x:alignment horizontal="center"/>
    </x:xf>
    <x:xf numFmtId="0" fontId="9" fillId="4" borderId="1" xfId="0" applyNumberFormat="1" applyFont="1" applyFill="1" applyBorder="1" applyAlignment="1">
      <x:alignment horizontal="center"/>
    </x:xf>
    <x:xf numFmtId="0" fontId="9" fillId="6" borderId="1" xfId="0" applyNumberFormat="1" applyFont="1" applyFill="1" applyBorder="1" applyAlignment="1">
      <x:alignment vertical="center" wrapText="1"/>
    </x:xf>
    <x:xf numFmtId="200" fontId="10" fillId="0" borderId="1" xfId="0" applyNumberFormat="1" applyFont="1" applyFill="1" applyBorder="1"/>
    <x:xf numFmtId="0" fontId="10" fillId="3" borderId="0" xfId="0" applyNumberFormat="1" applyFont="1" applyFill="1" applyBorder="1" applyAlignment="1">
      <x:alignment wrapText="1"/>
    </x:xf>
    <x:xf numFmtId="0" fontId="10" fillId="5" borderId="0" xfId="0" applyNumberFormat="1" applyFont="1" applyFill="1" applyBorder="1" applyAlignment="1">
      <x:alignment wrapText="1"/>
    </x:xf>
    <x:xf numFmtId="0" fontId="9" fillId="6" borderId="0" xfId="0" applyNumberFormat="1" applyFont="1" applyFill="1" applyBorder="1"/>
    <x:xf numFmtId="0" fontId="10" fillId="3" borderId="1" xfId="0" applyNumberFormat="1" applyFont="1" applyFill="1" applyBorder="1" applyAlignment="1">
      <x:alignment wrapText="1"/>
    </x:xf>
    <x:xf numFmtId="0" fontId="10" fillId="5" borderId="1" xfId="0" applyNumberFormat="1" applyFont="1" applyFill="1" applyBorder="1" applyAlignment="1">
      <x:alignment wrapText="1"/>
    </x:xf>
    <x:xf numFmtId="0" fontId="9" fillId="6" borderId="1" xfId="0" applyNumberFormat="1" applyFont="1" applyFill="1" applyBorder="1"/>
    <x:xf numFmtId="0" fontId="12" fillId="4" borderId="0" xfId="0" applyNumberFormat="1" applyFont="1" applyFill="1" applyBorder="1" applyAlignment="1">
      <x:alignment horizontal="center" wrapText="1"/>
    </x:xf>
    <x:xf numFmtId="0" fontId="12" fillId="4" borderId="1" xfId="0" applyNumberFormat="1" applyFont="1" applyFill="1" applyBorder="1" applyAlignment="1">
      <x:alignment horizontal="center" wrapText="1"/>
    </x:xf>
    <x:xf numFmtId="0" fontId="12" fillId="4" borderId="0" xfId="0" applyNumberFormat="1" applyFont="1" applyFill="1" applyBorder="1" applyAlignment="1">
      <x:alignment horizontal="center"/>
    </x:xf>
    <x:xf numFmtId="0" fontId="12" fillId="4" borderId="1" xfId="0" applyNumberFormat="1" applyFont="1" applyFill="1" applyBorder="1" applyAlignment="1">
      <x:alignment horizontal="center"/>
    </x:xf>
  </x:cellXfs>
  <x:cellStyles count="1">
    <x:cellStyle name="Normal" xfId="0"/>
  </x:cellStyles>
  <x:dxfs count="10">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d5c0a2891c41d6" /><Relationship Type="http://schemas.openxmlformats.org/officeDocument/2006/relationships/theme" Target="/xl/theme/theme1.xml" Id="R45dee9ab6e91474b" /><Relationship Type="http://schemas.openxmlformats.org/officeDocument/2006/relationships/sharedStrings" Target="/xl/sharedStrings.xml" Id="Ra191df459d81472b" /><Relationship Type="http://schemas.openxmlformats.org/officeDocument/2006/relationships/worksheet" Target="/xl/worksheets/sheet1.xml" Id="R23f7986b02ed4e72" /><Relationship Type="http://schemas.openxmlformats.org/officeDocument/2006/relationships/worksheet" Target="/xl/worksheets/sheet2.xml" Id="R3e9841962f324dbe" /><Relationship Type="http://schemas.openxmlformats.org/officeDocument/2006/relationships/worksheet" Target="/xl/worksheets/sheet3.xml" Id="Raeb8713b8eb741a2" /><Relationship Type="http://schemas.openxmlformats.org/officeDocument/2006/relationships/worksheet" Target="/xl/worksheets/sheet4.xml" Id="Rd55b9f59618b4b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26" hidden="0" customWidth="1"/>
    <x:col min="5" max="5" width="3" hidden="0" customWidth="1"/>
    <x:col min="6" max="6" width="28" hidden="0" customWidth="1"/>
    <x:col min="7" max="7" width="26" hidden="0" customWidth="1"/>
    <x:col min="8" max="8" width="31" hidden="0" customWidth="1"/>
  </x:cols>
  <x:sheetData>
    <x:row r="1" ht="30" customHeight="1">
      <x:c r="A1" s="5" t="str">
        <x:v>D2-2b: Extremely Narrow Pressure Window under a Product-Flow Band</x:v>
      </x:c>
      <x:c r="B1" s="5"/>
      <x:c r="C1" s="5"/>
      <x:c r="D1" s="5"/>
      <x:c r="E1" s="5"/>
      <x:c r="F1" s="5"/>
      <x:c r="G1" s="5"/>
      <x:c r="H1" s="5"/>
    </x:row>
    <x:row r="2">
      <x:c r="A2" s="61"/>
      <x:c r="B2" s="61"/>
      <x:c r="C2" s="61"/>
      <x:c r="D2" s="61"/>
      <x:c r="E2" s="61"/>
      <x:c r="F2" s="61"/>
      <x:c r="G2" s="61"/>
      <x:c r="H2" s="61"/>
    </x:row>
    <x:row r="3">
      <x:c r="A3" s="61"/>
      <x:c r="B3" s="61"/>
      <x:c r="C3" s="61"/>
      <x:c r="D3" s="61"/>
      <x:c r="E3" s="61"/>
      <x:c r="F3" s="61"/>
      <x:c r="G3" s="61"/>
      <x:c r="H3" s="61"/>
    </x:row>
    <x:row r="4" ht="36" customHeight="1">
      <x:c r="A4" s="62" t="str">
        <x:v>The SWRO train is healthy, but the downstream post-treatment unit can only accept a permeate-flow band of 6.900–6.910 m³/h. Feed flow is locked at 4.30 kg/s, so only Pressure may be adjusted. At 0.05-bar resolution, locate the Pressure window satisfying the product-flow band, Recovery, Flux, and water quality. A single PASS is not enough; both sides of the window must be demonstrated.</x:v>
      </x:c>
      <x:c r="B4" s="62"/>
      <x:c r="C4" s="62"/>
      <x:c r="D4" s="62"/>
      <x:c r="E4" s="62"/>
      <x:c r="F4" s="62"/>
      <x:c r="G4" s="62"/>
      <x:c r="H4" s="62"/>
    </x:row>
    <x:row r="5" ht="36" customHeight="1">
      <x:c r="A5" s="62"/>
      <x:c r="B5" s="62"/>
      <x:c r="C5" s="62"/>
      <x:c r="D5" s="62"/>
      <x:c r="E5" s="62"/>
      <x:c r="F5" s="62"/>
      <x:c r="G5" s="62"/>
      <x:c r="H5" s="62"/>
    </x:row>
    <x:row r="6">
      <x:c r="A6" s="61"/>
      <x:c r="B6" s="61"/>
      <x:c r="C6" s="61"/>
      <x:c r="D6" s="61"/>
      <x:c r="E6" s="61"/>
      <x:c r="F6" s="61"/>
      <x:c r="G6" s="61"/>
      <x:c r="H6" s="61"/>
    </x:row>
    <x:row r="7">
      <x:c r="A7" s="61"/>
      <x:c r="B7" s="61"/>
      <x:c r="C7" s="61"/>
      <x:c r="D7" s="61"/>
      <x:c r="E7" s="61"/>
      <x:c r="F7" s="61"/>
      <x:c r="G7" s="61"/>
      <x:c r="H7" s="61"/>
    </x:row>
    <x:row r="8">
      <x:c r="A8" s="63" t="str">
        <x:v>Fixed System Parameters</x:v>
      </x:c>
      <x:c r="B8" s="63"/>
      <x:c r="C8" s="63"/>
      <x:c r="D8" s="63"/>
      <x:c r="E8" s="61"/>
      <x:c r="F8" s="63" t="str">
        <x:v>Operating Objectives and Item Constraints</x:v>
      </x:c>
      <x:c r="G8" s="63"/>
      <x:c r="H8" s="63"/>
    </x:row>
    <x:row r="9">
      <x:c r="A9" s="88" t="str">
        <x:v>Category</x:v>
      </x:c>
      <x:c r="B9" s="88" t="str">
        <x:v>Parameter</x:v>
      </x:c>
      <x:c r="C9" s="88" t="str">
        <x:v>Value</x:v>
      </x:c>
      <x:c r="D9" s="88" t="str">
        <x:v>Note</x:v>
      </x:c>
      <x:c r="E9" s="61"/>
      <x:c r="F9" s="88" t="str">
        <x:v>Item</x:v>
      </x:c>
      <x:c r="G9" s="88" t="str">
        <x:v>Requirement / Value</x:v>
      </x:c>
      <x:c r="H9" s="88" t="str">
        <x:v>Note</x:v>
      </x:c>
    </x:row>
    <x:row r="10">
      <x:c r="A10" s="65" t="str">
        <x:v>Feed</x:v>
      </x:c>
      <x:c r="B10" s="65" t="str">
        <x:v>NaCl mass fraction</x:v>
      </x:c>
      <x:c r="C10" s="65" t="n">
        <x:v>0.03</x:v>
      </x:c>
      <x:c r="D10" s="65" t="str">
        <x:v>Fixed; ~30.5 g/L</x:v>
      </x:c>
      <x:c r="E10" s="61"/>
      <x:c r="F10" s="65" t="str">
        <x:v>Qp minimum</x:v>
      </x:c>
      <x:c r="G10" s="65" t="n">
        <x:v>6.9</x:v>
      </x:c>
      <x:c r="H10" s="65" t="str">
        <x:v>m³/h</x:v>
      </x:c>
    </x:row>
    <x:row r="11">
      <x:c r="A11" s="65" t="str">
        <x:v>Feed</x:v>
      </x:c>
      <x:c r="B11" s="65" t="str">
        <x:v>Temperature</x:v>
      </x:c>
      <x:c r="C11" s="65" t="n">
        <x:v>32</x:v>
      </x:c>
      <x:c r="D11" s="65" t="str">
        <x:v>°C; fixed</x:v>
      </x:c>
      <x:c r="E11" s="61"/>
      <x:c r="F11" s="65" t="str">
        <x:v>Qp maximum</x:v>
      </x:c>
      <x:c r="G11" s="65" t="str">
        <x:v>None</x:v>
      </x:c>
      <x:c r="H11" s="65" t="str">
        <x:v>No upper limit</x:v>
      </x:c>
    </x:row>
    <x:row r="12">
      <x:c r="A12" s="65" t="str">
        <x:v>Membrane</x:v>
      </x:c>
      <x:c r="B12" s="65" t="str">
        <x:v>Effective membrane area</x:v>
      </x:c>
      <x:c r="C12" s="65" t="n">
        <x:v>400</x:v>
      </x:c>
      <x:c r="D12" s="65" t="str">
        <x:v>m²; fixed</x:v>
      </x:c>
      <x:c r="E12" s="61"/>
      <x:c r="F12" s="65" t="str">
        <x:v>Recovery maximum</x:v>
      </x:c>
      <x:c r="G12" s="65" t="n">
        <x:v>46</x:v>
      </x:c>
      <x:c r="H12" s="65" t="str">
        <x:v>%</x:v>
      </x:c>
    </x:row>
    <x:row r="13">
      <x:c r="A13" s="65" t="str">
        <x:v>Membrane</x:v>
      </x:c>
      <x:c r="B13" s="65" t="str">
        <x:v>A_comp</x:v>
      </x:c>
      <x:c r="C13" s="65" t="n">
        <x:v>4.2e-12</x:v>
      </x:c>
      <x:c r="D13" s="65" t="str">
        <x:v>m/s/Pa; fixed</x:v>
      </x:c>
      <x:c r="E13" s="61"/>
      <x:c r="F13" s="65" t="str">
        <x:v>Flux maximum</x:v>
      </x:c>
      <x:c r="G13" s="65" t="n">
        <x:v>18</x:v>
      </x:c>
      <x:c r="H13" s="65" t="str">
        <x:v>LMH</x:v>
      </x:c>
    </x:row>
    <x:row r="14">
      <x:c r="A14" s="65" t="str">
        <x:v>Membrane</x:v>
      </x:c>
      <x:c r="B14" s="65" t="str">
        <x:v>B_comp</x:v>
      </x:c>
      <x:c r="C14" s="65" t="n">
        <x:v>3.4e-8</x:v>
      </x:c>
      <x:c r="D14" s="65" t="str">
        <x:v>m/s; fixed</x:v>
      </x:c>
      <x:c r="E14" s="61"/>
      <x:c r="F14" s="65" t="str">
        <x:v>Salt rejection minimum</x:v>
      </x:c>
      <x:c r="G14" s="65" t="n">
        <x:v>98.7</x:v>
      </x:c>
      <x:c r="H14" s="65" t="str">
        <x:v>%</x:v>
      </x:c>
    </x:row>
    <x:row r="15">
      <x:c r="A15" s="65" t="str">
        <x:v>Hydraulics</x:v>
      </x:c>
      <x:c r="B15" s="65" t="str">
        <x:v>Permeate pressure</x:v>
      </x:c>
      <x:c r="C15" s="65" t="n">
        <x:v>1.013</x:v>
      </x:c>
      <x:c r="D15" s="65" t="str">
        <x:v>bar</x:v>
      </x:c>
      <x:c r="E15" s="61"/>
      <x:c r="F15" s="65" t="str">
        <x:v>Permeate NaCl maximum</x:v>
      </x:c>
      <x:c r="G15" s="65" t="n">
        <x:v>342.2</x:v>
      </x:c>
      <x:c r="H15" s="65" t="str">
        <x:v>mg/L</x:v>
      </x:c>
    </x:row>
    <x:row r="16">
      <x:c r="A16" s="65" t="str">
        <x:v>Hydraulics</x:v>
      </x:c>
      <x:c r="B16" s="65" t="str">
        <x:v>Pressure drop</x:v>
      </x:c>
      <x:c r="C16" s="65" t="n">
        <x:v>0.653</x:v>
      </x:c>
      <x:c r="D16" s="65" t="str">
        <x:v>bar</x:v>
      </x:c>
      <x:c r="E16" s="61"/>
      <x:c r="F16" s="65" t="str">
        <x:v>Current setpoint</x:v>
      </x:c>
      <x:c r="G16" s="65" t="str">
        <x:v>52.90 bar / 4.30 kg/s</x:v>
      </x:c>
      <x:c r="H16" s="65" t="str">
        <x:v>Permeate flow is above the downstream band</x:v>
      </x:c>
    </x:row>
    <x:row r="17">
      <x:c r="A17" s="65" t="str">
        <x:v>Channel</x:v>
      </x:c>
      <x:c r="B17" s="65" t="str">
        <x:v>Channel height</x:v>
      </x:c>
      <x:c r="C17" s="65" t="n">
        <x:v>0.002</x:v>
      </x:c>
      <x:c r="D17" s="65" t="str">
        <x:v>m</x:v>
      </x:c>
      <x:c r="E17" s="61"/>
      <x:c r="F17" s="65" t="str">
        <x:v>Feed flow</x:v>
      </x:c>
      <x:c r="G17" s="65" t="str">
        <x:v>Fixed at 4.30 kg/s</x:v>
      </x:c>
      <x:c r="H17" s="65" t="str">
        <x:v>Not adjustable</x:v>
      </x:c>
    </x:row>
    <x:row r="18">
      <x:c r="A18" s="65" t="str">
        <x:v>Channel</x:v>
      </x:c>
      <x:c r="B18" s="65" t="str">
        <x:v>Spacer porosity</x:v>
      </x:c>
      <x:c r="C18" s="65" t="n">
        <x:v>0.75</x:v>
      </x:c>
      <x:c r="D18" s="65" t="str">
        <x:v>-</x:v>
      </x:c>
      <x:c r="E18" s="61"/>
      <x:c r="F18" s="65" t="str">
        <x:v>Pressure candidates</x:v>
      </x:c>
      <x:c r="G18" s="65" t="str">
        <x:v>52.60 / 52.65 / 52.90 bar</x:v>
      </x:c>
      <x:c r="H18" s="65" t="str">
        <x:v>Both sides of the window must be shown</x:v>
      </x:c>
    </x:row>
    <x:row r="19">
      <x:c r="A19" s="65" t="str">
        <x:v>Channel</x:v>
      </x:c>
      <x:c r="B19" s="65" t="str">
        <x:v>Equivalent module length</x:v>
      </x:c>
      <x:c r="C19" s="65" t="n">
        <x:v>20</x:v>
      </x:c>
      <x:c r="D19" s="65" t="str">
        <x:v>m</x:v>
      </x:c>
      <x:c r="E19" s="61"/>
      <x:c r="F19" s="65" t="str">
        <x:v>Objective</x:v>
      </x:c>
      <x:c r="G19" s="65" t="str">
        <x:v>Complete feasible window</x:v>
      </x:c>
      <x:c r="H19" s="65" t="str">
        <x:v>Do not stop at the first PASS</x:v>
      </x:c>
    </x:row>
    <x:row r="20">
      <x:c r="A20" s="65" t="str">
        <x:v>Model</x:v>
      </x:c>
      <x:c r="B20" s="65" t="str">
        <x:v>Concentration polarization / mass transfer</x:v>
      </x:c>
      <x:c r="C20" s="65" t="str">
        <x:v>calculated</x:v>
      </x:c>
      <x:c r="D20" s="65" t="str">
        <x:v>WaterTAP calculated</x:v>
      </x:c>
      <x:c r="E20" s="61"/>
      <x:c r="F20" s="61"/>
      <x:c r="G20" s="61"/>
      <x:c r="H20" s="61"/>
    </x:row>
    <x:row r="21">
      <x:c r="A21" s="61"/>
      <x:c r="B21" s="61"/>
      <x:c r="C21" s="61"/>
      <x:c r="D21" s="61"/>
      <x:c r="E21" s="61"/>
      <x:c r="F21" s="61"/>
      <x:c r="G21" s="61"/>
      <x:c r="H21" s="61"/>
    </x:row>
    <x:row r="22">
      <x:c r="A22" s="61"/>
      <x:c r="B22" s="61"/>
      <x:c r="C22" s="61"/>
      <x:c r="D22" s="61"/>
      <x:c r="E22" s="61"/>
      <x:c r="F22" s="63" t="str">
        <x:v>Required Tasks</x:v>
      </x:c>
      <x:c r="G22" s="63"/>
      <x:c r="H22" s="63"/>
    </x:row>
    <x:row r="23" ht="34" customHeight="1">
      <x:c r="A23" s="61"/>
      <x:c r="B23" s="61"/>
      <x:c r="C23" s="61"/>
      <x:c r="D23" s="61"/>
      <x:c r="E23" s="61"/>
      <x:c r="F23" s="65" t="str">
        <x:v>1. Explain why 52.90 bar is unacceptable as the current setpoint.</x:v>
      </x:c>
      <x:c r="G23" s="65"/>
      <x:c r="H23" s="65"/>
    </x:row>
    <x:row r="24" ht="34" customHeight="1">
      <x:c r="A24" s="61"/>
      <x:c r="B24" s="61"/>
      <x:c r="C24" s="61"/>
      <x:c r="D24" s="61"/>
      <x:c r="E24" s="61"/>
      <x:c r="F24" s="65" t="str">
        <x:v>2. Search downward and test whether 52.65 bar satisfies every constraint.</x:v>
      </x:c>
      <x:c r="G24" s="65"/>
      <x:c r="H24" s="65"/>
    </x:row>
    <x:row r="25" ht="34" customHeight="1">
      <x:c r="A25" s="61"/>
      <x:c r="B25" s="61"/>
      <x:c r="C25" s="61"/>
      <x:c r="D25" s="61"/>
      <x:c r="E25" s="61"/>
      <x:c r="F25" s="65" t="str">
        <x:v>3. Test 52.60 bar to establish whether the lower boundary is Qp-controlled.</x:v>
      </x:c>
      <x:c r="G25" s="65"/>
      <x:c r="H25" s="65"/>
    </x:row>
    <x:row r="26" ht="34" customHeight="1">
      <x:c r="A26" s="61"/>
      <x:c r="B26" s="61"/>
      <x:c r="C26" s="61"/>
      <x:c r="D26" s="61"/>
      <x:c r="E26" s="61"/>
      <x:c r="F26" s="65" t="str">
        <x:v>4. Combine the 52.90 upper-side failure with the 52.60 lower-side failure and report the complete feasible Pressure window at 0.05-bar resolution.</x:v>
      </x:c>
      <x:c r="G26" s="65"/>
      <x:c r="H26" s="65"/>
    </x:row>
    <x:row r="27">
      <x:c r="A27" s="61"/>
      <x:c r="B27" s="61"/>
      <x:c r="C27" s="61"/>
      <x:c r="D27" s="61"/>
      <x:c r="E27" s="61"/>
      <x:c r="F27" s="61"/>
      <x:c r="G27" s="61"/>
      <x:c r="H27" s="61"/>
    </x:row>
    <x:row r="28">
      <x:c r="A28" s="66" t="str">
        <x:v>Task boundary: In D2-2b, feed conditions, membrane properties, area, and system structure remain fixed. The problem arises from the operating setpoint or the allowed operating envelope. Do not change feed quality, temperature, membrane area, or A/B.</x:v>
      </x:c>
      <x:c r="B28" s="66"/>
      <x:c r="C28" s="66"/>
      <x:c r="D28" s="66"/>
      <x:c r="E28" s="61"/>
      <x:c r="F28" s="61"/>
      <x:c r="G28" s="61"/>
      <x:c r="H28" s="61"/>
    </x:row>
    <x:row r="29">
      <x:c r="A29" s="66"/>
      <x:c r="B29" s="66"/>
      <x:c r="C29" s="66"/>
      <x:c r="D29" s="66"/>
      <x:c r="E29" s="61"/>
      <x:c r="F29" s="61"/>
      <x:c r="G29" s="61"/>
      <x:c r="H29" s="61"/>
    </x:row>
  </x:sheetData>
  <x:mergeCells>
    <x:mergeCell ref="A1:H1"/>
    <x:mergeCell ref="A4:H5"/>
    <x:mergeCell ref="A8:D8"/>
    <x:mergeCell ref="F8:H8"/>
    <x:mergeCell ref="F22:H22"/>
    <x:mergeCell ref="F23:H23"/>
    <x:mergeCell ref="F24:H24"/>
    <x:mergeCell ref="F25:H25"/>
    <x:mergeCell ref="F26:H26"/>
    <x:mergeCell ref="A28:D29"/>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4" hidden="0" customWidth="1"/>
    <x:col min="17" max="17" width="12" hidden="0" customWidth="1"/>
  </x:cols>
  <x:sheetData>
    <x:row r="1" ht="30" customHeight="1">
      <x:c r="A1" s="4" t="str">
        <x:v>D2-2b: Gold Answer — Advanced Operating Setpoint Adjustment</x:v>
      </x:c>
      <x:c r="B1" s="4"/>
      <x:c r="C1" s="4"/>
      <x:c r="D1" s="4"/>
      <x:c r="E1" s="4"/>
      <x:c r="F1" s="4"/>
      <x:c r="G1" s="4"/>
      <x:c r="H1" s="4"/>
      <x:c r="I1" s="4"/>
      <x:c r="J1" s="4"/>
      <x:c r="K1" s="4"/>
      <x:c r="L1" s="4"/>
      <x:c r="M1" s="4"/>
      <x:c r="N1" s="4"/>
      <x:c r="O1" s="4"/>
      <x:c r="P1" s="4"/>
      <x:c r="Q1" s="4"/>
    </x:row>
    <x:row r="2">
      <x:c r="A2" s="61"/>
      <x:c r="B2" s="61"/>
      <x:c r="C2" s="61"/>
      <x:c r="D2" s="61"/>
      <x:c r="E2" s="61"/>
      <x:c r="F2" s="61"/>
      <x:c r="G2" s="61"/>
      <x:c r="H2" s="61"/>
      <x:c r="I2" s="61"/>
      <x:c r="J2" s="61"/>
      <x:c r="K2" s="61"/>
      <x:c r="L2" s="61"/>
      <x:c r="M2" s="61"/>
      <x:c r="N2" s="61"/>
      <x:c r="O2" s="61"/>
      <x:c r="P2" s="61"/>
      <x:c r="Q2" s="61"/>
    </x:row>
    <x:row r="3">
      <x:c r="A3" s="61"/>
      <x:c r="B3" s="61"/>
      <x:c r="C3" s="61"/>
      <x:c r="D3" s="61"/>
      <x:c r="E3" s="61"/>
      <x:c r="F3" s="61"/>
      <x:c r="G3" s="61"/>
      <x:c r="H3" s="61"/>
      <x:c r="I3" s="61"/>
      <x:c r="J3" s="61"/>
      <x:c r="K3" s="61"/>
      <x:c r="L3" s="61"/>
      <x:c r="M3" s="61"/>
      <x:c r="N3" s="61"/>
      <x:c r="O3" s="90" t="str">
        <x:v>Constraint</x:v>
      </x:c>
      <x:c r="P3" s="90" t="str">
        <x:v>Value</x:v>
      </x:c>
      <x:c r="Q3" s="90" t="str">
        <x:v>Unit</x:v>
      </x:c>
    </x:row>
    <x:row r="4" ht="44" customHeight="1">
      <x:c r="A4" s="76" t="str">
        <x:v>At 52.90 bar, Qp≈6.952 m³/h exceeds the 6.910 upper limit; at 52.60 bar, Qp≈6.896 m³/h falls below the 6.900 lower limit. At 52.65 bar, Qp≈6.9055, Recovery≈45.614%, Flux≈17.258 LMH, and permeate NaCl≈341.83 mg/L all pass. Therefore, at the stated 0.05-bar resolution, the feasible Pressure window collapses to the single setpoint 52.65 bar.</x:v>
      </x:c>
      <x:c r="B4" s="76"/>
      <x:c r="C4" s="76"/>
      <x:c r="D4" s="76"/>
      <x:c r="E4" s="76"/>
      <x:c r="F4" s="76"/>
      <x:c r="G4" s="76"/>
      <x:c r="H4" s="76"/>
      <x:c r="I4" s="76"/>
      <x:c r="J4" s="76"/>
      <x:c r="K4" s="76"/>
      <x:c r="L4" s="76"/>
      <x:c r="M4" s="76"/>
      <x:c r="N4" s="76"/>
      <x:c r="O4" s="77" t="str">
        <x:v>Qp min</x:v>
      </x:c>
      <x:c r="P4" s="77" t="n">
        <x:v>6.9</x:v>
      </x:c>
      <x:c r="Q4" s="77" t="str">
        <x:v>m³/h</x:v>
      </x:c>
    </x:row>
    <x:row r="5" ht="44" customHeight="1">
      <x:c r="A5" s="76"/>
      <x:c r="B5" s="76"/>
      <x:c r="C5" s="76"/>
      <x:c r="D5" s="76"/>
      <x:c r="E5" s="76"/>
      <x:c r="F5" s="76"/>
      <x:c r="G5" s="76"/>
      <x:c r="H5" s="76"/>
      <x:c r="I5" s="76"/>
      <x:c r="J5" s="76"/>
      <x:c r="K5" s="76"/>
      <x:c r="L5" s="76"/>
      <x:c r="M5" s="76"/>
      <x:c r="N5" s="76"/>
      <x:c r="O5" s="77" t="str">
        <x:v>Qp max</x:v>
      </x:c>
      <x:c r="P5" s="77" t="n">
        <x:v>6.91</x:v>
      </x:c>
      <x:c r="Q5" s="77" t="str">
        <x:v>m³/h</x:v>
      </x:c>
    </x:row>
    <x:row r="6">
      <x:c r="A6" s="61"/>
      <x:c r="B6" s="61"/>
      <x:c r="C6" s="61"/>
      <x:c r="D6" s="61"/>
      <x:c r="E6" s="61"/>
      <x:c r="F6" s="61"/>
      <x:c r="G6" s="61"/>
      <x:c r="H6" s="61"/>
      <x:c r="I6" s="61"/>
      <x:c r="J6" s="61"/>
      <x:c r="K6" s="61"/>
      <x:c r="L6" s="61"/>
      <x:c r="M6" s="61"/>
      <x:c r="N6" s="61"/>
      <x:c r="O6" s="77" t="str">
        <x:v>Recovery max</x:v>
      </x:c>
      <x:c r="P6" s="77" t="n">
        <x:v>46</x:v>
      </x:c>
      <x:c r="Q6" s="77" t="str">
        <x:v>%</x:v>
      </x:c>
    </x:row>
    <x:row r="7">
      <x:c r="A7" s="61"/>
      <x:c r="B7" s="61"/>
      <x:c r="C7" s="61"/>
      <x:c r="D7" s="61"/>
      <x:c r="E7" s="61"/>
      <x:c r="F7" s="61"/>
      <x:c r="G7" s="61"/>
      <x:c r="H7" s="61"/>
      <x:c r="I7" s="61"/>
      <x:c r="J7" s="61"/>
      <x:c r="K7" s="61"/>
      <x:c r="L7" s="61"/>
      <x:c r="M7" s="61"/>
      <x:c r="N7" s="61"/>
      <x:c r="O7" s="77" t="str">
        <x:v>Flux max</x:v>
      </x:c>
      <x:c r="P7" s="77" t="n">
        <x:v>18</x:v>
      </x:c>
      <x:c r="Q7" s="77" t="str">
        <x:v>LMH</x:v>
      </x:c>
    </x:row>
    <x:row r="8">
      <x:c r="A8" s="63" t="str">
        <x:v>Continuous Reasoning Trajectory</x:v>
      </x:c>
      <x:c r="B8" s="63"/>
      <x:c r="C8" s="63"/>
      <x:c r="D8" s="63"/>
      <x:c r="E8" s="63"/>
      <x:c r="F8" s="63"/>
      <x:c r="G8" s="61"/>
      <x:c r="H8" s="61"/>
      <x:c r="I8" s="61"/>
      <x:c r="J8" s="61"/>
      <x:c r="K8" s="61"/>
      <x:c r="L8" s="61"/>
      <x:c r="M8" s="61"/>
      <x:c r="N8" s="61"/>
      <x:c r="O8" s="77" t="str">
        <x:v>Rejection min</x:v>
      </x:c>
      <x:c r="P8" s="77" t="n">
        <x:v>98.7</x:v>
      </x:c>
      <x:c r="Q8" s="77" t="str">
        <x:v>%</x:v>
      </x:c>
    </x:row>
    <x:row r="9">
      <x:c r="A9" s="88" t="str">
        <x:v>Node</x:v>
      </x:c>
      <x:c r="B9" s="88" t="str">
        <x:v>Evidence point</x:v>
      </x:c>
      <x:c r="C9" s="88" t="str">
        <x:v>Key observation</x:v>
      </x:c>
      <x:c r="D9" s="88" t="str">
        <x:v>State update</x:v>
      </x:c>
      <x:c r="E9" s="88" t="str">
        <x:v>Engineering meaning</x:v>
      </x:c>
      <x:c r="F9" s="88" t="str">
        <x:v>Decision</x:v>
      </x:c>
      <x:c r="G9" s="61"/>
      <x:c r="H9" s="61"/>
      <x:c r="I9" s="61"/>
      <x:c r="J9" s="61"/>
      <x:c r="K9" s="61"/>
      <x:c r="L9" s="61"/>
      <x:c r="M9" s="61"/>
      <x:c r="N9" s="61"/>
      <x:c r="O9" s="77" t="str">
        <x:v>NaCl max</x:v>
      </x:c>
      <x:c r="P9" s="77" t="n">
        <x:v>342.2</x:v>
      </x:c>
      <x:c r="Q9" s="77" t="str">
        <x:v>mg/L</x:v>
      </x:c>
    </x:row>
    <x:row r="10" ht="60" customHeight="1">
      <x:c r="A10" s="65" t="str">
        <x:v>Upper-side check</x:v>
      </x:c>
      <x:c r="B10" s="65" t="str">
        <x:v>E</x:v>
      </x:c>
      <x:c r="C10" s="65" t="str">
        <x:v>Qp is above the product-flow band</x:v>
      </x:c>
      <x:c r="D10" s="65" t="str">
        <x:v>Upper side FAIL</x:v>
      </x:c>
      <x:c r="E10" s="65" t="str">
        <x:v>Need to search downward</x:v>
      </x:c>
      <x:c r="F10" s="65" t="str">
        <x:v>Continue</x:v>
      </x:c>
      <x:c r="G10" s="61"/>
      <x:c r="H10" s="61"/>
      <x:c r="I10" s="61"/>
      <x:c r="J10" s="61"/>
      <x:c r="K10" s="61"/>
      <x:c r="L10" s="61"/>
      <x:c r="M10" s="61"/>
      <x:c r="N10" s="61"/>
      <x:c r="O10" s="61"/>
      <x:c r="P10" s="61"/>
      <x:c r="Q10" s="61"/>
    </x:row>
    <x:row r="11" ht="60" customHeight="1">
      <x:c r="A11" s="65" t="str">
        <x:v>Candidate center</x:v>
      </x:c>
      <x:c r="B11" s="65" t="str">
        <x:v>G</x:v>
      </x:c>
      <x:c r="C11" s="65" t="str">
        <x:v>All constraints pass</x:v>
      </x:c>
      <x:c r="D11" s="65" t="str">
        <x:v>Tentatively feasible</x:v>
      </x:c>
      <x:c r="E11" s="65" t="str">
        <x:v>A PASS alone is not sufficient</x:v>
      </x:c>
      <x:c r="F11" s="65" t="str">
        <x:v>Check lower side</x:v>
      </x:c>
      <x:c r="G11" s="61"/>
      <x:c r="H11" s="61"/>
      <x:c r="I11" s="61"/>
      <x:c r="J11" s="61"/>
      <x:c r="K11" s="61"/>
      <x:c r="L11" s="61"/>
      <x:c r="M11" s="61"/>
      <x:c r="N11" s="61"/>
      <x:c r="O11" s="61"/>
      <x:c r="P11" s="61"/>
      <x:c r="Q11" s="61"/>
    </x:row>
    <x:row r="12" ht="60" customHeight="1">
      <x:c r="A12" s="65" t="str">
        <x:v>Lower-side check</x:v>
      </x:c>
      <x:c r="B12" s="65" t="str">
        <x:v>F</x:v>
      </x:c>
      <x:c r="C12" s="65" t="str">
        <x:v>Qp is below the product-flow band</x:v>
      </x:c>
      <x:c r="D12" s="65" t="str">
        <x:v>Lower side FAIL</x:v>
      </x:c>
      <x:c r="E12" s="65" t="str">
        <x:v>Lower boundary is established</x:v>
      </x:c>
      <x:c r="F12" s="65" t="str">
        <x:v>Stop search</x:v>
      </x:c>
      <x:c r="G12" s="61"/>
      <x:c r="H12" s="61"/>
      <x:c r="I12" s="61"/>
      <x:c r="J12" s="61"/>
      <x:c r="K12" s="61"/>
      <x:c r="L12" s="61"/>
      <x:c r="M12" s="61"/>
      <x:c r="N12" s="61"/>
      <x:c r="O12" s="61"/>
      <x:c r="P12" s="61"/>
      <x:c r="Q12" s="61"/>
    </x:row>
    <x:row r="13" ht="60" customHeight="1">
      <x:c r="A13" s="65" t="str">
        <x:v>Window conclusion</x:v>
      </x:c>
      <x:c r="B13" s="65" t="str">
        <x:v>F/G/E</x:v>
      </x:c>
      <x:c r="C13" s="65" t="str">
        <x:v>Only 52.65 bar passes</x:v>
      </x:c>
      <x:c r="D13" s="65" t="str">
        <x:v>Single-point feasible window</x:v>
      </x:c>
      <x:c r="E13" s="65" t="str">
        <x:v>Full window is proven</x:v>
      </x:c>
      <x:c r="F13" s="65" t="str">
        <x:v>Stop</x:v>
      </x:c>
      <x:c r="G13" s="61"/>
      <x:c r="H13" s="61"/>
      <x:c r="I13" s="61"/>
      <x:c r="J13" s="61"/>
      <x:c r="K13" s="61"/>
      <x:c r="L13" s="61"/>
      <x:c r="M13" s="61"/>
      <x:c r="N13" s="61"/>
      <x:c r="O13" s="61"/>
      <x:c r="P13" s="61"/>
      <x:c r="Q13" s="61"/>
    </x:row>
    <x:row r="14">
      <x:c r="A14" s="61"/>
      <x:c r="B14" s="61"/>
      <x:c r="C14" s="61"/>
      <x:c r="D14" s="61"/>
      <x:c r="E14" s="61"/>
      <x:c r="F14" s="61"/>
      <x:c r="G14" s="61"/>
      <x:c r="H14" s="61"/>
      <x:c r="I14" s="61"/>
      <x:c r="J14" s="61"/>
      <x:c r="K14" s="61"/>
      <x:c r="L14" s="61"/>
      <x:c r="M14" s="61"/>
      <x:c r="N14" s="61"/>
      <x:c r="O14" s="61"/>
      <x:c r="P14" s="61"/>
      <x:c r="Q14" s="61"/>
    </x:row>
    <x:row r="15">
      <x:c r="A15" s="61"/>
      <x:c r="B15" s="61"/>
      <x:c r="C15" s="61"/>
      <x:c r="D15" s="61"/>
      <x:c r="E15" s="61"/>
      <x:c r="F15" s="61"/>
      <x:c r="G15" s="61"/>
      <x:c r="H15" s="61"/>
      <x:c r="I15" s="61"/>
      <x:c r="J15" s="61"/>
      <x:c r="K15" s="61"/>
      <x:c r="L15" s="61"/>
      <x:c r="M15" s="61"/>
      <x:c r="N15" s="61"/>
      <x:c r="O15" s="61"/>
      <x:c r="P15" s="61"/>
      <x:c r="Q15" s="61"/>
    </x:row>
    <x:row r="16">
      <x:c r="A16" s="61"/>
      <x:c r="B16" s="61"/>
      <x:c r="C16" s="61"/>
      <x:c r="D16" s="61"/>
      <x:c r="E16" s="61"/>
      <x:c r="F16" s="61"/>
      <x:c r="G16" s="61"/>
      <x:c r="H16" s="61"/>
      <x:c r="I16" s="61"/>
      <x:c r="J16" s="61"/>
      <x:c r="K16" s="61"/>
      <x:c r="L16" s="61"/>
      <x:c r="M16" s="61"/>
      <x:c r="N16" s="61"/>
      <x:c r="O16" s="61"/>
      <x:c r="P16" s="61"/>
      <x:c r="Q16" s="61"/>
    </x:row>
    <x:row r="17">
      <x:c r="A17" s="61"/>
      <x:c r="B17" s="61"/>
      <x:c r="C17" s="61"/>
      <x:c r="D17" s="61"/>
      <x:c r="E17" s="61"/>
      <x:c r="F17" s="61"/>
      <x:c r="G17" s="61"/>
      <x:c r="H17" s="61"/>
      <x:c r="I17" s="61"/>
      <x:c r="J17" s="61"/>
      <x:c r="K17" s="61"/>
      <x:c r="L17" s="61"/>
      <x:c r="M17" s="61"/>
      <x:c r="N17" s="61"/>
      <x:c r="O17" s="61"/>
      <x:c r="P17" s="61"/>
      <x:c r="Q17" s="61"/>
    </x:row>
    <x:row r="18">
      <x:c r="A18" s="61"/>
      <x:c r="B18" s="61"/>
      <x:c r="C18" s="61"/>
      <x:c r="D18" s="61"/>
      <x:c r="E18" s="61"/>
      <x:c r="F18" s="61"/>
      <x:c r="G18" s="61"/>
      <x:c r="H18" s="61"/>
      <x:c r="I18" s="61"/>
      <x:c r="J18" s="61"/>
      <x:c r="K18" s="61"/>
      <x:c r="L18" s="61"/>
      <x:c r="M18" s="61"/>
      <x:c r="N18" s="61"/>
      <x:c r="O18" s="61"/>
      <x:c r="P18" s="61"/>
      <x:c r="Q18" s="61"/>
    </x:row>
    <x:row r="19">
      <x:c r="A19" s="63" t="str">
        <x:v>simulate_ro Evidence and Constraint Checks</x:v>
      </x:c>
      <x:c r="B19" s="63"/>
      <x:c r="C19" s="63"/>
      <x:c r="D19" s="63"/>
      <x:c r="E19" s="63"/>
      <x:c r="F19" s="63"/>
      <x:c r="G19" s="63"/>
      <x:c r="H19" s="63"/>
      <x:c r="I19" s="63"/>
      <x:c r="J19" s="63"/>
      <x:c r="K19" s="63"/>
      <x:c r="L19" s="63"/>
      <x:c r="M19" s="63"/>
      <x:c r="N19" s="63"/>
      <x:c r="O19" s="61"/>
      <x:c r="P19" s="61"/>
      <x:c r="Q19" s="61"/>
    </x:row>
    <x:row r="20">
      <x:c r="A20" s="88" t="str">
        <x:v>Scenario</x:v>
      </x:c>
      <x:c r="B20" s="88" t="str">
        <x:v>Pressure bar</x:v>
      </x:c>
      <x:c r="C20" s="88" t="str">
        <x:v>Feed kg/s</x:v>
      </x:c>
      <x:c r="D20" s="88" t="str">
        <x:v>Permeate kg/s</x:v>
      </x:c>
      <x:c r="E20" s="88" t="str">
        <x:v>Qp m³/h</x:v>
      </x:c>
      <x:c r="F20" s="88" t="str">
        <x:v>Flux LMH</x:v>
      </x:c>
      <x:c r="G20" s="88" t="str">
        <x:v>Recovery %</x:v>
      </x:c>
      <x:c r="H20" s="88" t="str">
        <x:v>Rejection %</x:v>
      </x:c>
      <x:c r="I20" s="88" t="str">
        <x:v>NaCl mg/L</x:v>
      </x:c>
      <x:c r="J20" s="88" t="str">
        <x:v>Qp</x:v>
      </x:c>
      <x:c r="K20" s="88" t="str">
        <x:v>Recovery</x:v>
      </x:c>
      <x:c r="L20" s="88" t="str">
        <x:v>Flux</x:v>
      </x:c>
      <x:c r="M20" s="88" t="str">
        <x:v>Water quality</x:v>
      </x:c>
      <x:c r="N20" s="88" t="str">
        <x:v>Overall</x:v>
      </x:c>
      <x:c r="O20" s="61"/>
      <x:c r="P20" s="61"/>
      <x:c r="Q20" s="61"/>
    </x:row>
    <x:row r="21">
      <x:c r="A21" s="61" t="str">
        <x:v>52.90 / 4.30</x:v>
      </x:c>
      <x:c r="B21" s="77" t="n">
        <x:v>52.9</x:v>
      </x:c>
      <x:c r="C21" s="77" t="n">
        <x:v>4.3</x:v>
      </x:c>
      <x:c r="D21" s="77" t="n">
        <x:v>1.9312051679303568</x:v>
      </x:c>
      <x:c r="E21" s="77" t="n">
        <x:v>6.9523386045492845</x:v>
      </x:c>
      <x:c r="F21" s="77" t="n">
        <x:v>17.374921034588446</x:v>
      </x:c>
      <x:c r="G21" s="77" t="n">
        <x:v>45.92356951296811</x:v>
      </x:c>
      <x:c r="H21" s="77" t="n">
        <x:v>98.88863825382515</x:v>
      </x:c>
      <x:c r="I21" s="77" t="n">
        <x:v>340.91991899743056</x:v>
      </x:c>
      <x:c r="J21" s="61" t="str">
        <x:f>IF(AND(E21&gt;=$P$4,E21&lt;=$P$5),"PASS","FAIL")</x:f>
        <x:v>FAIL</x:v>
      </x:c>
      <x:c r="K21" s="61" t="str">
        <x:f>IF(G21&lt;=$P$6,"PASS","FAIL")</x:f>
        <x:v>PASS</x:v>
      </x:c>
      <x:c r="L21" s="61" t="str">
        <x:f>IF(F21&lt;=$P$7,"PASS","FAIL")</x:f>
        <x:v>PASS</x:v>
      </x:c>
      <x:c r="M21" s="61" t="str">
        <x:f>IF(AND(H21&gt;=$P$8,I21&lt;=$P$9),"PASS","FAIL")</x:f>
        <x:v>PASS</x:v>
      </x:c>
      <x:c r="N21" s="61" t="str">
        <x:f>IF(AND(J21="PASS",K21="PASS",L21="PASS",M21="PASS"),"PASS","FAIL")</x:f>
        <x:v>FAIL</x:v>
      </x:c>
      <x:c r="O21" s="61"/>
      <x:c r="P21" s="61"/>
      <x:c r="Q21" s="61"/>
    </x:row>
    <x:row r="22">
      <x:c r="A22" s="61" t="str">
        <x:v>52.60 / 4.30</x:v>
      </x:c>
      <x:c r="B22" s="77" t="n">
        <x:v>52.6</x:v>
      </x:c>
      <x:c r="C22" s="77" t="n">
        <x:v>4.3</x:v>
      </x:c>
      <x:c r="D22" s="77" t="n">
        <x:v>1.9155843724036783</x:v>
      </x:c>
      <x:c r="E22" s="77" t="n">
        <x:v>6.896103740653242</x:v>
      </x:c>
      <x:c r="F22" s="77" t="n">
        <x:v>17.23436287120762</x:v>
      </x:c>
      <x:c r="G22" s="77" t="n">
        <x:v>45.55207295574172</x:v>
      </x:c>
      <x:c r="H22" s="77" t="n">
        <x:v>98.88505743429093</x:v>
      </x:c>
      <x:c r="I22" s="77" t="n">
        <x:v>342.01808135382356</x:v>
      </x:c>
      <x:c r="J22" s="61" t="str">
        <x:f>IF(AND(E22&gt;=$P$4,E22&lt;=$P$5),"PASS","FAIL")</x:f>
        <x:v>FAIL</x:v>
      </x:c>
      <x:c r="K22" s="61" t="str">
        <x:f>IF(G22&lt;=$P$6,"PASS","FAIL")</x:f>
        <x:v>PASS</x:v>
      </x:c>
      <x:c r="L22" s="61" t="str">
        <x:f>IF(F22&lt;=$P$7,"PASS","FAIL")</x:f>
        <x:v>PASS</x:v>
      </x:c>
      <x:c r="M22" s="61" t="str">
        <x:f>IF(AND(H22&gt;=$P$8,I22&lt;=$P$9),"PASS","FAIL")</x:f>
        <x:v>PASS</x:v>
      </x:c>
      <x:c r="N22" s="61" t="str">
        <x:f>IF(AND(J22="PASS",K22="PASS",L22="PASS",M22="PASS"),"PASS","FAIL")</x:f>
        <x:v>FAIL</x:v>
      </x:c>
      <x:c r="O22" s="61"/>
      <x:c r="P22" s="61"/>
      <x:c r="Q22" s="61"/>
    </x:row>
    <x:row r="23">
      <x:c r="A23" s="61" t="str">
        <x:v>52.65 / 4.30</x:v>
      </x:c>
      <x:c r="B23" s="77" t="n">
        <x:v>52.65</x:v>
      </x:c>
      <x:c r="C23" s="77" t="n">
        <x:v>4.3</x:v>
      </x:c>
      <x:c r="D23" s="77" t="n">
        <x:v>1.9181949349895129</x:v>
      </x:c>
      <x:c r="E23" s="77" t="n">
        <x:v>6.905501765962247</x:v>
      </x:c>
      <x:c r="F23" s="77" t="n">
        <x:v>17.257853105822207</x:v>
      </x:c>
      <x:c r="G23" s="77" t="n">
        <x:v>45.614157857364695</x:v>
      </x:c>
      <x:c r="H23" s="77" t="n">
        <x:v>98.8856631802543</x:v>
      </x:c>
      <x:c r="I23" s="77" t="n">
        <x:v>341.8323118819894</x:v>
      </x:c>
      <x:c r="J23" s="61" t="str">
        <x:f>IF(AND(E23&gt;=$P$4,E23&lt;=$P$5),"PASS","FAIL")</x:f>
        <x:v>PASS</x:v>
      </x:c>
      <x:c r="K23" s="61" t="str">
        <x:f>IF(G23&lt;=$P$6,"PASS","FAIL")</x:f>
        <x:v>PASS</x:v>
      </x:c>
      <x:c r="L23" s="61" t="str">
        <x:f>IF(F23&lt;=$P$7,"PASS","FAIL")</x:f>
        <x:v>PASS</x:v>
      </x:c>
      <x:c r="M23" s="61" t="str">
        <x:f>IF(AND(H23&gt;=$P$8,I23&lt;=$P$9),"PASS","FAIL")</x:f>
        <x:v>PASS</x:v>
      </x:c>
      <x:c r="N23" s="61" t="str">
        <x:f>IF(AND(J23="PASS",K23="PASS",L23="PASS",M23="PASS"),"PASS","FAIL")</x:f>
        <x:v>PASS</x:v>
      </x:c>
      <x:c r="O23" s="61"/>
      <x:c r="P23" s="61"/>
      <x:c r="Q23" s="61"/>
    </x:row>
    <x:row r="24">
      <x:c r="A24" s="61"/>
      <x:c r="B24" s="61"/>
      <x:c r="C24" s="61"/>
      <x:c r="D24" s="61"/>
      <x:c r="E24" s="61"/>
      <x:c r="F24" s="61"/>
      <x:c r="G24" s="61"/>
      <x:c r="H24" s="61"/>
      <x:c r="I24" s="61"/>
      <x:c r="J24" s="61"/>
      <x:c r="K24" s="61"/>
      <x:c r="L24" s="61"/>
      <x:c r="M24" s="61"/>
      <x:c r="N24" s="61"/>
      <x:c r="O24" s="61"/>
      <x:c r="P24" s="61"/>
      <x:c r="Q24" s="61"/>
    </x:row>
    <x:row r="25">
      <x:c r="A25" s="61"/>
      <x:c r="B25" s="61"/>
      <x:c r="C25" s="61"/>
      <x:c r="D25" s="61"/>
      <x:c r="E25" s="61"/>
      <x:c r="F25" s="61"/>
      <x:c r="G25" s="61"/>
      <x:c r="H25" s="61"/>
      <x:c r="I25" s="61"/>
      <x:c r="J25" s="61"/>
      <x:c r="K25" s="61"/>
      <x:c r="L25" s="61"/>
      <x:c r="M25" s="61"/>
      <x:c r="N25" s="61"/>
      <x:c r="O25" s="61"/>
      <x:c r="P25" s="61"/>
      <x:c r="Q25" s="61"/>
    </x:row>
    <x:row r="26">
      <x:c r="A26" s="61"/>
      <x:c r="B26" s="61"/>
      <x:c r="C26" s="61"/>
      <x:c r="D26" s="61"/>
      <x:c r="E26" s="61"/>
      <x:c r="F26" s="61"/>
      <x:c r="G26" s="61"/>
      <x:c r="H26" s="61"/>
      <x:c r="I26" s="61"/>
      <x:c r="J26" s="61"/>
      <x:c r="K26" s="61"/>
      <x:c r="L26" s="61"/>
      <x:c r="M26" s="61"/>
      <x:c r="N26" s="61"/>
      <x:c r="O26" s="61"/>
      <x:c r="P26" s="61"/>
      <x:c r="Q26" s="61"/>
    </x:row>
    <x:row r="27">
      <x:c r="A27" s="61"/>
      <x:c r="B27" s="61"/>
      <x:c r="C27" s="61"/>
      <x:c r="D27" s="61"/>
      <x:c r="E27" s="61"/>
      <x:c r="F27" s="61"/>
      <x:c r="G27" s="61"/>
      <x:c r="H27" s="61"/>
      <x:c r="I27" s="61"/>
      <x:c r="J27" s="61"/>
      <x:c r="K27" s="61"/>
      <x:c r="L27" s="61"/>
      <x:c r="M27" s="61"/>
      <x:c r="N27" s="61"/>
      <x:c r="O27" s="61"/>
      <x:c r="P27" s="61"/>
      <x:c r="Q27" s="61"/>
    </x:row>
    <x:row r="28">
      <x:c r="A28" s="61"/>
      <x:c r="B28" s="61"/>
      <x:c r="C28" s="61"/>
      <x:c r="D28" s="61"/>
      <x:c r="E28" s="61"/>
      <x:c r="F28" s="61"/>
      <x:c r="G28" s="61"/>
      <x:c r="H28" s="61"/>
      <x:c r="I28" s="61"/>
      <x:c r="J28" s="61"/>
      <x:c r="K28" s="61"/>
      <x:c r="L28" s="61"/>
      <x:c r="M28" s="61"/>
      <x:c r="N28" s="61"/>
      <x:c r="O28" s="61"/>
      <x:c r="P28" s="61"/>
      <x:c r="Q28" s="61"/>
    </x:row>
    <x:row r="29">
      <x:c r="A29" s="61"/>
      <x:c r="B29" s="61"/>
      <x:c r="C29" s="61"/>
      <x:c r="D29" s="61"/>
      <x:c r="E29" s="61"/>
      <x:c r="F29" s="61"/>
      <x:c r="G29" s="61"/>
      <x:c r="H29" s="61"/>
      <x:c r="I29" s="61"/>
      <x:c r="J29" s="61"/>
      <x:c r="K29" s="61"/>
      <x:c r="L29" s="61"/>
      <x:c r="M29" s="61"/>
      <x:c r="N29" s="61"/>
      <x:c r="O29" s="61"/>
      <x:c r="P29" s="61"/>
      <x:c r="Q29" s="61"/>
    </x:row>
    <x:row r="30">
      <x:c r="A30" s="61"/>
      <x:c r="B30" s="61"/>
      <x:c r="C30" s="61"/>
      <x:c r="D30" s="61"/>
      <x:c r="E30" s="61"/>
      <x:c r="F30" s="61"/>
      <x:c r="G30" s="61"/>
      <x:c r="H30" s="61"/>
      <x:c r="I30" s="61"/>
      <x:c r="J30" s="61"/>
      <x:c r="K30" s="61"/>
      <x:c r="L30" s="61"/>
      <x:c r="M30" s="61"/>
      <x:c r="N30" s="61"/>
      <x:c r="O30" s="61"/>
      <x:c r="P30" s="61"/>
      <x:c r="Q30" s="61"/>
    </x:row>
    <x:row r="31" ht="52" customHeight="1">
      <x:c r="A31" s="76" t="str">
        <x:v>Final Engineering Conclusion
At 52.90 bar, Qp≈6.952 m³/h exceeds the 6.910 upper limit; at 52.60 bar, Qp≈6.896 m³/h falls below the 6.900 lower limit. At 52.65 bar, Qp≈6.9055, Recovery≈45.614%, Flux≈17.258 LMH, and permeate NaCl≈341.83 mg/L all pass. Therefore, at the stated 0.05-bar resolution, the feasible Pressure window collapses to the single setpoint 52.65 bar.</x:v>
      </x:c>
      <x:c r="B31" s="76"/>
      <x:c r="C31" s="76"/>
      <x:c r="D31" s="76"/>
      <x:c r="E31" s="76"/>
      <x:c r="F31" s="76"/>
      <x:c r="G31" s="76"/>
      <x:c r="H31" s="76"/>
      <x:c r="I31" s="76"/>
      <x:c r="J31" s="76"/>
      <x:c r="K31" s="76"/>
      <x:c r="L31" s="76"/>
      <x:c r="M31" s="76"/>
      <x:c r="N31" s="76"/>
      <x:c r="O31" s="61"/>
      <x:c r="P31" s="61"/>
      <x:c r="Q31" s="61"/>
    </x:row>
    <x:row r="32" ht="52" customHeight="1">
      <x:c r="A32" s="76"/>
      <x:c r="B32" s="76"/>
      <x:c r="C32" s="76"/>
      <x:c r="D32" s="76"/>
      <x:c r="E32" s="76"/>
      <x:c r="F32" s="76"/>
      <x:c r="G32" s="76"/>
      <x:c r="H32" s="76"/>
      <x:c r="I32" s="76"/>
      <x:c r="J32" s="76"/>
      <x:c r="K32" s="76"/>
      <x:c r="L32" s="76"/>
      <x:c r="M32" s="76"/>
      <x:c r="N32" s="76"/>
      <x:c r="O32" s="61"/>
      <x:c r="P32" s="61"/>
      <x:c r="Q32" s="61"/>
    </x:row>
    <x:row r="33" ht="52" customHeight="1">
      <x:c r="A33" s="76"/>
      <x:c r="B33" s="76"/>
      <x:c r="C33" s="76"/>
      <x:c r="D33" s="76"/>
      <x:c r="E33" s="76"/>
      <x:c r="F33" s="76"/>
      <x:c r="G33" s="76"/>
      <x:c r="H33" s="76"/>
      <x:c r="I33" s="76"/>
      <x:c r="J33" s="76"/>
      <x:c r="K33" s="76"/>
      <x:c r="L33" s="76"/>
      <x:c r="M33" s="76"/>
      <x:c r="N33" s="76"/>
      <x:c r="O33" s="61"/>
      <x:c r="P33" s="61"/>
      <x:c r="Q33" s="61"/>
    </x:row>
    <x:row r="34" ht="52" customHeight="1">
      <x:c r="A34" s="76"/>
      <x:c r="B34" s="76"/>
      <x:c r="C34" s="76"/>
      <x:c r="D34" s="76"/>
      <x:c r="E34" s="76"/>
      <x:c r="F34" s="76"/>
      <x:c r="G34" s="76"/>
      <x:c r="H34" s="76"/>
      <x:c r="I34" s="76"/>
      <x:c r="J34" s="76"/>
      <x:c r="K34" s="76"/>
      <x:c r="L34" s="76"/>
      <x:c r="M34" s="76"/>
      <x:c r="N34" s="76"/>
      <x:c r="O34" s="61"/>
      <x:c r="P34" s="61"/>
      <x:c r="Q34" s="61"/>
    </x:row>
  </x:sheetData>
  <x:mergeCells>
    <x:mergeCell ref="A1:Q1"/>
    <x:mergeCell ref="A4:N5"/>
    <x:mergeCell ref="A8:F8"/>
    <x:mergeCell ref="A19:N19"/>
    <x:mergeCell ref="A31:N34"/>
  </x:mergeCells>
  <x:conditionalFormatting sqref="J21:J23">
    <x:cfRule type="expression" dxfId="0" priority="1">
      <x:formula>J21="PASS"</x:formula>
    </x:cfRule>
    <x:cfRule type="expression" dxfId="1" priority="2">
      <x:formula>J21="FAIL"</x:formula>
    </x:cfRule>
  </x:conditionalFormatting>
  <x:conditionalFormatting sqref="K21:K23">
    <x:cfRule type="expression" dxfId="2" priority="3">
      <x:formula>K21="PASS"</x:formula>
    </x:cfRule>
    <x:cfRule type="expression" dxfId="3" priority="4">
      <x:formula>K21="FAIL"</x:formula>
    </x:cfRule>
  </x:conditionalFormatting>
  <x:conditionalFormatting sqref="L21:L23">
    <x:cfRule type="expression" dxfId="4" priority="5">
      <x:formula>L21="PASS"</x:formula>
    </x:cfRule>
    <x:cfRule type="expression" dxfId="5" priority="6">
      <x:formula>L21="FAIL"</x:formula>
    </x:cfRule>
  </x:conditionalFormatting>
  <x:conditionalFormatting sqref="M21:M23">
    <x:cfRule type="expression" dxfId="6" priority="7">
      <x:formula>M21="PASS"</x:formula>
    </x:cfRule>
    <x:cfRule type="expression" dxfId="7" priority="8">
      <x:formula>M21="FAIL"</x:formula>
    </x:cfRule>
  </x:conditionalFormatting>
  <x:conditionalFormatting sqref="N21:N23">
    <x:cfRule type="expression" dxfId="8" priority="9">
      <x:formula>N21="PASS"</x:formula>
    </x:cfRule>
    <x:cfRule type="expression" dxfId="9" priority="10">
      <x:formula>N21="FAIL"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7" hidden="0" customWidth="1"/>
    <x:col min="3" max="3" width="48" hidden="0" customWidth="1"/>
    <x:col min="4" max="4" width="34" hidden="0" customWidth="1"/>
    <x:col min="5" max="5" width="36" hidden="0" customWidth="1"/>
    <x:col min="6" max="6" width="10" hidden="0" customWidth="1"/>
    <x:col min="7" max="7" width="10" hidden="0" customWidth="1"/>
  </x:cols>
  <x:sheetData>
    <x:row r="1">
      <x:c r="A1" s="4" t="str">
        <x:v>D2-2b: Trajectory Quality Rubric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Evaluate the complete state → plan → tool call → observation → update → next action → stopping/decision trajectory. Alternative tool orders may earn full credit only if they respect the item-specific objective, control degrees of freedom, and stopping rule.</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Trajectory dimension</x:v>
      </x:c>
      <x:c r="B8" s="88" t="str">
        <x:v>Evaluation focus</x:v>
      </x:c>
      <x:c r="C8" s="88" t="str">
        <x:v>Full-credit evidence</x:v>
      </x:c>
      <x:c r="D8" s="88" t="str">
        <x:v>Partial credit</x:v>
      </x:c>
      <x:c r="E8" s="88" t="str">
        <x:v>Critical failure mode</x:v>
      </x:c>
      <x:c r="F8" s="88" t="str">
        <x:v>Weight</x:v>
      </x:c>
      <x:c r="G8" s="88" t="str">
        <x:v>Score</x:v>
      </x:c>
    </x:row>
    <x:row r="9">
      <x:c r="A9" s="65" t="str">
        <x:v>TQ1 Problem framing</x:v>
      </x:c>
      <x:c r="B9" s="65" t="str">
        <x:v>Recognize D2-2b and the item-specific objective</x:v>
      </x:c>
      <x:c r="C9" s="65" t="str">
        <x:v>Prove both sides of the narrow feasible window; keep feed, membrane, and area fixed</x:v>
      </x:c>
      <x:c r="D9" s="65" t="str">
        <x:v>Understands setpoint correction but misses part of the special objective</x:v>
      </x:c>
      <x:c r="E9" s="65" t="str">
        <x:v>Changes feed/membrane or turns the task into design</x:v>
      </x:c>
      <x:c r="F9" s="65" t="n">
        <x:v>15</x:v>
      </x:c>
      <x:c r="G9" s="83"/>
    </x:row>
    <x:row r="10">
      <x:c r="A10" s="65" t="str">
        <x:v>TQ2 Plan quality</x:v>
      </x:c>
      <x:c r="B10" s="65" t="str">
        <x:v>Decompose in an information-efficient order</x:v>
      </x:c>
      <x:c r="C10" s="65" t="str">
        <x:v>Use evidence-driven branching/boundary logic rather than enumeration</x:v>
      </x:c>
      <x:c r="D10" s="65" t="str">
        <x:v>Mostly reasonable but skips a key stage</x:v>
      </x:c>
      <x:c r="E10" s="65" t="str">
        <x:v>Brute-force grid or ignores stated priority</x:v>
      </x:c>
      <x:c r="F10" s="65" t="n">
        <x:v>15</x:v>
      </x:c>
      <x:c r="G10" s="83"/>
    </x:row>
    <x:row r="11">
      <x:c r="A11" s="65" t="str">
        <x:v>TQ3 Tool-call correctness</x:v>
      </x:c>
      <x:c r="B11" s="65" t="str">
        <x:v>Change only allowed variables in simulate_ro</x:v>
      </x:c>
      <x:c r="C11" s="65" t="str">
        <x:v>All comparisons keep identical feed/membrane parameters; Pressure/Flow match the item</x:v>
      </x:c>
      <x:c r="D11" s="65" t="str">
        <x:v>Minor input/unit issue</x:v>
      </x:c>
      <x:c r="E11" s="65" t="str">
        <x:v>Changes salinity, temperature, area, A, or B</x:v>
      </x:c>
      <x:c r="F11" s="65" t="n">
        <x:v>20</x:v>
      </x:c>
      <x:c r="G11" s="83"/>
    </x:row>
    <x:row r="12">
      <x:c r="A12" s="65" t="str">
        <x:v>TQ4 Observation interpretation</x:v>
      </x:c>
      <x:c r="B12" s="65" t="str">
        <x:v>Read active constraints and FAIL/PASS precisely</x:v>
      </x:c>
      <x:c r="C12" s="65" t="str">
        <x:v>At 52.90 bar, Qp≈6.952 m³/h exceeds the 6.910 upper limit; at 52.60 bar, Qp≈6.896 m³/h falls below the 6.900 lower limit. At 52.65</x:v>
      </x:c>
      <x:c r="D12" s="65" t="str">
        <x:v>Mostly correct but misses one boundary or failure mechanism</x:v>
      </x:c>
      <x:c r="E12" s="65" t="str">
        <x:v>Rounds near-fail to PASS or treats one passing metric as overall success</x:v>
      </x:c>
      <x:c r="F12" s="65" t="n">
        <x:v>20</x:v>
      </x:c>
      <x:c r="G12" s="83"/>
    </x:row>
    <x:row r="13">
      <x:c r="A13" s="65" t="str">
        <x:v>TQ5 Adaptation and pruning</x:v>
      </x:c>
      <x:c r="B13" s="65" t="str">
        <x:v>Let each result determine the next action</x:v>
      </x:c>
      <x:c r="C13" s="65" t="str">
        <x:v>Prove both sides of the narrow feasible window; stop once evidence is sufficient</x:v>
      </x:c>
      <x:c r="D13" s="65" t="str">
        <x:v>Some redundancy</x:v>
      </x:c>
      <x:c r="E13" s="65" t="str">
        <x:v>Continues disproved branches or performs unstructured enumeration</x:v>
      </x:c>
      <x:c r="F13" s="65" t="n">
        <x:v>20</x:v>
      </x:c>
      <x:c r="G13" s="83"/>
    </x:row>
    <x:row r="14">
      <x:c r="A14" s="65" t="str">
        <x:v>TQ6 Final decision</x:v>
      </x:c>
      <x:c r="B14" s="65" t="str">
        <x:v>Deliver the conclusion required by this objective</x:v>
      </x:c>
      <x:c r="C14" s="65" t="str">
        <x:v>eate NaCl≈341.83 mg/L all pass. Therefore, at the stated 0.05-bar resolution, the feasible Pressure window collapses to the single setpoint 52.65 bar.</x:v>
      </x:c>
      <x:c r="D14" s="65" t="str">
        <x:v>Correct endpoint/conclusion with weak rationale</x:v>
      </x:c>
      <x:c r="E14" s="65" t="str">
        <x:v>Blindly applies the original 'minimum Pressure' objective</x:v>
      </x:c>
      <x:c r="F14" s="65" t="n">
        <x:v>10</x:v>
      </x:c>
      <x:c r="G14" s="83"/>
    </x:row>
    <x:row r="15">
      <x:c r="A15" s="61"/>
      <x:c r="B15" s="61"/>
      <x:c r="C15" s="61"/>
      <x:c r="D15" s="61"/>
      <x:c r="E15" s="61"/>
      <x:c r="F15" s="61"/>
      <x:c r="G15" s="61"/>
    </x:row>
    <x:row r="16">
      <x:c r="A16" s="61"/>
      <x:c r="B16" s="61"/>
      <x:c r="C16" s="61"/>
      <x:c r="D16" s="61"/>
      <x:c r="E16" s="84" t="str">
        <x:v>Trajectory Quality Total</x:v>
      </x:c>
      <x:c r="F16" s="84" t="n">
        <x:v>100</x:v>
      </x:c>
      <x:c r="G16" s="84"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5" hidden="0" customWidth="1"/>
    <x:col min="4" max="4" width="35" hidden="0" customWidth="1"/>
    <x:col min="5" max="5" width="35" hidden="0" customWidth="1"/>
    <x:col min="6" max="6" width="48" hidden="0" customWidth="1"/>
    <x:col min="7" max="7" width="10" hidden="0" customWidth="1"/>
  </x:cols>
  <x:sheetData>
    <x:row r="1">
      <x:c r="A1" s="4" t="str">
        <x:v>D2-2b: Tool Usage Efficiency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Tool efficiency is scored separately (100 points). The primary scientific tool is simulate_ro. Item focus: ~3 decisive simulate_ro points; full-window proof matters more than call count. Call count is secondary to information gain, adaptation, pruning, and evidence-based stopping.</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Efficiency dimension</x:v>
      </x:c>
      <x:c r="B8" s="88" t="str">
        <x:v>Evaluation focus</x:v>
      </x:c>
      <x:c r="C8" s="88" t="str">
        <x:v>High performance</x:v>
      </x:c>
      <x:c r="D8" s="88" t="str">
        <x:v>Medium performance</x:v>
      </x:c>
      <x:c r="E8" s="88" t="str">
        <x:v>Low performance</x:v>
      </x:c>
      <x:c r="F8" s="88" t="str">
        <x:v>Item-specific observation</x:v>
      </x:c>
      <x:c r="G8" s="88" t="str">
        <x:v>Points</x:v>
      </x:c>
    </x:row>
    <x:row r="9">
      <x:c r="A9" s="65" t="str">
        <x:v>E1 Tool selection</x:v>
      </x:c>
      <x:c r="B9" s="65" t="str">
        <x:v>Use only tools relevant to operating setpoints</x:v>
      </x:c>
      <x:c r="C9" s="65" t="str">
        <x:v>Primarily simulate_ro; no unrelated plant/chemistry calls</x:v>
      </x:c>
      <x:c r="D9" s="65" t="str">
        <x:v>Minor irrelevant calls</x:v>
      </x:c>
      <x:c r="E9" s="65" t="str">
        <x:v>Wrong tool or excessive metadata</x:v>
      </x:c>
      <x:c r="F9" s="65" t="str">
        <x:v>~3 decisive simulate_ro points; full-window proof matters more than call count.</x:v>
      </x:c>
      <x:c r="G9" s="65" t="n">
        <x:v>20</x:v>
      </x:c>
    </x:row>
    <x:row r="10">
      <x:c r="A10" s="65" t="str">
        <x:v>E2 Information gain</x:v>
      </x:c>
      <x:c r="B10" s="65" t="str">
        <x:v>Test the most discriminating points first</x:v>
      </x:c>
      <x:c r="C10" s="65" t="str">
        <x:v>Key branch/boundary/upper-corner tests first</x:v>
      </x:c>
      <x:c r="D10" s="65" t="str">
        <x:v>Mostly reasonable order</x:v>
      </x:c>
      <x:c r="E10" s="65" t="str">
        <x:v>Dense full-grid search first</x:v>
      </x:c>
      <x:c r="F10" s="65" t="str">
        <x:v>~3 decisive simulate_ro points; full-window proof matters more than call count.</x:v>
      </x:c>
      <x:c r="G10" s="65" t="n">
        <x:v>20</x:v>
      </x:c>
    </x:row>
    <x:row r="11">
      <x:c r="A11" s="65" t="str">
        <x:v>E3 Adaptation</x:v>
      </x:c>
      <x:c r="B11" s="65" t="str">
        <x:v>Let each result trigger the next call</x:v>
      </x:c>
      <x:c r="C11" s="65" t="str">
        <x:v>FAIL/PASS directly determines the next action</x:v>
      </x:c>
      <x:c r="D11" s="65" t="str">
        <x:v>Partly adaptive</x:v>
      </x:c>
      <x:c r="E11" s="65" t="str">
        <x:v>Preset enumeration ignores results</x:v>
      </x:c>
      <x:c r="F11" s="65" t="str">
        <x:v>~3 decisive simulate_ro points; full-window proof matters more than call count.</x:v>
      </x:c>
      <x:c r="G11" s="65" t="n">
        <x:v>20</x:v>
      </x:c>
    </x:row>
    <x:row r="12">
      <x:c r="A12" s="65" t="str">
        <x:v>E4 Pruning</x:v>
      </x:c>
      <x:c r="B12" s="65" t="str">
        <x:v>Stop invalid branches once proven</x:v>
      </x:c>
      <x:c r="C12" s="65" t="str">
        <x:v>Prompt stopping; no equivalent repeats</x:v>
      </x:c>
      <x:c r="D12" s="65" t="str">
        <x:v>Some repetition</x:v>
      </x:c>
      <x:c r="E12" s="65" t="str">
        <x:v>Keeps testing disproved options</x:v>
      </x:c>
      <x:c r="F12" s="65" t="str">
        <x:v>~3 decisive simulate_ro points; full-window proof matters more than call count.</x:v>
      </x:c>
      <x:c r="G12" s="65" t="n">
        <x:v>20</x:v>
      </x:c>
    </x:row>
    <x:row r="13">
      <x:c r="A13" s="65" t="str">
        <x:v>E5 Convergence</x:v>
      </x:c>
      <x:c r="B13" s="65" t="str">
        <x:v>Use minimal but sufficient evidence</x:v>
      </x:c>
      <x:c r="C13" s="65" t="str">
        <x:v>Call budget matches the item structure</x:v>
      </x:c>
      <x:c r="D13" s="65" t="str">
        <x:v>2–3 extra calls but still reasonable</x:v>
      </x:c>
      <x:c r="E13" s="65" t="str">
        <x:v>Too many calls or missing critical evidence</x:v>
      </x:c>
      <x:c r="F13" s="65" t="str">
        <x:v>~3 decisive simulate_ro points; full-window proof matters more than call count.</x:v>
      </x:c>
      <x:c r="G13" s="65" t="n">
        <x:v>20</x:v>
      </x:c>
    </x:row>
    <x:row r="14">
      <x:c r="A14" s="61"/>
      <x:c r="B14" s="61"/>
      <x:c r="C14" s="61"/>
      <x:c r="D14" s="61"/>
      <x:c r="E14" s="61"/>
      <x:c r="F14" s="61"/>
      <x:c r="G14" s="61"/>
    </x:row>
    <x:row r="15">
      <x:c r="A15" s="61"/>
      <x:c r="B15" s="61"/>
      <x:c r="C15" s="61"/>
      <x:c r="D15" s="61"/>
      <x:c r="E15" s="61"/>
      <x:c r="F15" s="84" t="str">
        <x:v>Tool Efficiency Total</x:v>
      </x:c>
      <x:c r="G15" s="84" t="n">
        <x:v>100</x:v>
      </x:c>
    </x:row>
  </x:sheetData>
  <x:mergeCells>
    <x:mergeCell ref="A1:G1"/>
    <x:mergeCell ref="A4:G5"/>
  </x:mergeCells>
  <x:pageMargins left="0.7" right="0.7" top="0.75" bottom="0.75" header="0.3" footer="0.3"/>
</x:worksheet>
</file>