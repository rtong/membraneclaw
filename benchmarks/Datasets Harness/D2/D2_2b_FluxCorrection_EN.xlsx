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d55c393763b4a7f" /></Relationships>
</file>

<file path=xl/workbook.xml><?xml version="1.0" encoding="utf-8"?>
<x:workbook xmlns:x="http://schemas.openxmlformats.org/spreadsheetml/2006/main">
  <x:sheets>
    <x:sheet xmlns:r="http://schemas.openxmlformats.org/officeDocument/2006/relationships" name="Question" sheetId="1" r:id="Rcbeeabb798e54b70"/>
    <x:sheet xmlns:r="http://schemas.openxmlformats.org/officeDocument/2006/relationships" name="Gold_Answer" sheetId="2" r:id="R11a0f4842d724aef"/>
    <x:sheet xmlns:r="http://schemas.openxmlformats.org/officeDocument/2006/relationships" name="Trajectory_Rubric" sheetId="3" r:id="R3129b725340a4e40"/>
    <x:sheet xmlns:r="http://schemas.openxmlformats.org/officeDocument/2006/relationships" name="Tool_Efficiency" sheetId="4" r:id="R0f68fa92ea074cc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0"/>
  </x:numFmts>
  <x:fonts count="13">
    <x:font>
      <x:sz val="11"/>
      <x:name val="Carlito"/>
    </x:font>
    <x:font>
      <x:b/>
      <x:sz val="15"/>
      <x:color rgb="FFFFFFFF"/>
      <x:name val="Arial"/>
    </x:font>
    <x:font>
      <x:b/>
      <x:sz val="10"/>
      <x:color rgb="FF17365D"/>
      <x:name val="Arial"/>
    </x:font>
    <x:font>
      <x:b/>
      <x:sz val="11"/>
      <x:color rgb="FF17365D"/>
      <x:name val="Arial"/>
    </x:font>
    <x:font>
      <x:b/>
      <x:sz val="11"/>
      <x:color rgb="FFFFFFFF"/>
      <x:name val="Arial"/>
    </x:font>
    <x:font>
      <x:sz val="10"/>
      <x:name val="Arial"/>
    </x:font>
    <x:font>
      <x:i/>
      <x:sz val="11"/>
      <x:color rgb="FF7F6000"/>
      <x:name val="Arial"/>
    </x:font>
    <x:font>
      <x:b/>
      <x:sz val="11"/>
      <x:color rgb="FF385723"/>
      <x:name val="Arial"/>
    </x:font>
    <x:font>
      <x:sz val="11"/>
      <x:color rgb="FF17365D"/>
      <x:name val="Arial"/>
    </x:font>
    <x:font>
      <x:b/>
      <x:sz val="10"/>
      <x:color rgb="FF1F1F1F"/>
      <x:name val="Arial"/>
    </x:font>
    <x:font>
      <x:sz val="10"/>
      <x:color rgb="FF1F1F1F"/>
      <x:name val="Arial"/>
    </x:font>
    <x:font>
      <x:i/>
      <x:sz val="10"/>
      <x:color rgb="FF1F1F1F"/>
      <x:name val="Arial"/>
    </x:font>
    <x:font>
      <x:b/>
      <x:sz val="10"/>
      <x:color rgb="FFFFFFFF"/>
      <x:name val="Arial"/>
    </x:font>
  </x:fonts>
  <x:fills count="7">
    <x:fill>
      <x:patternFill patternType="none"/>
    </x:fill>
    <x:fill>
      <x:patternFill patternType="gray125"/>
    </x:fill>
    <x:fill>
      <x:patternFill patternType="solid">
        <x:fgColor rgb="FF1F4E78"/>
      </x:patternFill>
    </x:fill>
    <x:fill>
      <x:patternFill patternType="solid">
        <x:fgColor rgb="FFDDEBF7"/>
      </x:patternFill>
    </x:fill>
    <x:fill>
      <x:patternFill patternType="solid">
        <x:fgColor rgb="FF2F75B5"/>
      </x:patternFill>
    </x:fill>
    <x:fill>
      <x:patternFill patternType="solid">
        <x:fgColor rgb="FFFFF2CC"/>
      </x:patternFill>
    </x:fill>
    <x:fill>
      <x:patternFill patternType="solid">
        <x:fgColor rgb="FFE2F0D9"/>
      </x:patternFill>
    </x:fill>
  </x:fills>
  <x:borders count="2">
    <x:border/>
    <x:border/>
  </x:borders>
  <x:cellStyleXfs count="1">
    <x:xf numFmtId="0" fontId="0" fillId="0" borderId="0"/>
  </x:cellStyleXfs>
  <x:cellXfs count="9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3" fillId="3" borderId="0" xfId="0" applyNumberFormat="1" applyFont="1" applyFill="1" applyBorder="1"/>
    <x:xf numFmtId="0" fontId="3" fillId="3" borderId="1" xfId="0" applyNumberFormat="1" applyFont="1" applyFill="1" applyBorder="1"/>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4" fillId="4" borderId="0" xfId="0" applyNumberFormat="1" applyFont="1" applyFill="1" applyBorder="1" applyAlignment="1">
      <x:alignment horizontal="center" wrapText="1"/>
    </x:xf>
    <x:xf numFmtId="0" fontId="0" fillId="4" borderId="1"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wrapText="1"/>
    </x:xf>
    <x:xf numFmtId="0" fontId="4" fillId="4" borderId="1" xfId="0" applyNumberFormat="1" applyFont="1" applyFill="1" applyBorder="1" applyAlignment="1">
      <x:alignment horizont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5" fillId="0" borderId="0" xfId="0" applyNumberFormat="1" applyFont="1" applyFill="1" applyBorder="1"/>
    <x:xf numFmtId="0" fontId="5" fillId="0" borderId="0" xfId="0" applyNumberFormat="1" applyFont="1" applyFill="1" applyBorder="1" applyAlignment="1">
      <x:alignment wrapText="1"/>
    </x:xf>
    <x:xf numFmtId="0" fontId="5" fillId="0" borderId="1" xfId="0" applyNumberFormat="1" applyFont="1" applyFill="1" applyBorder="1"/>
    <x:xf numFmtId="0" fontId="5" fillId="0" borderId="1" xfId="0" applyNumberFormat="1" applyFont="1" applyFill="1" applyBorder="1" applyAlignment="1">
      <x:alignment wrapText="1"/>
    </x:xf>
    <x:xf numFmtId="0" fontId="0" fillId="5" borderId="0" xfId="0" applyNumberFormat="1" applyFont="1" applyFill="1" applyBorder="1"/>
    <x:xf numFmtId="0" fontId="6" fillId="5" borderId="0" xfId="0" applyNumberFormat="1" applyFont="1" applyFill="1" applyBorder="1"/>
    <x:xf numFmtId="0" fontId="6" fillId="5" borderId="0" xfId="0" applyNumberFormat="1" applyFont="1" applyFill="1" applyBorder="1" applyAlignment="1">
      <x:alignment wrapText="1"/>
    </x:xf>
    <x:xf numFmtId="0" fontId="6" fillId="5" borderId="0" xfId="0" applyNumberFormat="1" applyFont="1" applyFill="1" applyBorder="1" applyAlignment="1">
      <x:alignment vertical="center" wrapText="1"/>
    </x:xf>
    <x:xf numFmtId="0" fontId="0" fillId="5" borderId="1" xfId="0" applyNumberFormat="1" applyFont="1" applyFill="1" applyBorder="1"/>
    <x:xf numFmtId="0" fontId="6" fillId="5" borderId="1" xfId="0" applyNumberFormat="1" applyFont="1" applyFill="1" applyBorder="1"/>
    <x:xf numFmtId="0" fontId="6" fillId="5" borderId="1" xfId="0" applyNumberFormat="1" applyFont="1" applyFill="1" applyBorder="1" applyAlignment="1">
      <x:alignment wrapText="1"/>
    </x:xf>
    <x:xf numFmtId="0" fontId="6" fillId="5" borderId="1" xfId="0" applyNumberFormat="1" applyFont="1" applyFill="1" applyBorder="1" applyAlignment="1">
      <x:alignment vertical="center" wrapText="1"/>
    </x:xf>
    <x:xf numFmtId="0" fontId="0" fillId="6" borderId="0" xfId="0" applyNumberFormat="1" applyFont="1" applyFill="1" applyBorder="1"/>
    <x:xf numFmtId="0" fontId="7" fillId="6" borderId="0" xfId="0" applyNumberFormat="1" applyFont="1" applyFill="1" applyBorder="1"/>
    <x:xf numFmtId="0" fontId="7" fillId="6" borderId="0" xfId="0" applyNumberFormat="1" applyFont="1" applyFill="1" applyBorder="1" applyAlignment="1">
      <x:alignment wrapText="1"/>
    </x:xf>
    <x:xf numFmtId="0" fontId="7" fillId="6" borderId="0" xfId="0" applyNumberFormat="1" applyFont="1" applyFill="1" applyBorder="1" applyAlignment="1">
      <x:alignment vertical="center" wrapText="1"/>
    </x:xf>
    <x:xf numFmtId="0" fontId="0" fillId="6" borderId="1" xfId="0" applyNumberFormat="1" applyFont="1" applyFill="1" applyBorder="1"/>
    <x:xf numFmtId="0" fontId="7" fillId="6" borderId="1" xfId="0" applyNumberFormat="1" applyFont="1" applyFill="1" applyBorder="1"/>
    <x:xf numFmtId="0" fontId="7" fillId="6" borderId="1" xfId="0" applyNumberFormat="1" applyFont="1" applyFill="1" applyBorder="1" applyAlignment="1">
      <x:alignment wrapText="1"/>
    </x:xf>
    <x:xf numFmtId="0" fontId="7" fillId="6" borderId="1" xfId="0" applyNumberFormat="1" applyFont="1" applyFill="1" applyBorder="1" applyAlignment="1">
      <x:alignment vertical="center" wrapText="1"/>
    </x:xf>
    <x:xf numFmtId="0" fontId="4" fillId="4" borderId="0" xfId="0" applyNumberFormat="1" applyFont="1" applyFill="1" applyBorder="1" applyAlignment="1">
      <x:alignment horizontal="center"/>
    </x:xf>
    <x:xf numFmtId="0" fontId="4" fillId="4" borderId="1" xfId="0" applyNumberFormat="1" applyFont="1" applyFill="1" applyBorder="1" applyAlignment="1">
      <x:alignment horizontal="center"/>
    </x:xf>
    <x:xf numFmtId="200" fontId="0" fillId="0" borderId="0" xfId="0" applyNumberFormat="1" applyFont="1" applyFill="1" applyBorder="1"/>
    <x:xf numFmtId="200" fontId="0" fillId="0" borderId="1" xfId="0" applyNumberFormat="1" applyFont="1" applyFill="1" applyBorder="1"/>
    <x:xf numFmtId="0" fontId="8" fillId="3" borderId="0" xfId="0" applyNumberFormat="1" applyFont="1" applyFill="1" applyBorder="1"/>
    <x:xf numFmtId="0" fontId="8" fillId="3" borderId="0" xfId="0" applyNumberFormat="1" applyFont="1" applyFill="1" applyBorder="1" applyAlignment="1">
      <x:alignment wrapText="1"/>
    </x:xf>
    <x:xf numFmtId="0" fontId="8" fillId="3" borderId="1" xfId="0" applyNumberFormat="1" applyFont="1" applyFill="1" applyBorder="1"/>
    <x:xf numFmtId="0" fontId="8" fillId="3" borderId="1" xfId="0" applyNumberFormat="1" applyFont="1" applyFill="1" applyBorder="1" applyAlignment="1">
      <x:alignment wrapText="1"/>
    </x:xf>
    <x:xf numFmtId="0" fontId="0" fillId="5" borderId="0" xfId="0" applyNumberFormat="1" applyFont="1" applyFill="1" applyBorder="1" applyAlignment="1">
      <x:alignment wrapText="1"/>
    </x:xf>
    <x:xf numFmtId="0" fontId="0" fillId="5" borderId="1" xfId="0" applyNumberFormat="1" applyFont="1" applyFill="1" applyBorder="1" applyAlignment="1">
      <x:alignment wrapText="1"/>
    </x:xf>
    <x:xf numFmtId="0" fontId="9" fillId="2" borderId="0" xfId="0" applyNumberFormat="1" applyFont="1" applyFill="1" applyBorder="1" applyAlignment="1">
      <x:alignment horizontal="center" vertical="center"/>
    </x:xf>
    <x:xf numFmtId="0" fontId="10" fillId="0" borderId="0" xfId="0" applyNumberFormat="1" applyFont="1" applyFill="1" applyBorder="1"/>
    <x:xf numFmtId="0" fontId="9" fillId="3" borderId="0" xfId="0" applyNumberFormat="1" applyFont="1" applyFill="1" applyBorder="1" applyAlignment="1">
      <x:alignment vertical="center" wrapText="1"/>
    </x:xf>
    <x:xf numFmtId="0" fontId="9" fillId="3" borderId="0" xfId="0" applyNumberFormat="1" applyFont="1" applyFill="1" applyBorder="1"/>
    <x:xf numFmtId="0" fontId="9" fillId="4" borderId="0" xfId="0" applyNumberFormat="1" applyFont="1" applyFill="1" applyBorder="1" applyAlignment="1">
      <x:alignment horizontal="center" wrapText="1"/>
    </x:xf>
    <x:xf numFmtId="0" fontId="10" fillId="0" borderId="0" xfId="0" applyNumberFormat="1" applyFont="1" applyFill="1" applyBorder="1" applyAlignment="1">
      <x:alignment wrapText="1"/>
    </x:xf>
    <x:xf numFmtId="0" fontId="11" fillId="5" borderId="0" xfId="0" applyNumberFormat="1" applyFont="1" applyFill="1" applyBorder="1" applyAlignment="1">
      <x:alignment vertical="center" wrapText="1"/>
    </x:xf>
    <x:xf numFmtId="0" fontId="9" fillId="2" borderId="1" xfId="0" applyNumberFormat="1" applyFont="1" applyFill="1" applyBorder="1" applyAlignment="1">
      <x:alignment horizontal="center" vertical="center"/>
    </x:xf>
    <x:xf numFmtId="0" fontId="10" fillId="0" borderId="1" xfId="0" applyNumberFormat="1" applyFont="1" applyFill="1" applyBorder="1"/>
    <x:xf numFmtId="0" fontId="9" fillId="3" borderId="1" xfId="0" applyNumberFormat="1" applyFont="1" applyFill="1" applyBorder="1" applyAlignment="1">
      <x:alignment vertical="center" wrapText="1"/>
    </x:xf>
    <x:xf numFmtId="0" fontId="9" fillId="3" borderId="1" xfId="0" applyNumberFormat="1" applyFont="1" applyFill="1" applyBorder="1"/>
    <x:xf numFmtId="0" fontId="9" fillId="4" borderId="1" xfId="0" applyNumberFormat="1" applyFont="1" applyFill="1" applyBorder="1" applyAlignment="1">
      <x:alignment horizontal="center" wrapText="1"/>
    </x:xf>
    <x:xf numFmtId="0" fontId="10" fillId="0" borderId="1" xfId="0" applyNumberFormat="1" applyFont="1" applyFill="1" applyBorder="1" applyAlignment="1">
      <x:alignment wrapText="1"/>
    </x:xf>
    <x:xf numFmtId="0" fontId="11" fillId="5" borderId="1" xfId="0" applyNumberFormat="1" applyFont="1" applyFill="1" applyBorder="1" applyAlignment="1">
      <x:alignment vertical="center" wrapText="1"/>
    </x:xf>
    <x:xf numFmtId="0" fontId="9" fillId="2" borderId="0" xfId="0" applyNumberFormat="1" applyFont="1" applyFill="1" applyBorder="1" applyAlignment="1">
      <x:alignment horizontal="center"/>
    </x:xf>
    <x:xf numFmtId="0" fontId="9" fillId="4" borderId="0" xfId="0" applyNumberFormat="1" applyFont="1" applyFill="1" applyBorder="1" applyAlignment="1">
      <x:alignment horizontal="center"/>
    </x:xf>
    <x:xf numFmtId="0" fontId="9" fillId="6" borderId="0" xfId="0" applyNumberFormat="1" applyFont="1" applyFill="1" applyBorder="1" applyAlignment="1">
      <x:alignment vertical="center" wrapText="1"/>
    </x:xf>
    <x:xf numFmtId="200" fontId="10" fillId="0" borderId="0" xfId="0" applyNumberFormat="1" applyFont="1" applyFill="1" applyBorder="1"/>
    <x:xf numFmtId="0" fontId="9" fillId="2" borderId="1" xfId="0" applyNumberFormat="1" applyFont="1" applyFill="1" applyBorder="1" applyAlignment="1">
      <x:alignment horizontal="center"/>
    </x:xf>
    <x:xf numFmtId="0" fontId="9" fillId="4" borderId="1" xfId="0" applyNumberFormat="1" applyFont="1" applyFill="1" applyBorder="1" applyAlignment="1">
      <x:alignment horizontal="center"/>
    </x:xf>
    <x:xf numFmtId="0" fontId="9" fillId="6" borderId="1" xfId="0" applyNumberFormat="1" applyFont="1" applyFill="1" applyBorder="1" applyAlignment="1">
      <x:alignment vertical="center" wrapText="1"/>
    </x:xf>
    <x:xf numFmtId="200" fontId="10" fillId="0" borderId="1" xfId="0" applyNumberFormat="1" applyFont="1" applyFill="1" applyBorder="1"/>
    <x:xf numFmtId="0" fontId="10" fillId="3" borderId="0" xfId="0" applyNumberFormat="1" applyFont="1" applyFill="1" applyBorder="1" applyAlignment="1">
      <x:alignment wrapText="1"/>
    </x:xf>
    <x:xf numFmtId="0" fontId="10" fillId="5" borderId="0" xfId="0" applyNumberFormat="1" applyFont="1" applyFill="1" applyBorder="1" applyAlignment="1">
      <x:alignment wrapText="1"/>
    </x:xf>
    <x:xf numFmtId="0" fontId="9" fillId="6" borderId="0" xfId="0" applyNumberFormat="1" applyFont="1" applyFill="1" applyBorder="1"/>
    <x:xf numFmtId="0" fontId="10" fillId="3" borderId="1" xfId="0" applyNumberFormat="1" applyFont="1" applyFill="1" applyBorder="1" applyAlignment="1">
      <x:alignment wrapText="1"/>
    </x:xf>
    <x:xf numFmtId="0" fontId="10" fillId="5" borderId="1" xfId="0" applyNumberFormat="1" applyFont="1" applyFill="1" applyBorder="1" applyAlignment="1">
      <x:alignment wrapText="1"/>
    </x:xf>
    <x:xf numFmtId="0" fontId="9" fillId="6" borderId="1" xfId="0" applyNumberFormat="1" applyFont="1" applyFill="1" applyBorder="1"/>
    <x:xf numFmtId="0" fontId="12" fillId="4" borderId="0" xfId="0" applyNumberFormat="1" applyFont="1" applyFill="1" applyBorder="1" applyAlignment="1">
      <x:alignment horizontal="center" wrapText="1"/>
    </x:xf>
    <x:xf numFmtId="0" fontId="12" fillId="4" borderId="1" xfId="0" applyNumberFormat="1" applyFont="1" applyFill="1" applyBorder="1" applyAlignment="1">
      <x:alignment horizontal="center" wrapText="1"/>
    </x:xf>
    <x:xf numFmtId="0" fontId="12" fillId="4" borderId="0" xfId="0" applyNumberFormat="1" applyFont="1" applyFill="1" applyBorder="1" applyAlignment="1">
      <x:alignment horizontal="center"/>
    </x:xf>
    <x:xf numFmtId="0" fontId="12" fillId="4" borderId="1" xfId="0" applyNumberFormat="1" applyFont="1" applyFill="1" applyBorder="1" applyAlignment="1">
      <x:alignment horizontal="center"/>
    </x:xf>
  </x:cellXfs>
  <x:cellStyles count="1">
    <x:cellStyle name="Normal" xfId="0"/>
  </x:cellStyles>
  <x:dxfs count="10">
    <x:dxf>
      <x:font>
        <x:color rgb="FF385723"/>
      </x:font>
      <x:fill>
        <x:patternFill patternType="solid">
          <x:bgColor rgb="FFE2F0D9"/>
        </x:patternFill>
      </x:fill>
    </x:dxf>
    <x:dxf>
      <x:font>
        <x:color rgb="FFC00000"/>
      </x:font>
      <x:fill>
        <x:patternFill patternType="solid">
          <x:bgColor rgb="FFFCE4D6"/>
        </x:patternFill>
      </x:fill>
    </x:dxf>
    <x:dxf>
      <x:font>
        <x:color rgb="FF385723"/>
      </x:font>
      <x:fill>
        <x:patternFill patternType="solid">
          <x:bgColor rgb="FFE2F0D9"/>
        </x:patternFill>
      </x:fill>
    </x:dxf>
    <x:dxf>
      <x:font>
        <x:color rgb="FFC00000"/>
      </x:font>
      <x:fill>
        <x:patternFill patternType="solid">
          <x:bgColor rgb="FFFCE4D6"/>
        </x:patternFill>
      </x:fill>
    </x:dxf>
    <x:dxf>
      <x:font>
        <x:color rgb="FF385723"/>
      </x:font>
      <x:fill>
        <x:patternFill patternType="solid">
          <x:bgColor rgb="FFE2F0D9"/>
        </x:patternFill>
      </x:fill>
    </x:dxf>
    <x:dxf>
      <x:font>
        <x:color rgb="FFC00000"/>
      </x:font>
      <x:fill>
        <x:patternFill patternType="solid">
          <x:bgColor rgb="FFFCE4D6"/>
        </x:patternFill>
      </x:fill>
    </x:dxf>
    <x:dxf>
      <x:font>
        <x:color rgb="FF385723"/>
      </x:font>
      <x:fill>
        <x:patternFill patternType="solid">
          <x:bgColor rgb="FFE2F0D9"/>
        </x:patternFill>
      </x:fill>
    </x:dxf>
    <x:dxf>
      <x:font>
        <x:color rgb="FFC00000"/>
      </x:font>
      <x:fill>
        <x:patternFill patternType="solid">
          <x:bgColor rgb="FFFCE4D6"/>
        </x:patternFill>
      </x:fill>
    </x:dxf>
    <x:dxf>
      <x:font>
        <x:color rgb="FF385723"/>
      </x:font>
      <x:fill>
        <x:patternFill patternType="solid">
          <x:bgColor rgb="FFE2F0D9"/>
        </x:patternFill>
      </x:fill>
    </x:dxf>
    <x:dxf>
      <x:font>
        <x:color rgb="FFC00000"/>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1d1f4267a9c4114" /><Relationship Type="http://schemas.openxmlformats.org/officeDocument/2006/relationships/theme" Target="/xl/theme/theme1.xml" Id="R637c7de82650468c" /><Relationship Type="http://schemas.openxmlformats.org/officeDocument/2006/relationships/sharedStrings" Target="/xl/sharedStrings.xml" Id="Ra0af79105bf5419a" /><Relationship Type="http://schemas.openxmlformats.org/officeDocument/2006/relationships/worksheet" Target="/xl/worksheets/sheet1.xml" Id="Rcbeeabb798e54b70" /><Relationship Type="http://schemas.openxmlformats.org/officeDocument/2006/relationships/worksheet" Target="/xl/worksheets/sheet2.xml" Id="R11a0f4842d724aef" /><Relationship Type="http://schemas.openxmlformats.org/officeDocument/2006/relationships/worksheet" Target="/xl/worksheets/sheet3.xml" Id="R3129b725340a4e40" /><Relationship Type="http://schemas.openxmlformats.org/officeDocument/2006/relationships/worksheet" Target="/xl/worksheets/sheet4.xml" Id="R0f68fa92ea074cc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5" hidden="0" customWidth="1"/>
    <x:col min="2" max="2" width="28" hidden="0" customWidth="1"/>
    <x:col min="3" max="3" width="16" hidden="0" customWidth="1"/>
    <x:col min="4" max="4" width="26" hidden="0" customWidth="1"/>
    <x:col min="5" max="5" width="3" hidden="0" customWidth="1"/>
    <x:col min="6" max="6" width="28" hidden="0" customWidth="1"/>
    <x:col min="7" max="7" width="26" hidden="0" customWidth="1"/>
    <x:col min="8" max="8" width="31" hidden="0" customWidth="1"/>
  </x:cols>
  <x:sheetData>
    <x:row r="1" ht="30" customHeight="1">
      <x:c r="A1" s="5" t="str">
        <x:v>D2-2b: Branch-Based Operating Correction for Excessive Flux</x:v>
      </x:c>
      <x:c r="B1" s="5"/>
      <x:c r="C1" s="5"/>
      <x:c r="D1" s="5"/>
      <x:c r="E1" s="5"/>
      <x:c r="F1" s="5"/>
      <x:c r="G1" s="5"/>
      <x:c r="H1" s="5"/>
    </x:row>
    <x:row r="2">
      <x:c r="A2" s="61"/>
      <x:c r="B2" s="61"/>
      <x:c r="C2" s="61"/>
      <x:c r="D2" s="61"/>
      <x:c r="E2" s="61"/>
      <x:c r="F2" s="61"/>
      <x:c r="G2" s="61"/>
      <x:c r="H2" s="61"/>
    </x:row>
    <x:row r="3">
      <x:c r="A3" s="61"/>
      <x:c r="B3" s="61"/>
      <x:c r="C3" s="61"/>
      <x:c r="D3" s="61"/>
      <x:c r="E3" s="61"/>
      <x:c r="F3" s="61"/>
      <x:c r="G3" s="61"/>
      <x:c r="H3" s="61"/>
    </x:row>
    <x:row r="4" ht="36" customHeight="1">
      <x:c r="A4" s="62" t="str">
        <x:v>The SWRO train currently operates at 55 bar / 4.30 kg/s. Feed and system design are normal, but Flux exceeds 18 LMH. Production requires Qp≥7.0 m³/h, while Recovery is allowed up to 50%. Operators intuitively propose lowering Pressure, but reducing Feed flow is another option. Compare the two single-variable actions and select the simplest correction that restores all constraints.</x:v>
      </x:c>
      <x:c r="B4" s="62"/>
      <x:c r="C4" s="62"/>
      <x:c r="D4" s="62"/>
      <x:c r="E4" s="62"/>
      <x:c r="F4" s="62"/>
      <x:c r="G4" s="62"/>
      <x:c r="H4" s="62"/>
    </x:row>
    <x:row r="5" ht="36" customHeight="1">
      <x:c r="A5" s="62"/>
      <x:c r="B5" s="62"/>
      <x:c r="C5" s="62"/>
      <x:c r="D5" s="62"/>
      <x:c r="E5" s="62"/>
      <x:c r="F5" s="62"/>
      <x:c r="G5" s="62"/>
      <x:c r="H5" s="62"/>
    </x:row>
    <x:row r="6">
      <x:c r="A6" s="61"/>
      <x:c r="B6" s="61"/>
      <x:c r="C6" s="61"/>
      <x:c r="D6" s="61"/>
      <x:c r="E6" s="61"/>
      <x:c r="F6" s="61"/>
      <x:c r="G6" s="61"/>
      <x:c r="H6" s="61"/>
    </x:row>
    <x:row r="7">
      <x:c r="A7" s="61"/>
      <x:c r="B7" s="61"/>
      <x:c r="C7" s="61"/>
      <x:c r="D7" s="61"/>
      <x:c r="E7" s="61"/>
      <x:c r="F7" s="61"/>
      <x:c r="G7" s="61"/>
      <x:c r="H7" s="61"/>
    </x:row>
    <x:row r="8">
      <x:c r="A8" s="63" t="str">
        <x:v>Fixed System Parameters</x:v>
      </x:c>
      <x:c r="B8" s="63"/>
      <x:c r="C8" s="63"/>
      <x:c r="D8" s="63"/>
      <x:c r="E8" s="61"/>
      <x:c r="F8" s="63" t="str">
        <x:v>Operating Objectives and Item Constraints</x:v>
      </x:c>
      <x:c r="G8" s="63"/>
      <x:c r="H8" s="63"/>
    </x:row>
    <x:row r="9">
      <x:c r="A9" s="88" t="str">
        <x:v>Category</x:v>
      </x:c>
      <x:c r="B9" s="88" t="str">
        <x:v>Parameter</x:v>
      </x:c>
      <x:c r="C9" s="88" t="str">
        <x:v>Value</x:v>
      </x:c>
      <x:c r="D9" s="88" t="str">
        <x:v>Note</x:v>
      </x:c>
      <x:c r="E9" s="61"/>
      <x:c r="F9" s="88" t="str">
        <x:v>Item</x:v>
      </x:c>
      <x:c r="G9" s="88" t="str">
        <x:v>Requirement / Value</x:v>
      </x:c>
      <x:c r="H9" s="88" t="str">
        <x:v>Note</x:v>
      </x:c>
    </x:row>
    <x:row r="10">
      <x:c r="A10" s="65" t="str">
        <x:v>Feed</x:v>
      </x:c>
      <x:c r="B10" s="65" t="str">
        <x:v>NaCl mass fraction</x:v>
      </x:c>
      <x:c r="C10" s="65" t="n">
        <x:v>0.03</x:v>
      </x:c>
      <x:c r="D10" s="65" t="str">
        <x:v>Fixed; ~30.5 g/L</x:v>
      </x:c>
      <x:c r="E10" s="61"/>
      <x:c r="F10" s="65" t="str">
        <x:v>Qp minimum</x:v>
      </x:c>
      <x:c r="G10" s="65" t="n">
        <x:v>7</x:v>
      </x:c>
      <x:c r="H10" s="65" t="str">
        <x:v>m³/h</x:v>
      </x:c>
    </x:row>
    <x:row r="11">
      <x:c r="A11" s="65" t="str">
        <x:v>Feed</x:v>
      </x:c>
      <x:c r="B11" s="65" t="str">
        <x:v>Temperature</x:v>
      </x:c>
      <x:c r="C11" s="65" t="n">
        <x:v>32</x:v>
      </x:c>
      <x:c r="D11" s="65" t="str">
        <x:v>°C; fixed</x:v>
      </x:c>
      <x:c r="E11" s="61"/>
      <x:c r="F11" s="65" t="str">
        <x:v>Qp maximum</x:v>
      </x:c>
      <x:c r="G11" s="65" t="str">
        <x:v>None</x:v>
      </x:c>
      <x:c r="H11" s="65" t="str">
        <x:v>No upper limit</x:v>
      </x:c>
    </x:row>
    <x:row r="12">
      <x:c r="A12" s="65" t="str">
        <x:v>Membrane</x:v>
      </x:c>
      <x:c r="B12" s="65" t="str">
        <x:v>Effective membrane area</x:v>
      </x:c>
      <x:c r="C12" s="65" t="n">
        <x:v>400</x:v>
      </x:c>
      <x:c r="D12" s="65" t="str">
        <x:v>m²; fixed</x:v>
      </x:c>
      <x:c r="E12" s="61"/>
      <x:c r="F12" s="65" t="str">
        <x:v>Recovery maximum</x:v>
      </x:c>
      <x:c r="G12" s="65" t="n">
        <x:v>50</x:v>
      </x:c>
      <x:c r="H12" s="65" t="str">
        <x:v>%</x:v>
      </x:c>
    </x:row>
    <x:row r="13">
      <x:c r="A13" s="65" t="str">
        <x:v>Membrane</x:v>
      </x:c>
      <x:c r="B13" s="65" t="str">
        <x:v>A_comp</x:v>
      </x:c>
      <x:c r="C13" s="65" t="n">
        <x:v>4.2e-12</x:v>
      </x:c>
      <x:c r="D13" s="65" t="str">
        <x:v>m/s/Pa; fixed</x:v>
      </x:c>
      <x:c r="E13" s="61"/>
      <x:c r="F13" s="65" t="str">
        <x:v>Flux maximum</x:v>
      </x:c>
      <x:c r="G13" s="65" t="n">
        <x:v>18</x:v>
      </x:c>
      <x:c r="H13" s="65" t="str">
        <x:v>LMH</x:v>
      </x:c>
    </x:row>
    <x:row r="14">
      <x:c r="A14" s="65" t="str">
        <x:v>Membrane</x:v>
      </x:c>
      <x:c r="B14" s="65" t="str">
        <x:v>B_comp</x:v>
      </x:c>
      <x:c r="C14" s="65" t="n">
        <x:v>3.4e-8</x:v>
      </x:c>
      <x:c r="D14" s="65" t="str">
        <x:v>m/s; fixed</x:v>
      </x:c>
      <x:c r="E14" s="61"/>
      <x:c r="F14" s="65" t="str">
        <x:v>Salt rejection minimum</x:v>
      </x:c>
      <x:c r="G14" s="65" t="n">
        <x:v>98.7</x:v>
      </x:c>
      <x:c r="H14" s="65" t="str">
        <x:v>%</x:v>
      </x:c>
    </x:row>
    <x:row r="15">
      <x:c r="A15" s="65" t="str">
        <x:v>Hydraulics</x:v>
      </x:c>
      <x:c r="B15" s="65" t="str">
        <x:v>Permeate pressure</x:v>
      </x:c>
      <x:c r="C15" s="65" t="n">
        <x:v>1.013</x:v>
      </x:c>
      <x:c r="D15" s="65" t="str">
        <x:v>bar</x:v>
      </x:c>
      <x:c r="E15" s="61"/>
      <x:c r="F15" s="65" t="str">
        <x:v>Permeate NaCl maximum</x:v>
      </x:c>
      <x:c r="G15" s="65" t="n">
        <x:v>400</x:v>
      </x:c>
      <x:c r="H15" s="65" t="str">
        <x:v>mg/L</x:v>
      </x:c>
    </x:row>
    <x:row r="16">
      <x:c r="A16" s="65" t="str">
        <x:v>Hydraulics</x:v>
      </x:c>
      <x:c r="B16" s="65" t="str">
        <x:v>Pressure drop</x:v>
      </x:c>
      <x:c r="C16" s="65" t="n">
        <x:v>0.653</x:v>
      </x:c>
      <x:c r="D16" s="65" t="str">
        <x:v>bar</x:v>
      </x:c>
      <x:c r="E16" s="61"/>
      <x:c r="F16" s="65" t="str">
        <x:v>Current setpoint</x:v>
      </x:c>
      <x:c r="G16" s="65" t="str">
        <x:v>55 bar / 4.30 kg/s</x:v>
      </x:c>
      <x:c r="H16" s="65" t="str">
        <x:v>Flux exceeds the limit</x:v>
      </x:c>
    </x:row>
    <x:row r="17">
      <x:c r="A17" s="65" t="str">
        <x:v>Channel</x:v>
      </x:c>
      <x:c r="B17" s="65" t="str">
        <x:v>Channel height</x:v>
      </x:c>
      <x:c r="C17" s="65" t="n">
        <x:v>0.002</x:v>
      </x:c>
      <x:c r="D17" s="65" t="str">
        <x:v>m</x:v>
      </x:c>
      <x:c r="E17" s="61"/>
      <x:c r="F17" s="65" t="str">
        <x:v>Option A</x:v>
      </x:c>
      <x:c r="G17" s="65" t="str">
        <x:v>Reduce Pressure to 53 bar at 4.30 kg/s</x:v>
      </x:c>
      <x:c r="H17" s="65" t="str">
        <x:v>Check production penalty</x:v>
      </x:c>
    </x:row>
    <x:row r="18">
      <x:c r="A18" s="65" t="str">
        <x:v>Channel</x:v>
      </x:c>
      <x:c r="B18" s="65" t="str">
        <x:v>Spacer porosity</x:v>
      </x:c>
      <x:c r="C18" s="65" t="n">
        <x:v>0.75</x:v>
      </x:c>
      <x:c r="D18" s="65" t="str">
        <x:v>-</x:v>
      </x:c>
      <x:c r="E18" s="61"/>
      <x:c r="F18" s="65" t="str">
        <x:v>Option B</x:v>
      </x:c>
      <x:c r="G18" s="65" t="str">
        <x:v>Hold 55 bar and reduce flow to 4.073 kg/s</x:v>
      </x:c>
      <x:c r="H18" s="65" t="str">
        <x:v>Check Flux and Recovery</x:v>
      </x:c>
    </x:row>
    <x:row r="19">
      <x:c r="A19" s="65" t="str">
        <x:v>Channel</x:v>
      </x:c>
      <x:c r="B19" s="65" t="str">
        <x:v>Equivalent module length</x:v>
      </x:c>
      <x:c r="C19" s="65" t="n">
        <x:v>20</x:v>
      </x:c>
      <x:c r="D19" s="65" t="str">
        <x:v>m</x:v>
      </x:c>
      <x:c r="E19" s="61"/>
      <x:c r="F19" s="65" t="str">
        <x:v>Preference</x:v>
      </x:c>
      <x:c r="G19" s="65" t="str">
        <x:v>Stop if a single-variable correction is feasible</x:v>
      </x:c>
      <x:c r="H19" s="65" t="str">
        <x:v>Avoid unnecessary coordinated control</x:v>
      </x:c>
    </x:row>
    <x:row r="20">
      <x:c r="A20" s="65" t="str">
        <x:v>Model</x:v>
      </x:c>
      <x:c r="B20" s="65" t="str">
        <x:v>Concentration polarization / mass transfer</x:v>
      </x:c>
      <x:c r="C20" s="65" t="str">
        <x:v>calculated</x:v>
      </x:c>
      <x:c r="D20" s="65" t="str">
        <x:v>WaterTAP calculated</x:v>
      </x:c>
      <x:c r="E20" s="61"/>
      <x:c r="F20" s="61"/>
      <x:c r="G20" s="61"/>
      <x:c r="H20" s="61"/>
    </x:row>
    <x:row r="21">
      <x:c r="A21" s="61"/>
      <x:c r="B21" s="61"/>
      <x:c r="C21" s="61"/>
      <x:c r="D21" s="61"/>
      <x:c r="E21" s="61"/>
      <x:c r="F21" s="61"/>
      <x:c r="G21" s="61"/>
      <x:c r="H21" s="61"/>
    </x:row>
    <x:row r="22">
      <x:c r="A22" s="61"/>
      <x:c r="B22" s="61"/>
      <x:c r="C22" s="61"/>
      <x:c r="D22" s="61"/>
      <x:c r="E22" s="61"/>
      <x:c r="F22" s="63" t="str">
        <x:v>Required Tasks</x:v>
      </x:c>
      <x:c r="G22" s="63"/>
      <x:c r="H22" s="63"/>
    </x:row>
    <x:row r="23" ht="34" customHeight="1">
      <x:c r="A23" s="61"/>
      <x:c r="B23" s="61"/>
      <x:c r="C23" s="61"/>
      <x:c r="D23" s="61"/>
      <x:c r="E23" s="61"/>
      <x:c r="F23" s="65" t="str">
        <x:v>1. Diagnose the primary hard-constraint violation at the current point.</x:v>
      </x:c>
      <x:c r="G23" s="65"/>
      <x:c r="H23" s="65"/>
    </x:row>
    <x:row r="24" ht="34" customHeight="1">
      <x:c r="A24" s="61"/>
      <x:c r="B24" s="61"/>
      <x:c r="C24" s="61"/>
      <x:c r="D24" s="61"/>
      <x:c r="E24" s="61"/>
      <x:c r="F24" s="65" t="str">
        <x:v>2. Test whether reducing Pressure to 53 bar creates a new Qp failure.</x:v>
      </x:c>
      <x:c r="G24" s="65"/>
      <x:c r="H24" s="65"/>
    </x:row>
    <x:row r="25" ht="34" customHeight="1">
      <x:c r="A25" s="61"/>
      <x:c r="B25" s="61"/>
      <x:c r="C25" s="61"/>
      <x:c r="D25" s="61"/>
      <x:c r="E25" s="61"/>
      <x:c r="F25" s="65" t="str">
        <x:v>3. Test whether holding 55 bar and reducing Feed flow to 4.073 kg/s satisfies all constraints.</x:v>
      </x:c>
      <x:c r="G25" s="65"/>
      <x:c r="H25" s="65"/>
    </x:row>
    <x:row r="26" ht="34" customHeight="1">
      <x:c r="A26" s="61"/>
      <x:c r="B26" s="61"/>
      <x:c r="C26" s="61"/>
      <x:c r="D26" s="61"/>
      <x:c r="E26" s="61"/>
      <x:c r="F26" s="65" t="str">
        <x:v>4. If option B is feasible, stop further 2D search and explain why coordinated control is unnecessary.</x:v>
      </x:c>
      <x:c r="G26" s="65"/>
      <x:c r="H26" s="65"/>
    </x:row>
    <x:row r="27">
      <x:c r="A27" s="61"/>
      <x:c r="B27" s="61"/>
      <x:c r="C27" s="61"/>
      <x:c r="D27" s="61"/>
      <x:c r="E27" s="61"/>
      <x:c r="F27" s="61"/>
      <x:c r="G27" s="61"/>
      <x:c r="H27" s="61"/>
    </x:row>
    <x:row r="28">
      <x:c r="A28" s="66" t="str">
        <x:v>Task boundary: In D2-2b, feed conditions, membrane properties, area, and system structure remain fixed. The problem arises from the operating setpoint or the allowed operating envelope. Do not change feed quality, temperature, membrane area, or A/B.</x:v>
      </x:c>
      <x:c r="B28" s="66"/>
      <x:c r="C28" s="66"/>
      <x:c r="D28" s="66"/>
      <x:c r="E28" s="61"/>
      <x:c r="F28" s="61"/>
      <x:c r="G28" s="61"/>
      <x:c r="H28" s="61"/>
    </x:row>
    <x:row r="29">
      <x:c r="A29" s="66"/>
      <x:c r="B29" s="66"/>
      <x:c r="C29" s="66"/>
      <x:c r="D29" s="66"/>
      <x:c r="E29" s="61"/>
      <x:c r="F29" s="61"/>
      <x:c r="G29" s="61"/>
      <x:c r="H29" s="61"/>
    </x:row>
  </x:sheetData>
  <x:mergeCells>
    <x:mergeCell ref="A1:H1"/>
    <x:mergeCell ref="A4:H5"/>
    <x:mergeCell ref="A8:D8"/>
    <x:mergeCell ref="F8:H8"/>
    <x:mergeCell ref="F22:H22"/>
    <x:mergeCell ref="F23:H23"/>
    <x:mergeCell ref="F24:H24"/>
    <x:mergeCell ref="F25:H25"/>
    <x:mergeCell ref="F26:H26"/>
    <x:mergeCell ref="A28:D29"/>
  </x:mergeCells>
  <x:pageMargins left="0.7" right="0.7" top="0.75" bottom="0.75" header="0.3" footer="0.3"/>
</x:worksheet>
</file>

<file path=xl/worksheets/sheet2.xml><?xml version="1.0" encoding="utf-8"?>
<x:worksheet xmlns:x="http://schemas.openxmlformats.org/spreadsheetml/2006/main">
  <x:sheetFormatPr defaultRowHeight="15"/>
  <x:cols>
    <x:col min="1" max="1" width="23"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2" hidden="0" customWidth="1"/>
    <x:col min="11" max="11" width="12" hidden="0" customWidth="1"/>
    <x:col min="12" max="12" width="12" hidden="0" customWidth="1"/>
    <x:col min="13" max="13" width="12" hidden="0" customWidth="1"/>
    <x:col min="14" max="14" width="12" hidden="0" customWidth="1"/>
    <x:col min="15" max="15" width="20" hidden="0" customWidth="1"/>
    <x:col min="16" max="16" width="14" hidden="0" customWidth="1"/>
    <x:col min="17" max="17" width="12" hidden="0" customWidth="1"/>
  </x:cols>
  <x:sheetData>
    <x:row r="1" ht="30" customHeight="1">
      <x:c r="A1" s="4" t="str">
        <x:v>D2-2b: Gold Answer — Advanced Operating Setpoint Adjustment</x:v>
      </x:c>
      <x:c r="B1" s="4"/>
      <x:c r="C1" s="4"/>
      <x:c r="D1" s="4"/>
      <x:c r="E1" s="4"/>
      <x:c r="F1" s="4"/>
      <x:c r="G1" s="4"/>
      <x:c r="H1" s="4"/>
      <x:c r="I1" s="4"/>
      <x:c r="J1" s="4"/>
      <x:c r="K1" s="4"/>
      <x:c r="L1" s="4"/>
      <x:c r="M1" s="4"/>
      <x:c r="N1" s="4"/>
      <x:c r="O1" s="4"/>
      <x:c r="P1" s="4"/>
      <x:c r="Q1" s="4"/>
    </x:row>
    <x:row r="2">
      <x:c r="A2" s="61"/>
      <x:c r="B2" s="61"/>
      <x:c r="C2" s="61"/>
      <x:c r="D2" s="61"/>
      <x:c r="E2" s="61"/>
      <x:c r="F2" s="61"/>
      <x:c r="G2" s="61"/>
      <x:c r="H2" s="61"/>
      <x:c r="I2" s="61"/>
      <x:c r="J2" s="61"/>
      <x:c r="K2" s="61"/>
      <x:c r="L2" s="61"/>
      <x:c r="M2" s="61"/>
      <x:c r="N2" s="61"/>
      <x:c r="O2" s="61"/>
      <x:c r="P2" s="61"/>
      <x:c r="Q2" s="61"/>
    </x:row>
    <x:row r="3">
      <x:c r="A3" s="61"/>
      <x:c r="B3" s="61"/>
      <x:c r="C3" s="61"/>
      <x:c r="D3" s="61"/>
      <x:c r="E3" s="61"/>
      <x:c r="F3" s="61"/>
      <x:c r="G3" s="61"/>
      <x:c r="H3" s="61"/>
      <x:c r="I3" s="61"/>
      <x:c r="J3" s="61"/>
      <x:c r="K3" s="61"/>
      <x:c r="L3" s="61"/>
      <x:c r="M3" s="61"/>
      <x:c r="N3" s="61"/>
      <x:c r="O3" s="90" t="str">
        <x:v>Constraint</x:v>
      </x:c>
      <x:c r="P3" s="90" t="str">
        <x:v>Value</x:v>
      </x:c>
      <x:c r="Q3" s="90" t="str">
        <x:v>Unit</x:v>
      </x:c>
    </x:row>
    <x:row r="4" ht="44" customHeight="1">
      <x:c r="A4" s="76" t="str">
        <x:v>At 55/4.30, Flux≈18.334 LMH exceeds the limit, while Recovery≈48.46% remains below the relaxed 50% cap. Reducing Pressure to 53/4.30 restores Flux but creates a production failure (Qp≈6.971&lt;7.0). Holding 55 bar and reducing Feed flow to 4.073 kg/s gives Qp≈7.127, Recovery≈49.70%, Flux≈17.812, and acceptable water quality. Therefore, the correct correction is flow-only; coordinated control is unnecessary.</x:v>
      </x:c>
      <x:c r="B4" s="76"/>
      <x:c r="C4" s="76"/>
      <x:c r="D4" s="76"/>
      <x:c r="E4" s="76"/>
      <x:c r="F4" s="76"/>
      <x:c r="G4" s="76"/>
      <x:c r="H4" s="76"/>
      <x:c r="I4" s="76"/>
      <x:c r="J4" s="76"/>
      <x:c r="K4" s="76"/>
      <x:c r="L4" s="76"/>
      <x:c r="M4" s="76"/>
      <x:c r="N4" s="76"/>
      <x:c r="O4" s="77" t="str">
        <x:v>Qp min</x:v>
      </x:c>
      <x:c r="P4" s="77" t="n">
        <x:v>7</x:v>
      </x:c>
      <x:c r="Q4" s="77" t="str">
        <x:v>m³/h</x:v>
      </x:c>
    </x:row>
    <x:row r="5" ht="44" customHeight="1">
      <x:c r="A5" s="76"/>
      <x:c r="B5" s="76"/>
      <x:c r="C5" s="76"/>
      <x:c r="D5" s="76"/>
      <x:c r="E5" s="76"/>
      <x:c r="F5" s="76"/>
      <x:c r="G5" s="76"/>
      <x:c r="H5" s="76"/>
      <x:c r="I5" s="76"/>
      <x:c r="J5" s="76"/>
      <x:c r="K5" s="76"/>
      <x:c r="L5" s="76"/>
      <x:c r="M5" s="76"/>
      <x:c r="N5" s="76"/>
      <x:c r="O5" s="77" t="str">
        <x:v>Qp max</x:v>
      </x:c>
      <x:c r="P5" s="77" t="n">
        <x:v>999</x:v>
      </x:c>
      <x:c r="Q5" s="77" t="str">
        <x:v>m³/h</x:v>
      </x:c>
    </x:row>
    <x:row r="6">
      <x:c r="A6" s="61"/>
      <x:c r="B6" s="61"/>
      <x:c r="C6" s="61"/>
      <x:c r="D6" s="61"/>
      <x:c r="E6" s="61"/>
      <x:c r="F6" s="61"/>
      <x:c r="G6" s="61"/>
      <x:c r="H6" s="61"/>
      <x:c r="I6" s="61"/>
      <x:c r="J6" s="61"/>
      <x:c r="K6" s="61"/>
      <x:c r="L6" s="61"/>
      <x:c r="M6" s="61"/>
      <x:c r="N6" s="61"/>
      <x:c r="O6" s="77" t="str">
        <x:v>Recovery max</x:v>
      </x:c>
      <x:c r="P6" s="77" t="n">
        <x:v>50</x:v>
      </x:c>
      <x:c r="Q6" s="77" t="str">
        <x:v>%</x:v>
      </x:c>
    </x:row>
    <x:row r="7">
      <x:c r="A7" s="61"/>
      <x:c r="B7" s="61"/>
      <x:c r="C7" s="61"/>
      <x:c r="D7" s="61"/>
      <x:c r="E7" s="61"/>
      <x:c r="F7" s="61"/>
      <x:c r="G7" s="61"/>
      <x:c r="H7" s="61"/>
      <x:c r="I7" s="61"/>
      <x:c r="J7" s="61"/>
      <x:c r="K7" s="61"/>
      <x:c r="L7" s="61"/>
      <x:c r="M7" s="61"/>
      <x:c r="N7" s="61"/>
      <x:c r="O7" s="77" t="str">
        <x:v>Flux max</x:v>
      </x:c>
      <x:c r="P7" s="77" t="n">
        <x:v>18</x:v>
      </x:c>
      <x:c r="Q7" s="77" t="str">
        <x:v>LMH</x:v>
      </x:c>
    </x:row>
    <x:row r="8">
      <x:c r="A8" s="63" t="str">
        <x:v>Continuous Reasoning Trajectory</x:v>
      </x:c>
      <x:c r="B8" s="63"/>
      <x:c r="C8" s="63"/>
      <x:c r="D8" s="63"/>
      <x:c r="E8" s="63"/>
      <x:c r="F8" s="63"/>
      <x:c r="G8" s="61"/>
      <x:c r="H8" s="61"/>
      <x:c r="I8" s="61"/>
      <x:c r="J8" s="61"/>
      <x:c r="K8" s="61"/>
      <x:c r="L8" s="61"/>
      <x:c r="M8" s="61"/>
      <x:c r="N8" s="61"/>
      <x:c r="O8" s="77" t="str">
        <x:v>Rejection min</x:v>
      </x:c>
      <x:c r="P8" s="77" t="n">
        <x:v>98.7</x:v>
      </x:c>
      <x:c r="Q8" s="77" t="str">
        <x:v>%</x:v>
      </x:c>
    </x:row>
    <x:row r="9">
      <x:c r="A9" s="88" t="str">
        <x:v>Node</x:v>
      </x:c>
      <x:c r="B9" s="88" t="str">
        <x:v>Evidence point</x:v>
      </x:c>
      <x:c r="C9" s="88" t="str">
        <x:v>Key observation</x:v>
      </x:c>
      <x:c r="D9" s="88" t="str">
        <x:v>State update</x:v>
      </x:c>
      <x:c r="E9" s="88" t="str">
        <x:v>Engineering meaning</x:v>
      </x:c>
      <x:c r="F9" s="88" t="str">
        <x:v>Decision</x:v>
      </x:c>
      <x:c r="G9" s="61"/>
      <x:c r="H9" s="61"/>
      <x:c r="I9" s="61"/>
      <x:c r="J9" s="61"/>
      <x:c r="K9" s="61"/>
      <x:c r="L9" s="61"/>
      <x:c r="M9" s="61"/>
      <x:c r="N9" s="61"/>
      <x:c r="O9" s="77" t="str">
        <x:v>NaCl max</x:v>
      </x:c>
      <x:c r="P9" s="77" t="n">
        <x:v>400</x:v>
      </x:c>
      <x:c r="Q9" s="77" t="str">
        <x:v>mg/L</x:v>
      </x:c>
    </x:row>
    <x:row r="10" ht="60" customHeight="1">
      <x:c r="A10" s="65" t="str">
        <x:v>Current diagnosis</x:v>
      </x:c>
      <x:c r="B10" s="65" t="str">
        <x:v>C</x:v>
      </x:c>
      <x:c r="C10" s="65" t="str">
        <x:v>Flux is the only hard-constraint violation in this item</x:v>
      </x:c>
      <x:c r="D10" s="65" t="str">
        <x:v>Correction is required</x:v>
      </x:c>
      <x:c r="E10" s="65" t="str">
        <x:v>Compare simple single-variable actions first</x:v>
      </x:c>
      <x:c r="F10" s="65" t="str">
        <x:v>Continue</x:v>
      </x:c>
      <x:c r="G10" s="61"/>
      <x:c r="H10" s="61"/>
      <x:c r="I10" s="61"/>
      <x:c r="J10" s="61"/>
      <x:c r="K10" s="61"/>
      <x:c r="L10" s="61"/>
      <x:c r="M10" s="61"/>
      <x:c r="N10" s="61"/>
      <x:c r="O10" s="61"/>
      <x:c r="P10" s="61"/>
      <x:c r="Q10" s="61"/>
    </x:row>
    <x:row r="11" ht="60" customHeight="1">
      <x:c r="A11" s="65" t="str">
        <x:v>Pressure-reduction branch</x:v>
      </x:c>
      <x:c r="B11" s="65" t="str">
        <x:v>D</x:v>
      </x:c>
      <x:c r="C11" s="65" t="str">
        <x:v>Flux passes, but Qp falls below 7.0</x:v>
      </x:c>
      <x:c r="D11" s="65" t="str">
        <x:v>Prune pressure-only</x:v>
      </x:c>
      <x:c r="E11" s="65" t="str">
        <x:v>Lowering Pressure creates a new production failure</x:v>
      </x:c>
      <x:c r="F11" s="65" t="str">
        <x:v>Stop branch</x:v>
      </x:c>
      <x:c r="G11" s="61"/>
      <x:c r="H11" s="61"/>
      <x:c r="I11" s="61"/>
      <x:c r="J11" s="61"/>
      <x:c r="K11" s="61"/>
      <x:c r="L11" s="61"/>
      <x:c r="M11" s="61"/>
      <x:c r="N11" s="61"/>
      <x:c r="O11" s="61"/>
      <x:c r="P11" s="61"/>
      <x:c r="Q11" s="61"/>
    </x:row>
    <x:row r="12" ht="60" customHeight="1">
      <x:c r="A12" s="65" t="str">
        <x:v>Flow-reduction branch</x:v>
      </x:c>
      <x:c r="B12" s="65" t="str">
        <x:v>A</x:v>
      </x:c>
      <x:c r="C12" s="65" t="str">
        <x:v>All constraints pass</x:v>
      </x:c>
      <x:c r="D12" s="65" t="str">
        <x:v>Accept flow-only correction</x:v>
      </x:c>
      <x:c r="E12" s="65" t="str">
        <x:v>Single-variable control is sufficient</x:v>
      </x:c>
      <x:c r="F12" s="65" t="str">
        <x:v>Stop</x:v>
      </x:c>
      <x:c r="G12" s="61"/>
      <x:c r="H12" s="61"/>
      <x:c r="I12" s="61"/>
      <x:c r="J12" s="61"/>
      <x:c r="K12" s="61"/>
      <x:c r="L12" s="61"/>
      <x:c r="M12" s="61"/>
      <x:c r="N12" s="61"/>
      <x:c r="O12" s="61"/>
      <x:c r="P12" s="61"/>
      <x:c r="Q12" s="61"/>
    </x:row>
    <x:row r="13" ht="60" customHeight="1">
      <x:c r="A13" s="65" t="str">
        <x:v>Stopping decision</x:v>
      </x:c>
      <x:c r="B13" s="65" t="str">
        <x:v>A</x:v>
      </x:c>
      <x:c r="C13" s="65" t="str">
        <x:v>A feasible single-variable correction is already proven</x:v>
      </x:c>
      <x:c r="D13" s="65" t="str">
        <x:v>Do not enter coordinated search</x:v>
      </x:c>
      <x:c r="E13" s="65" t="str">
        <x:v>Avoid unnecessary control complexity</x:v>
      </x:c>
      <x:c r="F13" s="65" t="str">
        <x:v>Stop</x:v>
      </x:c>
      <x:c r="G13" s="61"/>
      <x:c r="H13" s="61"/>
      <x:c r="I13" s="61"/>
      <x:c r="J13" s="61"/>
      <x:c r="K13" s="61"/>
      <x:c r="L13" s="61"/>
      <x:c r="M13" s="61"/>
      <x:c r="N13" s="61"/>
      <x:c r="O13" s="61"/>
      <x:c r="P13" s="61"/>
      <x:c r="Q13" s="61"/>
    </x:row>
    <x:row r="14">
      <x:c r="A14" s="61"/>
      <x:c r="B14" s="61"/>
      <x:c r="C14" s="61"/>
      <x:c r="D14" s="61"/>
      <x:c r="E14" s="61"/>
      <x:c r="F14" s="61"/>
      <x:c r="G14" s="61"/>
      <x:c r="H14" s="61"/>
      <x:c r="I14" s="61"/>
      <x:c r="J14" s="61"/>
      <x:c r="K14" s="61"/>
      <x:c r="L14" s="61"/>
      <x:c r="M14" s="61"/>
      <x:c r="N14" s="61"/>
      <x:c r="O14" s="61"/>
      <x:c r="P14" s="61"/>
      <x:c r="Q14" s="61"/>
    </x:row>
    <x:row r="15">
      <x:c r="A15" s="61"/>
      <x:c r="B15" s="61"/>
      <x:c r="C15" s="61"/>
      <x:c r="D15" s="61"/>
      <x:c r="E15" s="61"/>
      <x:c r="F15" s="61"/>
      <x:c r="G15" s="61"/>
      <x:c r="H15" s="61"/>
      <x:c r="I15" s="61"/>
      <x:c r="J15" s="61"/>
      <x:c r="K15" s="61"/>
      <x:c r="L15" s="61"/>
      <x:c r="M15" s="61"/>
      <x:c r="N15" s="61"/>
      <x:c r="O15" s="61"/>
      <x:c r="P15" s="61"/>
      <x:c r="Q15" s="61"/>
    </x:row>
    <x:row r="16">
      <x:c r="A16" s="61"/>
      <x:c r="B16" s="61"/>
      <x:c r="C16" s="61"/>
      <x:c r="D16" s="61"/>
      <x:c r="E16" s="61"/>
      <x:c r="F16" s="61"/>
      <x:c r="G16" s="61"/>
      <x:c r="H16" s="61"/>
      <x:c r="I16" s="61"/>
      <x:c r="J16" s="61"/>
      <x:c r="K16" s="61"/>
      <x:c r="L16" s="61"/>
      <x:c r="M16" s="61"/>
      <x:c r="N16" s="61"/>
      <x:c r="O16" s="61"/>
      <x:c r="P16" s="61"/>
      <x:c r="Q16" s="61"/>
    </x:row>
    <x:row r="17">
      <x:c r="A17" s="61"/>
      <x:c r="B17" s="61"/>
      <x:c r="C17" s="61"/>
      <x:c r="D17" s="61"/>
      <x:c r="E17" s="61"/>
      <x:c r="F17" s="61"/>
      <x:c r="G17" s="61"/>
      <x:c r="H17" s="61"/>
      <x:c r="I17" s="61"/>
      <x:c r="J17" s="61"/>
      <x:c r="K17" s="61"/>
      <x:c r="L17" s="61"/>
      <x:c r="M17" s="61"/>
      <x:c r="N17" s="61"/>
      <x:c r="O17" s="61"/>
      <x:c r="P17" s="61"/>
      <x:c r="Q17" s="61"/>
    </x:row>
    <x:row r="18">
      <x:c r="A18" s="61"/>
      <x:c r="B18" s="61"/>
      <x:c r="C18" s="61"/>
      <x:c r="D18" s="61"/>
      <x:c r="E18" s="61"/>
      <x:c r="F18" s="61"/>
      <x:c r="G18" s="61"/>
      <x:c r="H18" s="61"/>
      <x:c r="I18" s="61"/>
      <x:c r="J18" s="61"/>
      <x:c r="K18" s="61"/>
      <x:c r="L18" s="61"/>
      <x:c r="M18" s="61"/>
      <x:c r="N18" s="61"/>
      <x:c r="O18" s="61"/>
      <x:c r="P18" s="61"/>
      <x:c r="Q18" s="61"/>
    </x:row>
    <x:row r="19">
      <x:c r="A19" s="63" t="str">
        <x:v>simulate_ro Evidence and Constraint Checks</x:v>
      </x:c>
      <x:c r="B19" s="63"/>
      <x:c r="C19" s="63"/>
      <x:c r="D19" s="63"/>
      <x:c r="E19" s="63"/>
      <x:c r="F19" s="63"/>
      <x:c r="G19" s="63"/>
      <x:c r="H19" s="63"/>
      <x:c r="I19" s="63"/>
      <x:c r="J19" s="63"/>
      <x:c r="K19" s="63"/>
      <x:c r="L19" s="63"/>
      <x:c r="M19" s="63"/>
      <x:c r="N19" s="63"/>
      <x:c r="O19" s="61"/>
      <x:c r="P19" s="61"/>
      <x:c r="Q19" s="61"/>
    </x:row>
    <x:row r="20">
      <x:c r="A20" s="88" t="str">
        <x:v>Scenario</x:v>
      </x:c>
      <x:c r="B20" s="88" t="str">
        <x:v>Pressure bar</x:v>
      </x:c>
      <x:c r="C20" s="88" t="str">
        <x:v>Feed kg/s</x:v>
      </x:c>
      <x:c r="D20" s="88" t="str">
        <x:v>Permeate kg/s</x:v>
      </x:c>
      <x:c r="E20" s="88" t="str">
        <x:v>Qp m³/h</x:v>
      </x:c>
      <x:c r="F20" s="88" t="str">
        <x:v>Flux LMH</x:v>
      </x:c>
      <x:c r="G20" s="88" t="str">
        <x:v>Recovery %</x:v>
      </x:c>
      <x:c r="H20" s="88" t="str">
        <x:v>Rejection %</x:v>
      </x:c>
      <x:c r="I20" s="88" t="str">
        <x:v>NaCl mg/L</x:v>
      </x:c>
      <x:c r="J20" s="88" t="str">
        <x:v>Qp</x:v>
      </x:c>
      <x:c r="K20" s="88" t="str">
        <x:v>Recovery</x:v>
      </x:c>
      <x:c r="L20" s="88" t="str">
        <x:v>Flux</x:v>
      </x:c>
      <x:c r="M20" s="88" t="str">
        <x:v>Water quality</x:v>
      </x:c>
      <x:c r="N20" s="88" t="str">
        <x:v>Overall</x:v>
      </x:c>
      <x:c r="O20" s="61"/>
      <x:c r="P20" s="61"/>
      <x:c r="Q20" s="61"/>
    </x:row>
    <x:row r="21">
      <x:c r="A21" s="61" t="str">
        <x:v>55 / 4.30 flow-only</x:v>
      </x:c>
      <x:c r="B21" s="77" t="n">
        <x:v>55</x:v>
      </x:c>
      <x:c r="C21" s="77" t="n">
        <x:v>4.3</x:v>
      </x:c>
      <x:c r="D21" s="77" t="n">
        <x:v>2.037760099414168</x:v>
      </x:c>
      <x:c r="E21" s="77" t="n">
        <x:v>7.335936357891005</x:v>
      </x:c>
      <x:c r="F21" s="77" t="n">
        <x:v>18.33371090113622</x:v>
      </x:c>
      <x:c r="G21" s="77" t="n">
        <x:v>48.457664489109035</x:v>
      </x:c>
      <x:c r="H21" s="77" t="n">
        <x:v>98.91040444694139</x:v>
      </x:c>
      <x:c r="I21" s="77" t="n">
        <x:v>334.2446440226825</x:v>
      </x:c>
      <x:c r="J21" s="61" t="str">
        <x:f>IF(AND(E21&gt;=$P$4,E21&lt;=$P$5),"PASS","FAIL")</x:f>
        <x:v>PASS</x:v>
      </x:c>
      <x:c r="K21" s="61" t="str">
        <x:f>IF(G21&lt;=$P$6,"PASS","FAIL")</x:f>
        <x:v>PASS</x:v>
      </x:c>
      <x:c r="L21" s="61" t="str">
        <x:f>IF(F21&lt;=$P$7,"PASS","FAIL")</x:f>
        <x:v>FAIL</x:v>
      </x:c>
      <x:c r="M21" s="61" t="str">
        <x:f>IF(AND(H21&gt;=$P$8,I21&lt;=$P$9),"PASS","FAIL")</x:f>
        <x:v>PASS</x:v>
      </x:c>
      <x:c r="N21" s="61" t="str">
        <x:f>IF(AND(J21="PASS",K21="PASS",L21="PASS",M21="PASS"),"PASS","FAIL")</x:f>
        <x:v>FAIL</x:v>
      </x:c>
      <x:c r="O21" s="61"/>
      <x:c r="P21" s="61"/>
      <x:c r="Q21" s="61"/>
    </x:row>
    <x:row r="22">
      <x:c r="A22" s="61" t="str">
        <x:v>53 / 4.30</x:v>
      </x:c>
      <x:c r="B22" s="77" t="n">
        <x:v>53</x:v>
      </x:c>
      <x:c r="C22" s="77" t="n">
        <x:v>4.3</x:v>
      </x:c>
      <x:c r="D22" s="77" t="n">
        <x:v>1.936389470542942</x:v>
      </x:c>
      <x:c r="E22" s="77" t="n">
        <x:v>6.971002093954592</x:v>
      </x:c>
      <x:c r="F22" s="77" t="n">
        <x:v>17.42157007973964</x:v>
      </x:c>
      <x:c r="G22" s="77" t="n">
        <x:v>46.04686341611642</x:v>
      </x:c>
      <x:c r="H22" s="77" t="n">
        <x:v>98.88980362822365</x:v>
      </x:c>
      <x:c r="I22" s="77" t="n">
        <x:v>340.5625226813322</x:v>
      </x:c>
      <x:c r="J22" s="61" t="str">
        <x:f>IF(AND(E22&gt;=$P$4,E22&lt;=$P$5),"PASS","FAIL")</x:f>
        <x:v>FAIL</x:v>
      </x:c>
      <x:c r="K22" s="61" t="str">
        <x:f>IF(G22&lt;=$P$6,"PASS","FAIL")</x:f>
        <x:v>PASS</x:v>
      </x:c>
      <x:c r="L22" s="61" t="str">
        <x:f>IF(F22&lt;=$P$7,"PASS","FAIL")</x:f>
        <x:v>PASS</x:v>
      </x:c>
      <x:c r="M22" s="61" t="str">
        <x:f>IF(AND(H22&gt;=$P$8,I22&lt;=$P$9),"PASS","FAIL")</x:f>
        <x:v>PASS</x:v>
      </x:c>
      <x:c r="N22" s="61" t="str">
        <x:f>IF(AND(J22="PASS",K22="PASS",L22="PASS",M22="PASS"),"PASS","FAIL")</x:f>
        <x:v>FAIL</x:v>
      </x:c>
      <x:c r="O22" s="61"/>
      <x:c r="P22" s="61"/>
      <x:c r="Q22" s="61"/>
    </x:row>
    <x:row r="23">
      <x:c r="A23" s="61" t="str">
        <x:v>55 / 4.073 current baseline</x:v>
      </x:c>
      <x:c r="B23" s="77" t="n">
        <x:v>55</x:v>
      </x:c>
      <x:c r="C23" s="77" t="n">
        <x:v>4.073</x:v>
      </x:c>
      <x:c r="D23" s="77" t="n">
        <x:v>1.9797506995925969</x:v>
      </x:c>
      <x:c r="E23" s="77" t="n">
        <x:v>7.1271025185333485</x:v>
      </x:c>
      <x:c r="F23" s="77" t="n">
        <x:v>17.811580432718966</x:v>
      </x:c>
      <x:c r="G23" s="77" t="n">
        <x:v>49.7015456420662</x:v>
      </x:c>
      <x:c r="H23" s="77" t="n">
        <x:v>98.87007497431281</x:v>
      </x:c>
      <x:c r="I23" s="77" t="n">
        <x:v>346.61286818012763</x:v>
      </x:c>
      <x:c r="J23" s="61" t="str">
        <x:f>IF(AND(E23&gt;=$P$4,E23&lt;=$P$5),"PASS","FAIL")</x:f>
        <x:v>PASS</x:v>
      </x:c>
      <x:c r="K23" s="61" t="str">
        <x:f>IF(G23&lt;=$P$6,"PASS","FAIL")</x:f>
        <x:v>PASS</x:v>
      </x:c>
      <x:c r="L23" s="61" t="str">
        <x:f>IF(F23&lt;=$P$7,"PASS","FAIL")</x:f>
        <x:v>PASS</x:v>
      </x:c>
      <x:c r="M23" s="61" t="str">
        <x:f>IF(AND(H23&gt;=$P$8,I23&lt;=$P$9),"PASS","FAIL")</x:f>
        <x:v>PASS</x:v>
      </x:c>
      <x:c r="N23" s="61" t="str">
        <x:f>IF(AND(J23="PASS",K23="PASS",L23="PASS",M23="PASS"),"PASS","FAIL")</x:f>
        <x:v>PASS</x:v>
      </x:c>
      <x:c r="O23" s="61"/>
      <x:c r="P23" s="61"/>
      <x:c r="Q23" s="61"/>
    </x:row>
    <x:row r="24">
      <x:c r="A24" s="61"/>
      <x:c r="B24" s="61"/>
      <x:c r="C24" s="61"/>
      <x:c r="D24" s="61"/>
      <x:c r="E24" s="61"/>
      <x:c r="F24" s="61"/>
      <x:c r="G24" s="61"/>
      <x:c r="H24" s="61"/>
      <x:c r="I24" s="61"/>
      <x:c r="J24" s="61"/>
      <x:c r="K24" s="61"/>
      <x:c r="L24" s="61"/>
      <x:c r="M24" s="61"/>
      <x:c r="N24" s="61"/>
      <x:c r="O24" s="61"/>
      <x:c r="P24" s="61"/>
      <x:c r="Q24" s="61"/>
    </x:row>
    <x:row r="25">
      <x:c r="A25" s="61"/>
      <x:c r="B25" s="61"/>
      <x:c r="C25" s="61"/>
      <x:c r="D25" s="61"/>
      <x:c r="E25" s="61"/>
      <x:c r="F25" s="61"/>
      <x:c r="G25" s="61"/>
      <x:c r="H25" s="61"/>
      <x:c r="I25" s="61"/>
      <x:c r="J25" s="61"/>
      <x:c r="K25" s="61"/>
      <x:c r="L25" s="61"/>
      <x:c r="M25" s="61"/>
      <x:c r="N25" s="61"/>
      <x:c r="O25" s="61"/>
      <x:c r="P25" s="61"/>
      <x:c r="Q25" s="61"/>
    </x:row>
    <x:row r="26">
      <x:c r="A26" s="61"/>
      <x:c r="B26" s="61"/>
      <x:c r="C26" s="61"/>
      <x:c r="D26" s="61"/>
      <x:c r="E26" s="61"/>
      <x:c r="F26" s="61"/>
      <x:c r="G26" s="61"/>
      <x:c r="H26" s="61"/>
      <x:c r="I26" s="61"/>
      <x:c r="J26" s="61"/>
      <x:c r="K26" s="61"/>
      <x:c r="L26" s="61"/>
      <x:c r="M26" s="61"/>
      <x:c r="N26" s="61"/>
      <x:c r="O26" s="61"/>
      <x:c r="P26" s="61"/>
      <x:c r="Q26" s="61"/>
    </x:row>
    <x:row r="27">
      <x:c r="A27" s="61"/>
      <x:c r="B27" s="61"/>
      <x:c r="C27" s="61"/>
      <x:c r="D27" s="61"/>
      <x:c r="E27" s="61"/>
      <x:c r="F27" s="61"/>
      <x:c r="G27" s="61"/>
      <x:c r="H27" s="61"/>
      <x:c r="I27" s="61"/>
      <x:c r="J27" s="61"/>
      <x:c r="K27" s="61"/>
      <x:c r="L27" s="61"/>
      <x:c r="M27" s="61"/>
      <x:c r="N27" s="61"/>
      <x:c r="O27" s="61"/>
      <x:c r="P27" s="61"/>
      <x:c r="Q27" s="61"/>
    </x:row>
    <x:row r="28">
      <x:c r="A28" s="61"/>
      <x:c r="B28" s="61"/>
      <x:c r="C28" s="61"/>
      <x:c r="D28" s="61"/>
      <x:c r="E28" s="61"/>
      <x:c r="F28" s="61"/>
      <x:c r="G28" s="61"/>
      <x:c r="H28" s="61"/>
      <x:c r="I28" s="61"/>
      <x:c r="J28" s="61"/>
      <x:c r="K28" s="61"/>
      <x:c r="L28" s="61"/>
      <x:c r="M28" s="61"/>
      <x:c r="N28" s="61"/>
      <x:c r="O28" s="61"/>
      <x:c r="P28" s="61"/>
      <x:c r="Q28" s="61"/>
    </x:row>
    <x:row r="29">
      <x:c r="A29" s="61"/>
      <x:c r="B29" s="61"/>
      <x:c r="C29" s="61"/>
      <x:c r="D29" s="61"/>
      <x:c r="E29" s="61"/>
      <x:c r="F29" s="61"/>
      <x:c r="G29" s="61"/>
      <x:c r="H29" s="61"/>
      <x:c r="I29" s="61"/>
      <x:c r="J29" s="61"/>
      <x:c r="K29" s="61"/>
      <x:c r="L29" s="61"/>
      <x:c r="M29" s="61"/>
      <x:c r="N29" s="61"/>
      <x:c r="O29" s="61"/>
      <x:c r="P29" s="61"/>
      <x:c r="Q29" s="61"/>
    </x:row>
    <x:row r="30">
      <x:c r="A30" s="61"/>
      <x:c r="B30" s="61"/>
      <x:c r="C30" s="61"/>
      <x:c r="D30" s="61"/>
      <x:c r="E30" s="61"/>
      <x:c r="F30" s="61"/>
      <x:c r="G30" s="61"/>
      <x:c r="H30" s="61"/>
      <x:c r="I30" s="61"/>
      <x:c r="J30" s="61"/>
      <x:c r="K30" s="61"/>
      <x:c r="L30" s="61"/>
      <x:c r="M30" s="61"/>
      <x:c r="N30" s="61"/>
      <x:c r="O30" s="61"/>
      <x:c r="P30" s="61"/>
      <x:c r="Q30" s="61"/>
    </x:row>
    <x:row r="31" ht="52" customHeight="1">
      <x:c r="A31" s="76" t="str">
        <x:v>Final Engineering Conclusion
At 55/4.30, Flux≈18.334 LMH exceeds the limit, while Recovery≈48.46% remains below the relaxed 50% cap. Reducing Pressure to 53/4.30 restores Flux but creates a production failure (Qp≈6.971&lt;7.0). Holding 55 bar and reducing Feed flow to 4.073 kg/s gives Qp≈7.127, Recovery≈49.70%, Flux≈17.812, and acceptable water quality. Therefore, the correct correction is flow-only; coordinated control is unnecessary.</x:v>
      </x:c>
      <x:c r="B31" s="76"/>
      <x:c r="C31" s="76"/>
      <x:c r="D31" s="76"/>
      <x:c r="E31" s="76"/>
      <x:c r="F31" s="76"/>
      <x:c r="G31" s="76"/>
      <x:c r="H31" s="76"/>
      <x:c r="I31" s="76"/>
      <x:c r="J31" s="76"/>
      <x:c r="K31" s="76"/>
      <x:c r="L31" s="76"/>
      <x:c r="M31" s="76"/>
      <x:c r="N31" s="76"/>
      <x:c r="O31" s="61"/>
      <x:c r="P31" s="61"/>
      <x:c r="Q31" s="61"/>
    </x:row>
    <x:row r="32" ht="52" customHeight="1">
      <x:c r="A32" s="76"/>
      <x:c r="B32" s="76"/>
      <x:c r="C32" s="76"/>
      <x:c r="D32" s="76"/>
      <x:c r="E32" s="76"/>
      <x:c r="F32" s="76"/>
      <x:c r="G32" s="76"/>
      <x:c r="H32" s="76"/>
      <x:c r="I32" s="76"/>
      <x:c r="J32" s="76"/>
      <x:c r="K32" s="76"/>
      <x:c r="L32" s="76"/>
      <x:c r="M32" s="76"/>
      <x:c r="N32" s="76"/>
      <x:c r="O32" s="61"/>
      <x:c r="P32" s="61"/>
      <x:c r="Q32" s="61"/>
    </x:row>
    <x:row r="33" ht="52" customHeight="1">
      <x:c r="A33" s="76"/>
      <x:c r="B33" s="76"/>
      <x:c r="C33" s="76"/>
      <x:c r="D33" s="76"/>
      <x:c r="E33" s="76"/>
      <x:c r="F33" s="76"/>
      <x:c r="G33" s="76"/>
      <x:c r="H33" s="76"/>
      <x:c r="I33" s="76"/>
      <x:c r="J33" s="76"/>
      <x:c r="K33" s="76"/>
      <x:c r="L33" s="76"/>
      <x:c r="M33" s="76"/>
      <x:c r="N33" s="76"/>
      <x:c r="O33" s="61"/>
      <x:c r="P33" s="61"/>
      <x:c r="Q33" s="61"/>
    </x:row>
    <x:row r="34" ht="52" customHeight="1">
      <x:c r="A34" s="76"/>
      <x:c r="B34" s="76"/>
      <x:c r="C34" s="76"/>
      <x:c r="D34" s="76"/>
      <x:c r="E34" s="76"/>
      <x:c r="F34" s="76"/>
      <x:c r="G34" s="76"/>
      <x:c r="H34" s="76"/>
      <x:c r="I34" s="76"/>
      <x:c r="J34" s="76"/>
      <x:c r="K34" s="76"/>
      <x:c r="L34" s="76"/>
      <x:c r="M34" s="76"/>
      <x:c r="N34" s="76"/>
      <x:c r="O34" s="61"/>
      <x:c r="P34" s="61"/>
      <x:c r="Q34" s="61"/>
    </x:row>
  </x:sheetData>
  <x:mergeCells>
    <x:mergeCell ref="A1:Q1"/>
    <x:mergeCell ref="A4:N5"/>
    <x:mergeCell ref="A8:F8"/>
    <x:mergeCell ref="A19:N19"/>
    <x:mergeCell ref="A31:N34"/>
  </x:mergeCells>
  <x:conditionalFormatting sqref="J21:J23">
    <x:cfRule type="expression" dxfId="0" priority="1">
      <x:formula>J21="PASS"</x:formula>
    </x:cfRule>
    <x:cfRule type="expression" dxfId="1" priority="2">
      <x:formula>J21="FAIL"</x:formula>
    </x:cfRule>
  </x:conditionalFormatting>
  <x:conditionalFormatting sqref="K21:K23">
    <x:cfRule type="expression" dxfId="2" priority="3">
      <x:formula>K21="PASS"</x:formula>
    </x:cfRule>
    <x:cfRule type="expression" dxfId="3" priority="4">
      <x:formula>K21="FAIL"</x:formula>
    </x:cfRule>
  </x:conditionalFormatting>
  <x:conditionalFormatting sqref="L21:L23">
    <x:cfRule type="expression" dxfId="4" priority="5">
      <x:formula>L21="PASS"</x:formula>
    </x:cfRule>
    <x:cfRule type="expression" dxfId="5" priority="6">
      <x:formula>L21="FAIL"</x:formula>
    </x:cfRule>
  </x:conditionalFormatting>
  <x:conditionalFormatting sqref="M21:M23">
    <x:cfRule type="expression" dxfId="6" priority="7">
      <x:formula>M21="PASS"</x:formula>
    </x:cfRule>
    <x:cfRule type="expression" dxfId="7" priority="8">
      <x:formula>M21="FAIL"</x:formula>
    </x:cfRule>
  </x:conditionalFormatting>
  <x:conditionalFormatting sqref="N21:N23">
    <x:cfRule type="expression" dxfId="8" priority="9">
      <x:formula>N21="PASS"</x:formula>
    </x:cfRule>
    <x:cfRule type="expression" dxfId="9" priority="10">
      <x:formula>N21="FAIL"</x:formula>
    </x:cfRule>
  </x:conditionalFormatting>
  <x:pageMargins left="0.7" right="0.7" top="0.75" bottom="0.75" header="0.3" footer="0.3"/>
</x:worksheet>
</file>

<file path=xl/worksheets/sheet3.xml><?xml version="1.0" encoding="utf-8"?>
<x:worksheet xmlns:x="http://schemas.openxmlformats.org/spreadsheetml/2006/main">
  <x:sheetFormatPr defaultRowHeight="15"/>
  <x:cols>
    <x:col min="1" max="1" width="25" hidden="0" customWidth="1"/>
    <x:col min="2" max="2" width="27" hidden="0" customWidth="1"/>
    <x:col min="3" max="3" width="48" hidden="0" customWidth="1"/>
    <x:col min="4" max="4" width="34" hidden="0" customWidth="1"/>
    <x:col min="5" max="5" width="36" hidden="0" customWidth="1"/>
    <x:col min="6" max="6" width="10" hidden="0" customWidth="1"/>
    <x:col min="7" max="7" width="10" hidden="0" customWidth="1"/>
  </x:cols>
  <x:sheetData>
    <x:row r="1">
      <x:c r="A1" s="4" t="str">
        <x:v>D2-2b: Trajectory Quality Rubric (100 points)</x:v>
      </x:c>
      <x:c r="B1" s="4"/>
      <x:c r="C1" s="4"/>
      <x:c r="D1" s="4"/>
      <x:c r="E1" s="4"/>
      <x:c r="F1" s="4"/>
      <x:c r="G1" s="4"/>
    </x:row>
    <x:row r="2">
      <x:c r="A2" s="61"/>
      <x:c r="B2" s="61"/>
      <x:c r="C2" s="61"/>
      <x:c r="D2" s="61"/>
      <x:c r="E2" s="61"/>
      <x:c r="F2" s="61"/>
      <x:c r="G2" s="61"/>
    </x:row>
    <x:row r="3">
      <x:c r="A3" s="61"/>
      <x:c r="B3" s="61"/>
      <x:c r="C3" s="61"/>
      <x:c r="D3" s="61"/>
      <x:c r="E3" s="61"/>
      <x:c r="F3" s="61"/>
      <x:c r="G3" s="61"/>
    </x:row>
    <x:row r="4">
      <x:c r="A4" s="82" t="str">
        <x:v>Evaluate the complete state → plan → tool call → observation → update → next action → stopping/decision trajectory. Alternative tool orders may earn full credit only if they respect the item-specific objective, control degrees of freedom, and stopping rule.</x:v>
      </x:c>
      <x:c r="B4" s="82"/>
      <x:c r="C4" s="82"/>
      <x:c r="D4" s="82"/>
      <x:c r="E4" s="82"/>
      <x:c r="F4" s="82"/>
      <x:c r="G4" s="82"/>
    </x:row>
    <x:row r="5">
      <x:c r="A5" s="82"/>
      <x:c r="B5" s="82"/>
      <x:c r="C5" s="82"/>
      <x:c r="D5" s="82"/>
      <x:c r="E5" s="82"/>
      <x:c r="F5" s="82"/>
      <x:c r="G5" s="82"/>
    </x:row>
    <x:row r="6">
      <x:c r="A6" s="61"/>
      <x:c r="B6" s="61"/>
      <x:c r="C6" s="61"/>
      <x:c r="D6" s="61"/>
      <x:c r="E6" s="61"/>
      <x:c r="F6" s="61"/>
      <x:c r="G6" s="61"/>
    </x:row>
    <x:row r="7">
      <x:c r="A7" s="61"/>
      <x:c r="B7" s="61"/>
      <x:c r="C7" s="61"/>
      <x:c r="D7" s="61"/>
      <x:c r="E7" s="61"/>
      <x:c r="F7" s="61"/>
      <x:c r="G7" s="61"/>
    </x:row>
    <x:row r="8">
      <x:c r="A8" s="88" t="str">
        <x:v>Trajectory dimension</x:v>
      </x:c>
      <x:c r="B8" s="88" t="str">
        <x:v>Evaluation focus</x:v>
      </x:c>
      <x:c r="C8" s="88" t="str">
        <x:v>Full-credit evidence</x:v>
      </x:c>
      <x:c r="D8" s="88" t="str">
        <x:v>Partial credit</x:v>
      </x:c>
      <x:c r="E8" s="88" t="str">
        <x:v>Critical failure mode</x:v>
      </x:c>
      <x:c r="F8" s="88" t="str">
        <x:v>Weight</x:v>
      </x:c>
      <x:c r="G8" s="88" t="str">
        <x:v>Score</x:v>
      </x:c>
    </x:row>
    <x:row r="9">
      <x:c r="A9" s="65" t="str">
        <x:v>TQ1 Problem framing</x:v>
      </x:c>
      <x:c r="B9" s="65" t="str">
        <x:v>Recognize D2-2b and the item-specific objective</x:v>
      </x:c>
      <x:c r="C9" s="65" t="str">
        <x:v>Choose the correct single-variable correction and stop; keep feed, membrane, and area fixed</x:v>
      </x:c>
      <x:c r="D9" s="65" t="str">
        <x:v>Understands setpoint correction but misses part of the special objective</x:v>
      </x:c>
      <x:c r="E9" s="65" t="str">
        <x:v>Changes feed/membrane or turns the task into design</x:v>
      </x:c>
      <x:c r="F9" s="65" t="n">
        <x:v>15</x:v>
      </x:c>
      <x:c r="G9" s="83"/>
    </x:row>
    <x:row r="10">
      <x:c r="A10" s="65" t="str">
        <x:v>TQ2 Plan quality</x:v>
      </x:c>
      <x:c r="B10" s="65" t="str">
        <x:v>Decompose in an information-efficient order</x:v>
      </x:c>
      <x:c r="C10" s="65" t="str">
        <x:v>Use evidence-driven branching/boundary logic rather than enumeration</x:v>
      </x:c>
      <x:c r="D10" s="65" t="str">
        <x:v>Mostly reasonable but skips a key stage</x:v>
      </x:c>
      <x:c r="E10" s="65" t="str">
        <x:v>Brute-force grid or ignores stated priority</x:v>
      </x:c>
      <x:c r="F10" s="65" t="n">
        <x:v>15</x:v>
      </x:c>
      <x:c r="G10" s="83"/>
    </x:row>
    <x:row r="11">
      <x:c r="A11" s="65" t="str">
        <x:v>TQ3 Tool-call correctness</x:v>
      </x:c>
      <x:c r="B11" s="65" t="str">
        <x:v>Change only allowed variables in simulate_ro</x:v>
      </x:c>
      <x:c r="C11" s="65" t="str">
        <x:v>All comparisons keep identical feed/membrane parameters; Pressure/Flow match the item</x:v>
      </x:c>
      <x:c r="D11" s="65" t="str">
        <x:v>Minor input/unit issue</x:v>
      </x:c>
      <x:c r="E11" s="65" t="str">
        <x:v>Changes salinity, temperature, area, A, or B</x:v>
      </x:c>
      <x:c r="F11" s="65" t="n">
        <x:v>20</x:v>
      </x:c>
      <x:c r="G11" s="83"/>
    </x:row>
    <x:row r="12">
      <x:c r="A12" s="65" t="str">
        <x:v>TQ4 Observation interpretation</x:v>
      </x:c>
      <x:c r="B12" s="65" t="str">
        <x:v>Read active constraints and FAIL/PASS precisely</x:v>
      </x:c>
      <x:c r="C12" s="65" t="str">
        <x:v>At 55/4.30, Flux≈18.334 LMH exceeds the limit, while Recovery≈48.46% remains below the relaxed 50% cap. Reducing Pressure to 53/4.</x:v>
      </x:c>
      <x:c r="D12" s="65" t="str">
        <x:v>Mostly correct but misses one boundary or failure mechanism</x:v>
      </x:c>
      <x:c r="E12" s="65" t="str">
        <x:v>Rounds near-fail to PASS or treats one passing metric as overall success</x:v>
      </x:c>
      <x:c r="F12" s="65" t="n">
        <x:v>20</x:v>
      </x:c>
      <x:c r="G12" s="83"/>
    </x:row>
    <x:row r="13">
      <x:c r="A13" s="65" t="str">
        <x:v>TQ5 Adaptation and pruning</x:v>
      </x:c>
      <x:c r="B13" s="65" t="str">
        <x:v>Let each result determine the next action</x:v>
      </x:c>
      <x:c r="C13" s="65" t="str">
        <x:v>Choose the correct single-variable correction and stop; stop once evidence is sufficient</x:v>
      </x:c>
      <x:c r="D13" s="65" t="str">
        <x:v>Some redundancy</x:v>
      </x:c>
      <x:c r="E13" s="65" t="str">
        <x:v>Continues disproved branches or performs unstructured enumeration</x:v>
      </x:c>
      <x:c r="F13" s="65" t="n">
        <x:v>20</x:v>
      </x:c>
      <x:c r="G13" s="83"/>
    </x:row>
    <x:row r="14">
      <x:c r="A14" s="65" t="str">
        <x:v>TQ6 Final decision</x:v>
      </x:c>
      <x:c r="B14" s="65" t="str">
        <x:v>Deliver the conclusion required by this objective</x:v>
      </x:c>
      <x:c r="C14" s="65" t="str">
        <x:v>7.127, Recovery≈49.70%, Flux≈17.812, and acceptable water quality. Therefore, the correct correction is flow-only; coordinated control is unnecessary.</x:v>
      </x:c>
      <x:c r="D14" s="65" t="str">
        <x:v>Correct endpoint/conclusion with weak rationale</x:v>
      </x:c>
      <x:c r="E14" s="65" t="str">
        <x:v>Blindly applies the original 'minimum Pressure' objective</x:v>
      </x:c>
      <x:c r="F14" s="65" t="n">
        <x:v>10</x:v>
      </x:c>
      <x:c r="G14" s="83"/>
    </x:row>
    <x:row r="15">
      <x:c r="A15" s="61"/>
      <x:c r="B15" s="61"/>
      <x:c r="C15" s="61"/>
      <x:c r="D15" s="61"/>
      <x:c r="E15" s="61"/>
      <x:c r="F15" s="61"/>
      <x:c r="G15" s="61"/>
    </x:row>
    <x:row r="16">
      <x:c r="A16" s="61"/>
      <x:c r="B16" s="61"/>
      <x:c r="C16" s="61"/>
      <x:c r="D16" s="61"/>
      <x:c r="E16" s="84" t="str">
        <x:v>Trajectory Quality Total</x:v>
      </x:c>
      <x:c r="F16" s="84" t="n">
        <x:v>100</x:v>
      </x:c>
      <x:c r="G16" s="84" t="n">
        <x:f>SUM(G9:G14)</x:f>
        <x:v>0</x:v>
      </x:c>
    </x:row>
  </x:sheetData>
  <x:mergeCells>
    <x:mergeCell ref="A1:G1"/>
    <x:mergeCell ref="A4:G5"/>
  </x:mergeCells>
  <x:pageMargins left="0.7" right="0.7" top="0.75" bottom="0.75" header="0.3" footer="0.3"/>
</x:worksheet>
</file>

<file path=xl/worksheets/sheet4.xml><?xml version="1.0" encoding="utf-8"?>
<x:worksheet xmlns:x="http://schemas.openxmlformats.org/spreadsheetml/2006/main">
  <x:sheetFormatPr defaultRowHeight="15"/>
  <x:cols>
    <x:col min="1" max="1" width="24" hidden="0" customWidth="1"/>
    <x:col min="2" max="2" width="28" hidden="0" customWidth="1"/>
    <x:col min="3" max="3" width="35" hidden="0" customWidth="1"/>
    <x:col min="4" max="4" width="35" hidden="0" customWidth="1"/>
    <x:col min="5" max="5" width="35" hidden="0" customWidth="1"/>
    <x:col min="6" max="6" width="48" hidden="0" customWidth="1"/>
    <x:col min="7" max="7" width="10" hidden="0" customWidth="1"/>
  </x:cols>
  <x:sheetData>
    <x:row r="1">
      <x:c r="A1" s="4" t="str">
        <x:v>D2-2b: Tool Usage Efficiency (100 points)</x:v>
      </x:c>
      <x:c r="B1" s="4"/>
      <x:c r="C1" s="4"/>
      <x:c r="D1" s="4"/>
      <x:c r="E1" s="4"/>
      <x:c r="F1" s="4"/>
      <x:c r="G1" s="4"/>
    </x:row>
    <x:row r="2">
      <x:c r="A2" s="61"/>
      <x:c r="B2" s="61"/>
      <x:c r="C2" s="61"/>
      <x:c r="D2" s="61"/>
      <x:c r="E2" s="61"/>
      <x:c r="F2" s="61"/>
      <x:c r="G2" s="61"/>
    </x:row>
    <x:row r="3">
      <x:c r="A3" s="61"/>
      <x:c r="B3" s="61"/>
      <x:c r="C3" s="61"/>
      <x:c r="D3" s="61"/>
      <x:c r="E3" s="61"/>
      <x:c r="F3" s="61"/>
      <x:c r="G3" s="61"/>
    </x:row>
    <x:row r="4">
      <x:c r="A4" s="82" t="str">
        <x:v>Tool efficiency is scored separately (100 points). The primary scientific tool is simulate_ro. Item focus: ~3 simulate_ro points; high score requires stopping once flow-only is proven feasible. Call count is secondary to information gain, adaptation, pruning, and evidence-based stopping.</x:v>
      </x:c>
      <x:c r="B4" s="82"/>
      <x:c r="C4" s="82"/>
      <x:c r="D4" s="82"/>
      <x:c r="E4" s="82"/>
      <x:c r="F4" s="82"/>
      <x:c r="G4" s="82"/>
    </x:row>
    <x:row r="5">
      <x:c r="A5" s="82"/>
      <x:c r="B5" s="82"/>
      <x:c r="C5" s="82"/>
      <x:c r="D5" s="82"/>
      <x:c r="E5" s="82"/>
      <x:c r="F5" s="82"/>
      <x:c r="G5" s="82"/>
    </x:row>
    <x:row r="6">
      <x:c r="A6" s="61"/>
      <x:c r="B6" s="61"/>
      <x:c r="C6" s="61"/>
      <x:c r="D6" s="61"/>
      <x:c r="E6" s="61"/>
      <x:c r="F6" s="61"/>
      <x:c r="G6" s="61"/>
    </x:row>
    <x:row r="7">
      <x:c r="A7" s="61"/>
      <x:c r="B7" s="61"/>
      <x:c r="C7" s="61"/>
      <x:c r="D7" s="61"/>
      <x:c r="E7" s="61"/>
      <x:c r="F7" s="61"/>
      <x:c r="G7" s="61"/>
    </x:row>
    <x:row r="8">
      <x:c r="A8" s="88" t="str">
        <x:v>Efficiency dimension</x:v>
      </x:c>
      <x:c r="B8" s="88" t="str">
        <x:v>Evaluation focus</x:v>
      </x:c>
      <x:c r="C8" s="88" t="str">
        <x:v>High performance</x:v>
      </x:c>
      <x:c r="D8" s="88" t="str">
        <x:v>Medium performance</x:v>
      </x:c>
      <x:c r="E8" s="88" t="str">
        <x:v>Low performance</x:v>
      </x:c>
      <x:c r="F8" s="88" t="str">
        <x:v>Item-specific observation</x:v>
      </x:c>
      <x:c r="G8" s="88" t="str">
        <x:v>Points</x:v>
      </x:c>
    </x:row>
    <x:row r="9">
      <x:c r="A9" s="65" t="str">
        <x:v>E1 Tool selection</x:v>
      </x:c>
      <x:c r="B9" s="65" t="str">
        <x:v>Use only tools relevant to operating setpoints</x:v>
      </x:c>
      <x:c r="C9" s="65" t="str">
        <x:v>Primarily simulate_ro; no unrelated plant/chemistry calls</x:v>
      </x:c>
      <x:c r="D9" s="65" t="str">
        <x:v>Minor irrelevant calls</x:v>
      </x:c>
      <x:c r="E9" s="65" t="str">
        <x:v>Wrong tool or excessive metadata</x:v>
      </x:c>
      <x:c r="F9" s="65" t="str">
        <x:v>~3 simulate_ro points; high score requires stopping once flow-only is proven feasible.</x:v>
      </x:c>
      <x:c r="G9" s="65" t="n">
        <x:v>20</x:v>
      </x:c>
    </x:row>
    <x:row r="10">
      <x:c r="A10" s="65" t="str">
        <x:v>E2 Information gain</x:v>
      </x:c>
      <x:c r="B10" s="65" t="str">
        <x:v>Test the most discriminating points first</x:v>
      </x:c>
      <x:c r="C10" s="65" t="str">
        <x:v>Key branch/boundary/upper-corner tests first</x:v>
      </x:c>
      <x:c r="D10" s="65" t="str">
        <x:v>Mostly reasonable order</x:v>
      </x:c>
      <x:c r="E10" s="65" t="str">
        <x:v>Dense full-grid search first</x:v>
      </x:c>
      <x:c r="F10" s="65" t="str">
        <x:v>~3 simulate_ro points; high score requires stopping once flow-only is proven feasible.</x:v>
      </x:c>
      <x:c r="G10" s="65" t="n">
        <x:v>20</x:v>
      </x:c>
    </x:row>
    <x:row r="11">
      <x:c r="A11" s="65" t="str">
        <x:v>E3 Adaptation</x:v>
      </x:c>
      <x:c r="B11" s="65" t="str">
        <x:v>Let each result trigger the next call</x:v>
      </x:c>
      <x:c r="C11" s="65" t="str">
        <x:v>FAIL/PASS directly determines the next action</x:v>
      </x:c>
      <x:c r="D11" s="65" t="str">
        <x:v>Partly adaptive</x:v>
      </x:c>
      <x:c r="E11" s="65" t="str">
        <x:v>Preset enumeration ignores results</x:v>
      </x:c>
      <x:c r="F11" s="65" t="str">
        <x:v>~3 simulate_ro points; high score requires stopping once flow-only is proven feasible.</x:v>
      </x:c>
      <x:c r="G11" s="65" t="n">
        <x:v>20</x:v>
      </x:c>
    </x:row>
    <x:row r="12">
      <x:c r="A12" s="65" t="str">
        <x:v>E4 Pruning</x:v>
      </x:c>
      <x:c r="B12" s="65" t="str">
        <x:v>Stop invalid branches once proven</x:v>
      </x:c>
      <x:c r="C12" s="65" t="str">
        <x:v>Prompt stopping; no equivalent repeats</x:v>
      </x:c>
      <x:c r="D12" s="65" t="str">
        <x:v>Some repetition</x:v>
      </x:c>
      <x:c r="E12" s="65" t="str">
        <x:v>Keeps testing disproved options</x:v>
      </x:c>
      <x:c r="F12" s="65" t="str">
        <x:v>~3 simulate_ro points; high score requires stopping once flow-only is proven feasible.</x:v>
      </x:c>
      <x:c r="G12" s="65" t="n">
        <x:v>20</x:v>
      </x:c>
    </x:row>
    <x:row r="13">
      <x:c r="A13" s="65" t="str">
        <x:v>E5 Convergence</x:v>
      </x:c>
      <x:c r="B13" s="65" t="str">
        <x:v>Use minimal but sufficient evidence</x:v>
      </x:c>
      <x:c r="C13" s="65" t="str">
        <x:v>Call budget matches the item structure</x:v>
      </x:c>
      <x:c r="D13" s="65" t="str">
        <x:v>2–3 extra calls but still reasonable</x:v>
      </x:c>
      <x:c r="E13" s="65" t="str">
        <x:v>Too many calls or missing critical evidence</x:v>
      </x:c>
      <x:c r="F13" s="65" t="str">
        <x:v>~3 simulate_ro points; high score requires stopping once flow-only is proven feasible.</x:v>
      </x:c>
      <x:c r="G13" s="65" t="n">
        <x:v>20</x:v>
      </x:c>
    </x:row>
    <x:row r="14">
      <x:c r="A14" s="61"/>
      <x:c r="B14" s="61"/>
      <x:c r="C14" s="61"/>
      <x:c r="D14" s="61"/>
      <x:c r="E14" s="61"/>
      <x:c r="F14" s="61"/>
      <x:c r="G14" s="61"/>
    </x:row>
    <x:row r="15">
      <x:c r="A15" s="61"/>
      <x:c r="B15" s="61"/>
      <x:c r="C15" s="61"/>
      <x:c r="D15" s="61"/>
      <x:c r="E15" s="61"/>
      <x:c r="F15" s="84" t="str">
        <x:v>Tool Efficiency Total</x:v>
      </x:c>
      <x:c r="G15" s="84" t="n">
        <x:v>100</x:v>
      </x:c>
    </x:row>
  </x:sheetData>
  <x:mergeCells>
    <x:mergeCell ref="A1:G1"/>
    <x:mergeCell ref="A4:G5"/>
  </x:mergeCells>
  <x:pageMargins left="0.7" right="0.7" top="0.75" bottom="0.75" header="0.3" footer="0.3"/>
</x:worksheet>
</file>