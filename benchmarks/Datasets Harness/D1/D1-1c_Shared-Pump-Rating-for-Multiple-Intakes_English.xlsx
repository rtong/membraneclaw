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34aa0dd22b4f84" /></Relationships>
</file>

<file path=xl/workbook.xml><?xml version="1.0" encoding="utf-8"?>
<x:workbook xmlns:x="http://schemas.openxmlformats.org/spreadsheetml/2006/main">
  <x:sheets>
    <x:sheet xmlns:r="http://schemas.openxmlformats.org/officeDocument/2006/relationships" name="Question_Q" sheetId="1" r:id="Rd77ee96b497c4219"/>
    <x:sheet xmlns:r="http://schemas.openxmlformats.org/officeDocument/2006/relationships" name="Stepwise Answer_A" sheetId="2" r:id="Rf6b1b0da51644e53"/>
    <x:sheet xmlns:r="http://schemas.openxmlformats.org/officeDocument/2006/relationships" name="Trajectory Rubric" sheetId="3" r:id="Rcc5088cc864b4eee"/>
    <x:sheet xmlns:r="http://schemas.openxmlformats.org/officeDocument/2006/relationships" name="Tool Efficiency" sheetId="4" r:id="Ra33194cbe06b456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
    <x:numFmt numFmtId="203" formatCode="0.0000"/>
  </x:numFmts>
  <x:fonts count="13">
    <x:font>
      <x:sz val="11"/>
      <x:name val="Carlito"/>
    </x:font>
    <x:font>
      <x:b/>
      <x:sz val="17"/>
      <x:color rgb="FFFFFFFF"/>
      <x:name val="Aptos Display"/>
    </x:font>
    <x:font>
      <x:b/>
      <x:sz val="11"/>
      <x:color rgb="FF17365D"/>
      <x:name val="Carlito"/>
    </x:font>
    <x:font>
      <x:b/>
      <x:sz val="10"/>
      <x:color rgb="FFFFFFFF"/>
      <x:name val="Aptos"/>
    </x:font>
    <x:font>
      <x:sz val="11"/>
      <x:color rgb="FF8A6400"/>
      <x:name val="Carlito"/>
    </x:font>
    <x:font>
      <x:b/>
      <x:sz val="11"/>
      <x:color rgb="FF3A6233"/>
      <x:name val="Carlito"/>
    </x:font>
    <x:font>
      <x:b/>
      <x:sz val="11"/>
      <x:color rgb="FFC00000"/>
      <x:name val="Carlito"/>
    </x:font>
    <x:font>
      <x:b/>
      <x:sz val="11"/>
      <x:color rgb="FF765600"/>
      <x:name val="Carlito"/>
    </x:font>
    <x:font>
      <x:i/>
      <x:sz val="11"/>
      <x:color rgb="FF17365D"/>
      <x:name val="Carlito"/>
    </x:font>
    <x:font>
      <x:sz val="11"/>
      <x:color rgb="FF765600"/>
      <x:name val="Carlito"/>
    </x:font>
    <x:font>
      <x:b/>
      <x:sz val="10"/>
      <x:color rgb="FF222222"/>
      <x:name val="Aptos"/>
    </x:font>
    <x:font>
      <x:sz val="10"/>
      <x:color rgb="FF222222"/>
      <x:name val="Aptos"/>
    </x:font>
    <x:font>
      <x:i/>
      <x:sz val="10"/>
      <x:color rgb="FF222222"/>
      <x:name val="Aptos"/>
    </x:font>
  </x:fonts>
  <x:fills count="10">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3F6F9"/>
      </x:patternFill>
    </x:fill>
  </x:fills>
  <x:borders count="10">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5" fillId="7"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9" fillId="6" borderId="0" xfId="0" applyNumberFormat="1" applyFont="1" applyFill="1" applyBorder="1"/>
    <x:xf numFmtId="0" fontId="9" fillId="6" borderId="0" xfId="0" applyNumberFormat="1" applyFont="1" applyFill="1" applyBorder="1" applyAlignment="1">
      <x:alignment wrapText="1"/>
    </x:xf>
    <x:xf numFmtId="0" fontId="10" fillId="2" borderId="0" xfId="0" applyNumberFormat="1" applyFont="1" applyFill="1" applyBorder="1" applyAlignment="1">
      <x:alignment horizontal="center" vertical="center" wrapText="1"/>
    </x:xf>
    <x:xf numFmtId="0" fontId="11" fillId="0" borderId="0" xfId="0" applyNumberFormat="1" applyFont="1" applyFill="1" applyBorder="1"/>
    <x:xf numFmtId="0" fontId="10" fillId="3" borderId="0" xfId="0" applyNumberFormat="1" applyFont="1" applyFill="1" applyBorder="1" applyAlignment="1">
      <x:alignment wrapText="1"/>
    </x:xf>
    <x:xf numFmtId="0" fontId="10" fillId="4" borderId="0" xfId="0" applyNumberFormat="1" applyFont="1" applyFill="1" applyBorder="1" applyAlignment="1">
      <x:alignment horizontal="center" vertical="center" wrapText="1"/>
    </x:xf>
    <x:xf numFmtId="0" fontId="10" fillId="5" borderId="0" xfId="0" applyNumberFormat="1" applyFont="1" applyFill="1" applyBorder="1"/>
    <x:xf numFmtId="0" fontId="11" fillId="6" borderId="0" xfId="0" applyNumberFormat="1" applyFont="1" applyFill="1" applyBorder="1" applyAlignment="1">
      <x:alignment wrapText="1"/>
    </x:xf>
    <x:xf numFmtId="0" fontId="11" fillId="0" borderId="0" xfId="0" applyNumberFormat="1" applyFont="1" applyFill="1" applyBorder="1" applyAlignment="1">
      <x:alignment wrapText="1"/>
    </x:xf>
    <x:xf numFmtId="0" fontId="10" fillId="5"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0" fillId="2" borderId="1" xfId="0" applyNumberFormat="1" applyFont="1" applyFill="1" applyBorder="1" applyAlignment="1">
      <x:alignment horizontal="center" vertical="center" wrapText="1"/>
    </x:xf>
    <x:xf numFmtId="0" fontId="10" fillId="2" borderId="2" xfId="0" applyNumberFormat="1" applyFont="1" applyFill="1" applyBorder="1" applyAlignment="1">
      <x:alignment horizontal="center" vertical="center" wrapText="1"/>
    </x:xf>
    <x:xf numFmtId="0" fontId="10" fillId="2" borderId="3" xfId="0" applyNumberFormat="1" applyFont="1" applyFill="1" applyBorder="1" applyAlignment="1">
      <x:alignment horizontal="center" vertical="center" wrapText="1"/>
    </x:xf>
    <x:xf numFmtId="0" fontId="10" fillId="2" borderId="4" xfId="0" applyNumberFormat="1" applyFont="1" applyFill="1" applyBorder="1" applyAlignment="1">
      <x:alignment horizontal="center" vertical="center" wrapText="1"/>
    </x:xf>
    <x:xf numFmtId="0" fontId="10" fillId="2" borderId="5" xfId="0" applyNumberFormat="1" applyFont="1" applyFill="1" applyBorder="1" applyAlignment="1">
      <x:alignment horizontal="center" vertical="center" wrapText="1"/>
    </x:xf>
    <x:xf numFmtId="0" fontId="10" fillId="2" borderId="6" xfId="0" applyNumberFormat="1" applyFont="1" applyFill="1" applyBorder="1" applyAlignment="1">
      <x:alignment horizontal="center" vertical="center" wrapText="1"/>
    </x:xf>
    <x:xf numFmtId="0" fontId="11" fillId="0" borderId="4" xfId="0" applyNumberFormat="1" applyFont="1" applyFill="1" applyBorder="1" applyAlignment="1">
      <x:alignment vertical="center" wrapText="1"/>
    </x:xf>
    <x:xf numFmtId="0" fontId="11" fillId="0" borderId="5" xfId="0" applyNumberFormat="1" applyFont="1" applyFill="1" applyBorder="1" applyAlignment="1">
      <x:alignment vertical="center" wrapText="1"/>
    </x:xf>
    <x:xf numFmtId="0" fontId="11" fillId="0" borderId="6"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6" xfId="0" applyNumberFormat="1" applyFont="1" applyFill="1" applyBorder="1" applyAlignment="1">
      <x:alignment vertical="center" wrapText="1"/>
    </x:xf>
    <x:xf numFmtId="0" fontId="10" fillId="4" borderId="4"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5" borderId="5" xfId="0" applyNumberFormat="1" applyFont="1" applyFill="1" applyBorder="1" applyAlignment="1">
      <x:alignment vertical="center" wrapText="1"/>
    </x:xf>
    <x:xf numFmtId="0" fontId="10" fillId="5" borderId="6" xfId="0" applyNumberFormat="1" applyFont="1" applyFill="1" applyBorder="1" applyAlignment="1">
      <x:alignment vertical="center" wrapText="1"/>
    </x:xf>
    <x:xf numFmtId="0" fontId="10" fillId="5" borderId="4"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11" fillId="6" borderId="5" xfId="0" applyNumberFormat="1" applyFont="1" applyFill="1" applyBorder="1" applyAlignment="1">
      <x:alignment vertical="center" wrapText="1"/>
    </x:xf>
    <x:xf numFmtId="0" fontId="11" fillId="6" borderId="6" xfId="0" applyNumberFormat="1" applyFont="1" applyFill="1" applyBorder="1" applyAlignment="1">
      <x:alignment vertical="center" wrapText="1"/>
    </x:xf>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0" fillId="7" borderId="0" xfId="0" applyNumberFormat="1" applyFont="1" applyFill="1" applyBorder="1" applyAlignment="1">
      <x:alignment wrapText="1"/>
    </x:xf>
    <x:xf numFmtId="200" fontId="11" fillId="0" borderId="0" xfId="0" applyNumberFormat="1" applyFont="1" applyFill="1" applyBorder="1"/>
    <x:xf numFmtId="201" fontId="11" fillId="0" borderId="0" xfId="0" applyNumberFormat="1" applyFont="1" applyFill="1" applyBorder="1"/>
    <x:xf numFmtId="202" fontId="11" fillId="0" borderId="0" xfId="0" applyNumberFormat="1" applyFont="1" applyFill="1" applyBorder="1"/>
    <x:xf numFmtId="203" fontId="11" fillId="0" borderId="0" xfId="0" applyNumberFormat="1" applyFont="1" applyFill="1" applyBorder="1"/>
    <x:xf numFmtId="0" fontId="10" fillId="8" borderId="0" xfId="0" applyNumberFormat="1" applyFont="1" applyFill="1" applyBorder="1" applyAlignment="1">
      <x:alignment horizontal="center"/>
    </x:xf>
    <x:xf numFmtId="0" fontId="10" fillId="7" borderId="0" xfId="0" applyNumberFormat="1" applyFont="1" applyFill="1" applyBorder="1" applyAlignment="1">
      <x:alignment horizontal="center"/>
    </x:xf>
    <x:xf numFmtId="0" fontId="10" fillId="6" borderId="0" xfId="0" applyNumberFormat="1" applyFont="1" applyFill="1" applyBorder="1" applyAlignment="1">
      <x:alignment wrapText="1"/>
    </x:xf>
    <x:xf numFmtId="0" fontId="12" fillId="9" borderId="0" xfId="0" applyNumberFormat="1" applyFont="1" applyFill="1" applyBorder="1" applyAlignment="1">
      <x:alignment wrapText="1"/>
    </x:xf>
    <x:xf numFmtId="200" fontId="11" fillId="0" borderId="0" xfId="0" applyNumberFormat="1" applyFont="1" applyFill="1" applyBorder="1" applyAlignment="1">
      <x:alignment wrapText="1"/>
    </x:xf>
    <x:xf numFmtId="201" fontId="11" fillId="0" borderId="0" xfId="0" applyNumberFormat="1" applyFont="1" applyFill="1" applyBorder="1" applyAlignment="1">
      <x:alignment wrapText="1"/>
    </x:xf>
    <x:xf numFmtId="202" fontId="11" fillId="0" borderId="0" xfId="0" applyNumberFormat="1" applyFont="1" applyFill="1" applyBorder="1" applyAlignment="1">
      <x:alignment wrapText="1"/>
    </x:xf>
    <x:xf numFmtId="203" fontId="11" fillId="0"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7" borderId="0" xfId="0" applyNumberFormat="1" applyFont="1" applyFill="1" applyBorder="1" applyAlignment="1">
      <x:alignment horizontal="center" wrapText="1"/>
    </x:xf>
    <x:xf numFmtId="0" fontId="10" fillId="7" borderId="0" xfId="0" applyNumberFormat="1" applyFont="1" applyFill="1" applyBorder="1" applyAlignment="1">
      <x:alignment vertical="center" wrapText="1"/>
    </x:xf>
    <x:xf numFmtId="20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wrapText="1"/>
    </x:xf>
    <x:xf numFmtId="202" fontId="11" fillId="0" borderId="0" xfId="0" applyNumberFormat="1" applyFont="1" applyFill="1" applyBorder="1" applyAlignment="1">
      <x:alignment vertical="center" wrapText="1"/>
    </x:xf>
    <x:xf numFmtId="203" fontId="11" fillId="0" borderId="0" xfId="0" applyNumberFormat="1" applyFont="1" applyFill="1" applyBorder="1" applyAlignment="1">
      <x:alignment vertical="center" wrapText="1"/>
    </x:xf>
    <x:xf numFmtId="0" fontId="10" fillId="8"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10" fillId="6" borderId="0"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0" fillId="7" borderId="4" xfId="0" applyNumberFormat="1" applyFont="1" applyFill="1" applyBorder="1" applyAlignment="1">
      <x:alignment vertical="center" wrapText="1"/>
    </x:xf>
    <x:xf numFmtId="0" fontId="10" fillId="7" borderId="5" xfId="0" applyNumberFormat="1" applyFont="1" applyFill="1" applyBorder="1" applyAlignment="1">
      <x:alignment vertical="center" wrapText="1"/>
    </x:xf>
    <x:xf numFmtId="0" fontId="10" fillId="7" borderId="6" xfId="0" applyNumberFormat="1" applyFont="1" applyFill="1" applyBorder="1" applyAlignment="1">
      <x:alignment vertical="center" wrapText="1"/>
    </x:xf>
    <x:xf numFmtId="200" fontId="11" fillId="0" borderId="5" xfId="0" applyNumberFormat="1" applyFont="1" applyFill="1" applyBorder="1" applyAlignment="1">
      <x:alignment vertical="center" wrapText="1"/>
    </x:xf>
    <x:xf numFmtId="201" fontId="11" fillId="0" borderId="5" xfId="0" applyNumberFormat="1" applyFont="1" applyFill="1" applyBorder="1" applyAlignment="1">
      <x:alignment vertical="center" wrapText="1"/>
    </x:xf>
    <x:xf numFmtId="202" fontId="11" fillId="0" borderId="5" xfId="0" applyNumberFormat="1" applyFont="1" applyFill="1" applyBorder="1" applyAlignment="1">
      <x:alignment vertical="center" wrapText="1"/>
    </x:xf>
    <x:xf numFmtId="203" fontId="11" fillId="0" borderId="5" xfId="0" applyNumberFormat="1" applyFont="1" applyFill="1" applyBorder="1" applyAlignment="1">
      <x:alignment vertical="center" wrapText="1"/>
    </x:xf>
    <x:xf numFmtId="0" fontId="10" fillId="8" borderId="5" xfId="0" applyNumberFormat="1" applyFont="1" applyFill="1" applyBorder="1" applyAlignment="1">
      <x:alignment horizontal="center" vertical="center" wrapText="1"/>
    </x:xf>
    <x:xf numFmtId="0" fontId="10" fillId="7" borderId="5" xfId="0" applyNumberFormat="1" applyFont="1" applyFill="1" applyBorder="1" applyAlignment="1">
      <x:alignment horizontal="center" vertical="center" wrapText="1"/>
    </x:xf>
    <x:xf numFmtId="0" fontId="10" fillId="6" borderId="4" xfId="0" applyNumberFormat="1" applyFont="1" applyFill="1" applyBorder="1" applyAlignment="1">
      <x:alignment vertical="center" wrapText="1"/>
    </x:xf>
    <x:xf numFmtId="0" fontId="10" fillId="6" borderId="5" xfId="0" applyNumberFormat="1" applyFont="1" applyFill="1" applyBorder="1" applyAlignment="1">
      <x:alignment vertical="center" wrapText="1"/>
    </x:xf>
    <x:xf numFmtId="0" fontId="10" fillId="6" borderId="6" xfId="0" applyNumberFormat="1" applyFont="1" applyFill="1" applyBorder="1" applyAlignment="1">
      <x:alignment vertical="center" wrapText="1"/>
    </x:xf>
    <x:xf numFmtId="0" fontId="12" fillId="9" borderId="4" xfId="0" applyNumberFormat="1" applyFont="1" applyFill="1" applyBorder="1" applyAlignment="1">
      <x:alignment vertical="center" wrapText="1"/>
    </x:xf>
    <x:xf numFmtId="0" fontId="12" fillId="9" borderId="5" xfId="0" applyNumberFormat="1" applyFont="1" applyFill="1" applyBorder="1" applyAlignment="1">
      <x:alignment vertical="center" wrapText="1"/>
    </x:xf>
    <x:xf numFmtId="0" fontId="12" fillId="9" borderId="6" xfId="0" applyNumberFormat="1" applyFont="1" applyFill="1" applyBorder="1" applyAlignment="1">
      <x:alignment vertical="center" wrapText="1"/>
    </x:xf>
    <x:xf numFmtId="0" fontId="12" fillId="9" borderId="7" xfId="0" applyNumberFormat="1" applyFont="1" applyFill="1" applyBorder="1" applyAlignment="1">
      <x:alignment vertical="center" wrapText="1"/>
    </x:xf>
    <x:xf numFmtId="0" fontId="12" fillId="9" borderId="8" xfId="0" applyNumberFormat="1" applyFont="1" applyFill="1" applyBorder="1" applyAlignment="1">
      <x:alignment vertical="center" wrapText="1"/>
    </x:xf>
    <x:xf numFmtId="0" fontId="12" fillId="9" borderId="9" xfId="0" applyNumberFormat="1" applyFont="1" applyFill="1" applyBorder="1" applyAlignment="1">
      <x:alignment vertical="center" wrapText="1"/>
    </x:xf>
    <x:xf numFmtId="0" fontId="10" fillId="7" borderId="0" xfId="0" applyNumberFormat="1" applyFont="1" applyFill="1" applyBorder="1"/>
    <x:xf numFmtId="0" fontId="11" fillId="0" borderId="7" xfId="0" applyNumberFormat="1" applyFont="1" applyFill="1" applyBorder="1" applyAlignment="1">
      <x:alignment vertical="center" wrapText="1"/>
    </x:xf>
    <x:xf numFmtId="0" fontId="11" fillId="0" borderId="8"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0" fontId="10" fillId="7" borderId="8" xfId="0" applyNumberFormat="1" applyFont="1" applyFill="1" applyBorder="1" applyAlignment="1">
      <x:alignment vertical="center" wrapText="1"/>
    </x:xf>
    <x:xf numFmtId="0" fontId="10" fillId="7"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5e5dde47594ed4" /><Relationship Type="http://schemas.openxmlformats.org/officeDocument/2006/relationships/theme" Target="/xl/theme/theme1.xml" Id="Ra9679fe76de74ab5" /><Relationship Type="http://schemas.openxmlformats.org/officeDocument/2006/relationships/sharedStrings" Target="/xl/sharedStrings.xml" Id="Rac8655180fcd471c" /><Relationship Type="http://schemas.openxmlformats.org/officeDocument/2006/relationships/worksheet" Target="/xl/worksheets/sheet1.xml" Id="Rd77ee96b497c4219" /><Relationship Type="http://schemas.openxmlformats.org/officeDocument/2006/relationships/worksheet" Target="/xl/worksheets/sheet2.xml" Id="Rf6b1b0da51644e53" /><Relationship Type="http://schemas.openxmlformats.org/officeDocument/2006/relationships/worksheet" Target="/xl/worksheets/sheet3.xml" Id="Rcc5088cc864b4eee" /><Relationship Type="http://schemas.openxmlformats.org/officeDocument/2006/relationships/worksheet" Target="/xl/worksheets/sheet4.xml" Id="Ra33194cbe06b45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18" hidden="0" customWidth="1"/>
    <x:col min="4" max="4" width="18" hidden="0" customWidth="1"/>
    <x:col min="5" max="5" width="4" hidden="0" customWidth="1"/>
    <x:col min="6" max="6" width="24" hidden="0" customWidth="1"/>
    <x:col min="7" max="7" width="24" hidden="0" customWidth="1"/>
    <x:col min="8" max="8" width="24" hidden="0" customWidth="1"/>
  </x:cols>
  <x:sheetData>
    <x:row r="1">
      <x:c r="A1" s="73" t="str">
        <x:v>D1-1c | Shared Pump Rating for Multiple Intakes</x:v>
      </x:c>
      <x:c r="B1" s="50"/>
      <x:c r="C1" s="50"/>
      <x:c r="D1" s="50"/>
      <x:c r="E1" s="50"/>
      <x:c r="F1" s="50"/>
      <x:c r="G1" s="50"/>
      <x:c r="H1" s="51"/>
    </x:row>
    <x:row r="2">
      <x:c r="A2" s="74"/>
      <x:c r="B2" s="53"/>
      <x:c r="C2" s="53"/>
      <x:c r="D2" s="53"/>
      <x:c r="E2" s="53"/>
      <x:c r="F2" s="53"/>
      <x:c r="G2" s="53"/>
      <x:c r="H2" s="54"/>
    </x:row>
    <x:row r="3">
      <x:c r="A3" s="55"/>
      <x:c r="B3" s="56"/>
      <x:c r="C3" s="56"/>
      <x:c r="D3" s="56"/>
      <x:c r="E3" s="56"/>
      <x:c r="F3" s="56"/>
      <x:c r="G3" s="56"/>
      <x:c r="H3" s="57"/>
    </x:row>
    <x:row r="4" ht="34" customHeight="1">
      <x:c r="A4" s="58" t="str">
        <x:v>A first-phase island SWRO project has locked the membrane train and will use one shared high-pressure pump. The same pump must cover bay-winter, offshore-normal, and drought-season salinity-upset intake conditions. Determine the minimum feasible RO inlet pressure for each condition, identify the controlling intake, and determine the pump rated design pressure using the stated margin and 0.5 bar equipment selection increment.</x:v>
      </x:c>
      <x:c r="B4" s="59"/>
      <x:c r="C4" s="59"/>
      <x:c r="D4" s="59"/>
      <x:c r="E4" s="59"/>
      <x:c r="F4" s="59"/>
      <x:c r="G4" s="59"/>
      <x:c r="H4" s="60"/>
    </x:row>
    <x:row r="5" ht="34" customHeight="1">
      <x:c r="A5" s="58"/>
      <x:c r="B5" s="59"/>
      <x:c r="C5" s="59"/>
      <x:c r="D5" s="59"/>
      <x:c r="E5" s="59"/>
      <x:c r="F5" s="59"/>
      <x:c r="G5" s="59"/>
      <x:c r="H5" s="60"/>
    </x:row>
    <x:row r="6" ht="34" customHeight="1">
      <x:c r="A6" s="58"/>
      <x:c r="B6" s="59"/>
      <x:c r="C6" s="59"/>
      <x:c r="D6" s="59"/>
      <x:c r="E6" s="59"/>
      <x:c r="F6" s="59"/>
      <x:c r="G6" s="59"/>
      <x:c r="H6" s="60"/>
    </x:row>
    <x:row r="7">
      <x:c r="A7" s="55"/>
      <x:c r="B7" s="56"/>
      <x:c r="C7" s="56"/>
      <x:c r="D7" s="56"/>
      <x:c r="E7" s="56"/>
      <x:c r="F7" s="56"/>
      <x:c r="G7" s="56"/>
      <x:c r="H7" s="57"/>
    </x:row>
    <x:row r="8">
      <x:c r="A8" s="61" t="str">
        <x:v>Fixed parameter</x:v>
      </x:c>
      <x:c r="B8" s="62" t="str">
        <x:v>Value</x:v>
      </x:c>
      <x:c r="C8" s="62" t="str">
        <x:v>Unit</x:v>
      </x:c>
      <x:c r="D8" s="62" t="str">
        <x:v>Status</x:v>
      </x:c>
      <x:c r="E8" s="56"/>
      <x:c r="F8" s="62" t="str">
        <x:v>Design condition</x:v>
      </x:c>
      <x:c r="G8" s="62" t="str">
        <x:v>NaCl mass fraction</x:v>
      </x:c>
      <x:c r="H8" s="63" t="str">
        <x:v>Temperature (deg C)</x:v>
      </x:c>
    </x:row>
    <x:row r="9">
      <x:c r="A9" s="55" t="str">
        <x:v>Feed mass flow</x:v>
      </x:c>
      <x:c r="B9" s="56" t="n">
        <x:v>4.2</x:v>
      </x:c>
      <x:c r="C9" s="56" t="str">
        <x:v>kg/s</x:v>
      </x:c>
      <x:c r="D9" s="56" t="str">
        <x:v>Fixed / locked</x:v>
      </x:c>
      <x:c r="E9" s="56"/>
      <x:c r="F9" s="56" t="str">
        <x:v>A Bay - Winter</x:v>
      </x:c>
      <x:c r="G9" s="56" t="n">
        <x:v>0.032</x:v>
      </x:c>
      <x:c r="H9" s="57" t="n">
        <x:v>16</x:v>
      </x:c>
    </x:row>
    <x:row r="10">
      <x:c r="A10" s="55" t="str">
        <x:v>Membrane area</x:v>
      </x:c>
      <x:c r="B10" s="56" t="n">
        <x:v>420</x:v>
      </x:c>
      <x:c r="C10" s="56" t="str">
        <x:v>m^2</x:v>
      </x:c>
      <x:c r="D10" s="56" t="str">
        <x:v>Fixed / locked</x:v>
      </x:c>
      <x:c r="E10" s="56"/>
      <x:c r="F10" s="56" t="str">
        <x:v>B Offshore - Normal</x:v>
      </x:c>
      <x:c r="G10" s="56" t="n">
        <x:v>0.036</x:v>
      </x:c>
      <x:c r="H10" s="57" t="n">
        <x:v>26</x:v>
      </x:c>
    </x:row>
    <x:row r="11">
      <x:c r="A11" s="55" t="str">
        <x:v>A_comp</x:v>
      </x:c>
      <x:c r="B11" s="56" t="n">
        <x:v>4e-12</x:v>
      </x:c>
      <x:c r="C11" s="56" t="str">
        <x:v>m/s/Pa</x:v>
      </x:c>
      <x:c r="D11" s="56" t="str">
        <x:v>Fixed / locked</x:v>
      </x:c>
      <x:c r="E11" s="56"/>
      <x:c r="F11" s="56" t="str">
        <x:v>C Drought-Season Upset</x:v>
      </x:c>
      <x:c r="G11" s="56" t="n">
        <x:v>0.041</x:v>
      </x:c>
      <x:c r="H11" s="57" t="n">
        <x:v>34</x:v>
      </x:c>
    </x:row>
    <x:row r="12">
      <x:c r="A12" s="55" t="str">
        <x:v>B_comp</x:v>
      </x:c>
      <x:c r="B12" s="56" t="n">
        <x:v>3.2e-8</x:v>
      </x:c>
      <x:c r="C12" s="56" t="str">
        <x:v>m/s</x:v>
      </x:c>
      <x:c r="D12" s="56" t="str">
        <x:v>Fixed / locked</x:v>
      </x:c>
      <x:c r="E12" s="56"/>
      <x:c r="F12" s="56"/>
      <x:c r="G12" s="56"/>
      <x:c r="H12" s="57"/>
    </x:row>
    <x:row r="13">
      <x:c r="A13" s="55" t="str">
        <x:v>Permeate pressure</x:v>
      </x:c>
      <x:c r="B13" s="56" t="n">
        <x:v>1.15</x:v>
      </x:c>
      <x:c r="C13" s="56" t="str">
        <x:v>bar</x:v>
      </x:c>
      <x:c r="D13" s="56" t="str">
        <x:v>Fixed / locked</x:v>
      </x:c>
      <x:c r="E13" s="56"/>
      <x:c r="F13" s="64" t="str">
        <x:v>Acceptance constraints</x:v>
      </x:c>
      <x:c r="G13" s="64"/>
      <x:c r="H13" s="65"/>
    </x:row>
    <x:row r="14">
      <x:c r="A14" s="55" t="str">
        <x:v>Pressure drop</x:v>
      </x:c>
      <x:c r="B14" s="56" t="n">
        <x:v>0.9</x:v>
      </x:c>
      <x:c r="C14" s="56" t="str">
        <x:v>bar</x:v>
      </x:c>
      <x:c r="D14" s="56" t="str">
        <x:v>Fixed / locked</x:v>
      </x:c>
      <x:c r="E14" s="56"/>
      <x:c r="F14" s="56" t="str">
        <x:v>Permeate production, Qp</x:v>
      </x:c>
      <x:c r="G14" s="56" t="str">
        <x:v>A &gt;= 6.20; B &gt;= 6.00; C &gt;= 5.83 m^3/h</x:v>
      </x:c>
      <x:c r="H14" s="57" t="str">
        <x:v>Each condition</x:v>
      </x:c>
    </x:row>
    <x:row r="15">
      <x:c r="A15" s="55" t="str">
        <x:v>Channel height</x:v>
      </x:c>
      <x:c r="B15" s="56" t="n">
        <x:v>0.002</x:v>
      </x:c>
      <x:c r="C15" s="56" t="str">
        <x:v>m</x:v>
      </x:c>
      <x:c r="D15" s="56" t="str">
        <x:v>Fixed / locked</x:v>
      </x:c>
      <x:c r="E15" s="56"/>
      <x:c r="F15" s="56" t="str">
        <x:v>Water recovery</x:v>
      </x:c>
      <x:c r="G15" s="56" t="str">
        <x:v>&lt;= 55.0%</x:v>
      </x:c>
      <x:c r="H15" s="57" t="str">
        <x:v>Each condition</x:v>
      </x:c>
    </x:row>
    <x:row r="16">
      <x:c r="A16" s="55" t="str">
        <x:v>Spacer porosity</x:v>
      </x:c>
      <x:c r="B16" s="56" t="n">
        <x:v>0.75</x:v>
      </x:c>
      <x:c r="C16" s="56" t="str">
        <x:v>-</x:v>
      </x:c>
      <x:c r="D16" s="56" t="str">
        <x:v>Fixed / locked</x:v>
      </x:c>
      <x:c r="E16" s="56"/>
      <x:c r="F16" s="56" t="str">
        <x:v>Average water flux</x:v>
      </x:c>
      <x:c r="G16" s="56" t="str">
        <x:v>&lt;= 20.0 LMH</x:v>
      </x:c>
      <x:c r="H16" s="57" t="str">
        <x:v>Each condition</x:v>
      </x:c>
    </x:row>
    <x:row r="17">
      <x:c r="A17" s="55" t="str">
        <x:v>Module length</x:v>
      </x:c>
      <x:c r="B17" s="56" t="n">
        <x:v>20</x:v>
      </x:c>
      <x:c r="C17" s="56" t="str">
        <x:v>m</x:v>
      </x:c>
      <x:c r="D17" s="56" t="str">
        <x:v>Fixed / locked</x:v>
      </x:c>
      <x:c r="E17" s="56"/>
      <x:c r="F17" s="56" t="str">
        <x:v>Salt rejection</x:v>
      </x:c>
      <x:c r="G17" s="56" t="str">
        <x:v>&gt;= 98.70%</x:v>
      </x:c>
      <x:c r="H17" s="57" t="str">
        <x:v>Each condition</x:v>
      </x:c>
    </x:row>
    <x:row r="18">
      <x:c r="A18" s="55"/>
      <x:c r="B18" s="56"/>
      <x:c r="C18" s="56"/>
      <x:c r="D18" s="56"/>
      <x:c r="E18" s="56"/>
      <x:c r="F18" s="56" t="str">
        <x:v>Permeate NaCl</x:v>
      </x:c>
      <x:c r="G18" s="56" t="str">
        <x:v>&lt;= 500 mg/L</x:v>
      </x:c>
      <x:c r="H18" s="57" t="str">
        <x:v>Each condition</x:v>
      </x:c>
    </x:row>
    <x:row r="19">
      <x:c r="A19" s="55"/>
      <x:c r="B19" s="56"/>
      <x:c r="C19" s="56"/>
      <x:c r="D19" s="56"/>
      <x:c r="E19" s="56"/>
      <x:c r="F19" s="56"/>
      <x:c r="G19" s="56"/>
      <x:c r="H19" s="57"/>
    </x:row>
    <x:row r="20">
      <x:c r="A20" s="66" t="str">
        <x:v>Required work</x:v>
      </x:c>
      <x:c r="B20" s="64"/>
      <x:c r="C20" s="64"/>
      <x:c r="D20" s="64"/>
      <x:c r="E20" s="64"/>
      <x:c r="F20" s="64"/>
      <x:c r="G20" s="64"/>
      <x:c r="H20" s="65"/>
    </x:row>
    <x:row r="21" ht="38" customHeight="1">
      <x:c r="A21" s="55" t="str">
        <x:v>1. Treat this as a multi-condition pressure-sizing and feasibility problem. Do not change locked membrane or hydraulic parameters while searching pressure.</x:v>
      </x:c>
      <x:c r="B21" s="56"/>
      <x:c r="C21" s="56"/>
      <x:c r="D21" s="56"/>
      <x:c r="E21" s="56"/>
      <x:c r="F21" s="56"/>
      <x:c r="G21" s="56"/>
      <x:c r="H21" s="57"/>
    </x:row>
    <x:row r="22" ht="38" customHeight="1">
      <x:c r="A22" s="55" t="str">
        <x:v>2. For each condition, begin from a reasonable pressure and use Qp, recovery, flux, rejection, and permeate NaCl to identify the active failing constraint.</x:v>
      </x:c>
      <x:c r="B22" s="56"/>
      <x:c r="C22" s="56"/>
      <x:c r="D22" s="56"/>
      <x:c r="E22" s="56"/>
      <x:c r="F22" s="56"/>
      <x:c r="G22" s="56"/>
      <x:c r="H22" s="57"/>
    </x:row>
    <x:row r="23" ht="38" customHeight="1">
      <x:c r="A23" s="55" t="str">
        <x:v>3. Establish an independent fail/pass bracket for every condition and refine adaptively to 0.05 bar. Do not use a mechanical dense grid scan.</x:v>
      </x:c>
      <x:c r="B23" s="56"/>
      <x:c r="C23" s="56"/>
      <x:c r="D23" s="56"/>
      <x:c r="E23" s="56"/>
      <x:c r="F23" s="56"/>
      <x:c r="G23" s="56"/>
      <x:c r="H23" s="57"/>
    </x:row>
    <x:row r="24" ht="38" customHeight="1">
      <x:c r="A24" s="55" t="str">
        <x:v>4. Compare all Pmin values or infeasibility evidence with the stated equipment margin, limits, or control window, then make the engineering decision.</x:v>
      </x:c>
      <x:c r="B24" s="56"/>
      <x:c r="C24" s="56"/>
      <x:c r="D24" s="56"/>
      <x:c r="E24" s="56"/>
      <x:c r="F24" s="56"/>
      <x:c r="G24" s="56"/>
      <x:c r="H24" s="57"/>
    </x:row>
    <x:row r="25" ht="38" customHeight="1">
      <x:c r="A25" s="55" t="str">
        <x:v>5. Distinguish equipment rating/limits from operating setpoints. Do not hide a membrane-flux or water-quality violation by blindly increasing pressure.</x:v>
      </x:c>
      <x:c r="B25" s="56"/>
      <x:c r="C25" s="56"/>
      <x:c r="D25" s="56"/>
      <x:c r="E25" s="56"/>
      <x:c r="F25" s="56"/>
      <x:c r="G25" s="56"/>
      <x:c r="H25" s="57"/>
    </x:row>
    <x:row r="26">
      <x:c r="A26" s="55"/>
      <x:c r="B26" s="56"/>
      <x:c r="C26" s="56"/>
      <x:c r="D26" s="56"/>
      <x:c r="E26" s="56"/>
      <x:c r="F26" s="56"/>
      <x:c r="G26" s="56"/>
      <x:c r="H26" s="57"/>
    </x:row>
    <x:row r="27" ht="32" customHeight="1">
      <x:c r="A27" s="67" t="str">
        <x:v>Required pressure resolution: 0.05 bar. Any design margin, pump limit, VFD lower limit, maintenance reserve, or equipment selection increment in this benchmark is a stated rule used to produce a unique, auditable answer.</x:v>
      </x:c>
      <x:c r="B27" s="68"/>
      <x:c r="C27" s="68"/>
      <x:c r="D27" s="68"/>
      <x:c r="E27" s="68"/>
      <x:c r="F27" s="68"/>
      <x:c r="G27" s="68"/>
      <x:c r="H27" s="69"/>
    </x:row>
    <x:row r="28" ht="32" customHeight="1">
      <x:c r="A28" s="70"/>
      <x:c r="B28" s="71"/>
      <x:c r="C28" s="71"/>
      <x:c r="D28" s="71"/>
      <x:c r="E28" s="71"/>
      <x:c r="F28" s="71"/>
      <x:c r="G28" s="71"/>
      <x:c r="H28" s="72"/>
    </x:row>
  </x:sheetData>
  <x:mergeCells>
    <x:mergeCell ref="A1:H2"/>
    <x:mergeCell ref="A4:H6"/>
    <x:mergeCell ref="F13:H13"/>
    <x:mergeCell ref="A20:H20"/>
    <x:mergeCell ref="A21:H21"/>
    <x:mergeCell ref="A22:H22"/>
    <x:mergeCell ref="A23:H23"/>
    <x:mergeCell ref="A24:H24"/>
    <x:mergeCell ref="A25:H25"/>
    <x:mergeCell ref="A27: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5" hidden="0" customWidth="1"/>
    <x:col min="9" max="9" width="22" hidden="0" customWidth="1"/>
    <x:col min="10" max="10" width="18" hidden="0" customWidth="1"/>
    <x:col min="11" max="11" width="18" hidden="0" customWidth="1"/>
    <x:col min="12" max="12" width="14" hidden="0" customWidth="1"/>
    <x:col min="13" max="13" width="14" hidden="0" customWidth="1"/>
    <x:col min="14" max="14" width="25" hidden="0" customWidth="1"/>
  </x:cols>
  <x:sheetData>
    <x:row r="1">
      <x:c r="A1" s="73" t="str">
        <x:v>D1-1c | Shared Pump Rating for Multiple Intakes | Stepwise Answer</x:v>
      </x:c>
      <x:c r="B1" s="50"/>
      <x:c r="C1" s="50"/>
      <x:c r="D1" s="50"/>
      <x:c r="E1" s="50"/>
      <x:c r="F1" s="50"/>
      <x:c r="G1" s="50"/>
      <x:c r="H1" s="50"/>
      <x:c r="I1" s="50"/>
      <x:c r="J1" s="50"/>
      <x:c r="K1" s="50"/>
      <x:c r="L1" s="50"/>
      <x:c r="M1" s="50"/>
      <x:c r="N1" s="51"/>
    </x:row>
    <x:row r="2">
      <x:c r="A2" s="74"/>
      <x:c r="B2" s="53"/>
      <x:c r="C2" s="53"/>
      <x:c r="D2" s="53"/>
      <x:c r="E2" s="53"/>
      <x:c r="F2" s="53"/>
      <x:c r="G2" s="53"/>
      <x:c r="H2" s="53"/>
      <x:c r="I2" s="53"/>
      <x:c r="J2" s="53"/>
      <x:c r="K2" s="53"/>
      <x:c r="L2" s="53"/>
      <x:c r="M2" s="53"/>
      <x:c r="N2" s="54"/>
    </x:row>
    <x:row r="3">
      <x:c r="A3" s="55"/>
      <x:c r="B3" s="56"/>
      <x:c r="C3" s="56"/>
      <x:c r="D3" s="56"/>
      <x:c r="E3" s="56"/>
      <x:c r="F3" s="56"/>
      <x:c r="G3" s="56"/>
      <x:c r="H3" s="56"/>
      <x:c r="I3" s="56"/>
      <x:c r="J3" s="56"/>
      <x:c r="K3" s="56"/>
      <x:c r="L3" s="56"/>
      <x:c r="M3" s="56"/>
      <x:c r="N3" s="57"/>
    </x:row>
    <x:row r="4" ht="32" customHeight="1">
      <x:c r="A4" s="99" t="str">
        <x:v>Reference efficient trajectory: about 10-12 calls to simulate_ro. Coarsely bracket each condition, refine only the live interval to 0.05 bar, preserve adjacent fail/pass evidence, and then complete the equipment-versus-operation decision.</x:v>
      </x:c>
      <x:c r="B4" s="100"/>
      <x:c r="C4" s="100"/>
      <x:c r="D4" s="100"/>
      <x:c r="E4" s="100"/>
      <x:c r="F4" s="100"/>
      <x:c r="G4" s="100"/>
      <x:c r="H4" s="100"/>
      <x:c r="I4" s="100"/>
      <x:c r="J4" s="100"/>
      <x:c r="K4" s="100"/>
      <x:c r="L4" s="100"/>
      <x:c r="M4" s="100"/>
      <x:c r="N4" s="101"/>
    </x:row>
    <x:row r="5" ht="32" customHeight="1">
      <x:c r="A5" s="99"/>
      <x:c r="B5" s="100"/>
      <x:c r="C5" s="100"/>
      <x:c r="D5" s="100"/>
      <x:c r="E5" s="100"/>
      <x:c r="F5" s="100"/>
      <x:c r="G5" s="100"/>
      <x:c r="H5" s="100"/>
      <x:c r="I5" s="100"/>
      <x:c r="J5" s="100"/>
      <x:c r="K5" s="100"/>
      <x:c r="L5" s="100"/>
      <x:c r="M5" s="100"/>
      <x:c r="N5" s="101"/>
    </x:row>
    <x:row r="6">
      <x:c r="A6" s="55"/>
      <x:c r="B6" s="56"/>
      <x:c r="C6" s="56"/>
      <x:c r="D6" s="56"/>
      <x:c r="E6" s="56"/>
      <x:c r="F6" s="56"/>
      <x:c r="G6" s="56"/>
      <x:c r="H6" s="56"/>
      <x:c r="I6" s="56"/>
      <x:c r="J6" s="56"/>
      <x:c r="K6" s="56"/>
      <x:c r="L6" s="56"/>
      <x:c r="M6" s="56"/>
      <x:c r="N6" s="57"/>
    </x:row>
    <x:row r="7">
      <x:c r="A7" s="61" t="str">
        <x:v>Condition</x:v>
      </x:c>
      <x:c r="B7" s="62" t="str">
        <x:v>Pressure (bar)</x:v>
      </x:c>
      <x:c r="C7" s="62" t="str">
        <x:v>NaCl fraction</x:v>
      </x:c>
      <x:c r="D7" s="62" t="str">
        <x:v>T (deg C)</x:v>
      </x:c>
      <x:c r="E7" s="62" t="str">
        <x:v>Qp (m^3/h)</x:v>
      </x:c>
      <x:c r="F7" s="62" t="str">
        <x:v>Flux (LMH)</x:v>
      </x:c>
      <x:c r="G7" s="62" t="str">
        <x:v>Recovery (%)</x:v>
      </x:c>
      <x:c r="H7" s="62" t="str">
        <x:v>Rejection (%)</x:v>
      </x:c>
      <x:c r="I7" s="62" t="str">
        <x:v>NaCl (mg/L)</x:v>
      </x:c>
      <x:c r="J7" s="62" t="str">
        <x:v>Production</x:v>
      </x:c>
      <x:c r="K7" s="62" t="str">
        <x:v>Recovery / Flux</x:v>
      </x:c>
      <x:c r="L7" s="62" t="str">
        <x:v>Water quality</x:v>
      </x:c>
      <x:c r="M7" s="62" t="str">
        <x:v>Overall</x:v>
      </x:c>
      <x:c r="N7" s="63" t="str">
        <x:v>Boundary interpretation</x:v>
      </x:c>
    </x:row>
    <x:row r="8" ht="29" customHeight="1">
      <x:c r="A8" s="55" t="str">
        <x:v>A Bay - Winter</x:v>
      </x:c>
      <x:c r="B8" s="102" t="n">
        <x:v>50.05</x:v>
      </x:c>
      <x:c r="C8" s="103" t="n">
        <x:v>0.032</x:v>
      </x:c>
      <x:c r="D8" s="104" t="n">
        <x:v>16</x:v>
      </x:c>
      <x:c r="E8" s="105" t="n">
        <x:v>6.1978</x:v>
      </x:c>
      <x:c r="F8" s="105" t="n">
        <x:v>14.7511</x:v>
      </x:c>
      <x:c r="G8" s="105" t="n">
        <x:v>41.9755</x:v>
      </x:c>
      <x:c r="H8" s="105" t="n">
        <x:v>98.8394</x:v>
      </x:c>
      <x:c r="I8" s="105" t="n">
        <x:v>380.32</x:v>
      </x:c>
      <x:c r="J8" s="106" t="str">
        <x:v>Fail</x:v>
      </x:c>
      <x:c r="K8" s="107" t="str">
        <x:v>Pass</x:v>
      </x:c>
      <x:c r="L8" s="107" t="str">
        <x:v>Pass</x:v>
      </x:c>
      <x:c r="M8" s="106" t="str">
        <x:v>Fail</x:v>
      </x:c>
      <x:c r="N8" s="57" t="str">
        <x:v>Last failed point</x:v>
      </x:c>
    </x:row>
    <x:row r="9" ht="29" customHeight="1">
      <x:c r="A9" s="55" t="str">
        <x:v>A Bay - Winter</x:v>
      </x:c>
      <x:c r="B9" s="102" t="n">
        <x:v>50.1</x:v>
      </x:c>
      <x:c r="C9" s="103" t="n">
        <x:v>0.032</x:v>
      </x:c>
      <x:c r="D9" s="104" t="n">
        <x:v>16</x:v>
      </x:c>
      <x:c r="E9" s="105" t="n">
        <x:v>6.2077</x:v>
      </x:c>
      <x:c r="F9" s="105" t="n">
        <x:v>14.7747</x:v>
      </x:c>
      <x:c r="G9" s="105" t="n">
        <x:v>42.0424</x:v>
      </x:c>
      <x:c r="H9" s="105" t="n">
        <x:v>98.8403</x:v>
      </x:c>
      <x:c r="I9" s="105" t="n">
        <x:v>380.03</x:v>
      </x:c>
      <x:c r="J9" s="107" t="str">
        <x:v>Pass</x:v>
      </x:c>
      <x:c r="K9" s="107" t="str">
        <x:v>Pass</x:v>
      </x:c>
      <x:c r="L9" s="107" t="str">
        <x:v>Pass</x:v>
      </x:c>
      <x:c r="M9" s="107" t="str">
        <x:v>Pass</x:v>
      </x:c>
      <x:c r="N9" s="57" t="str">
        <x:v>First passing point</x:v>
      </x:c>
    </x:row>
    <x:row r="10" ht="29" customHeight="1">
      <x:c r="A10" s="55" t="str">
        <x:v>B Offshore - Normal</x:v>
      </x:c>
      <x:c r="B10" s="102" t="n">
        <x:v>55.35</x:v>
      </x:c>
      <x:c r="C10" s="103" t="n">
        <x:v>0.036</x:v>
      </x:c>
      <x:c r="D10" s="104" t="n">
        <x:v>26</x:v>
      </x:c>
      <x:c r="E10" s="105" t="n">
        <x:v>5.9928</x:v>
      </x:c>
      <x:c r="F10" s="105" t="n">
        <x:v>14.2623</x:v>
      </x:c>
      <x:c r="G10" s="105" t="n">
        <x:v>40.7054</x:v>
      </x:c>
      <x:c r="H10" s="105" t="n">
        <x:v>98.8257</x:v>
      </x:c>
      <x:c r="I10" s="105" t="n">
        <x:v>434.16</x:v>
      </x:c>
      <x:c r="J10" s="106" t="str">
        <x:v>Fail</x:v>
      </x:c>
      <x:c r="K10" s="107" t="str">
        <x:v>Pass</x:v>
      </x:c>
      <x:c r="L10" s="107" t="str">
        <x:v>Pass</x:v>
      </x:c>
      <x:c r="M10" s="106" t="str">
        <x:v>Fail</x:v>
      </x:c>
      <x:c r="N10" s="57" t="str">
        <x:v>Last failed point</x:v>
      </x:c>
    </x:row>
    <x:row r="11" ht="29" customHeight="1">
      <x:c r="A11" s="55" t="str">
        <x:v>B Offshore - Normal</x:v>
      </x:c>
      <x:c r="B11" s="102" t="n">
        <x:v>55.4</x:v>
      </x:c>
      <x:c r="C11" s="103" t="n">
        <x:v>0.036</x:v>
      </x:c>
      <x:c r="D11" s="104" t="n">
        <x:v>26</x:v>
      </x:c>
      <x:c r="E11" s="105" t="n">
        <x:v>6.002</x:v>
      </x:c>
      <x:c r="F11" s="105" t="n">
        <x:v>14.2842</x:v>
      </x:c>
      <x:c r="G11" s="105" t="n">
        <x:v>40.7679</x:v>
      </x:c>
      <x:c r="H11" s="105" t="n">
        <x:v>98.8266</x:v>
      </x:c>
      <x:c r="I11" s="105" t="n">
        <x:v>433.82</x:v>
      </x:c>
      <x:c r="J11" s="107" t="str">
        <x:v>Pass</x:v>
      </x:c>
      <x:c r="K11" s="107" t="str">
        <x:v>Pass</x:v>
      </x:c>
      <x:c r="L11" s="107" t="str">
        <x:v>Pass</x:v>
      </x:c>
      <x:c r="M11" s="107" t="str">
        <x:v>Pass</x:v>
      </x:c>
      <x:c r="N11" s="57" t="str">
        <x:v>First passing point</x:v>
      </x:c>
    </x:row>
    <x:row r="12" ht="29" customHeight="1">
      <x:c r="A12" s="55" t="str">
        <x:v>C Drought-Season Upset</x:v>
      </x:c>
      <x:c r="B12" s="102" t="n">
        <x:v>62.05</x:v>
      </x:c>
      <x:c r="C12" s="103" t="n">
        <x:v>0.041</x:v>
      </x:c>
      <x:c r="D12" s="104" t="n">
        <x:v>34</x:v>
      </x:c>
      <x:c r="E12" s="105" t="n">
        <x:v>5.8295</x:v>
      </x:c>
      <x:c r="F12" s="105" t="n">
        <x:v>13.8728</x:v>
      </x:c>
      <x:c r="G12" s="105" t="n">
        <x:v>39.7408</x:v>
      </x:c>
      <x:c r="H12" s="105" t="n">
        <x:v>98.8162</x:v>
      </x:c>
      <x:c r="I12" s="105" t="n">
        <x:v>500.31</x:v>
      </x:c>
      <x:c r="J12" s="106" t="str">
        <x:v>Fail</x:v>
      </x:c>
      <x:c r="K12" s="107" t="str">
        <x:v>Pass</x:v>
      </x:c>
      <x:c r="L12" s="106" t="str">
        <x:v>Fail</x:v>
      </x:c>
      <x:c r="M12" s="106" t="str">
        <x:v>Fail</x:v>
      </x:c>
      <x:c r="N12" s="57" t="str">
        <x:v>Last failed point</x:v>
      </x:c>
    </x:row>
    <x:row r="13" ht="29" customHeight="1">
      <x:c r="A13" s="55" t="str">
        <x:v>C Drought-Season Upset</x:v>
      </x:c>
      <x:c r="B13" s="102" t="n">
        <x:v>62.1</x:v>
      </x:c>
      <x:c r="C13" s="103" t="n">
        <x:v>0.041</x:v>
      </x:c>
      <x:c r="D13" s="104" t="n">
        <x:v>34</x:v>
      </x:c>
      <x:c r="E13" s="105" t="n">
        <x:v>5.838</x:v>
      </x:c>
      <x:c r="F13" s="105" t="n">
        <x:v>13.893</x:v>
      </x:c>
      <x:c r="G13" s="105" t="n">
        <x:v>39.7988</x:v>
      </x:c>
      <x:c r="H13" s="105" t="n">
        <x:v>98.8171</x:v>
      </x:c>
      <x:c r="I13" s="105" t="n">
        <x:v>499.91</x:v>
      </x:c>
      <x:c r="J13" s="107" t="str">
        <x:v>Pass</x:v>
      </x:c>
      <x:c r="K13" s="107" t="str">
        <x:v>Pass</x:v>
      </x:c>
      <x:c r="L13" s="107" t="str">
        <x:v>Pass</x:v>
      </x:c>
      <x:c r="M13" s="107" t="str">
        <x:v>Pass</x:v>
      </x:c>
      <x:c r="N13" s="57" t="str">
        <x:v>First passing point</x:v>
      </x:c>
    </x:row>
    <x:row r="14">
      <x:c r="A14" s="55"/>
      <x:c r="B14" s="56"/>
      <x:c r="C14" s="56"/>
      <x:c r="D14" s="56"/>
      <x:c r="E14" s="56"/>
      <x:c r="F14" s="56"/>
      <x:c r="G14" s="56"/>
      <x:c r="H14" s="56"/>
      <x:c r="I14" s="56"/>
      <x:c r="J14" s="56"/>
      <x:c r="K14" s="56"/>
      <x:c r="L14" s="56"/>
      <x:c r="M14" s="56"/>
      <x:c r="N14" s="57"/>
    </x:row>
    <x:row r="15">
      <x:c r="A15" s="55"/>
      <x:c r="B15" s="56"/>
      <x:c r="C15" s="56"/>
      <x:c r="D15" s="56"/>
      <x:c r="E15" s="56"/>
      <x:c r="F15" s="56"/>
      <x:c r="G15" s="56"/>
      <x:c r="H15" s="56"/>
      <x:c r="I15" s="56"/>
      <x:c r="J15" s="56"/>
      <x:c r="K15" s="56"/>
      <x:c r="L15" s="56"/>
      <x:c r="M15" s="56"/>
      <x:c r="N15" s="57"/>
    </x:row>
    <x:row r="16">
      <x:c r="A16" s="55"/>
      <x:c r="B16" s="56"/>
      <x:c r="C16" s="56"/>
      <x:c r="D16" s="56"/>
      <x:c r="E16" s="56"/>
      <x:c r="F16" s="56"/>
      <x:c r="G16" s="56"/>
      <x:c r="H16" s="56"/>
      <x:c r="I16" s="56"/>
      <x:c r="J16" s="56"/>
      <x:c r="K16" s="56"/>
      <x:c r="L16" s="56"/>
      <x:c r="M16" s="56"/>
      <x:c r="N16" s="57"/>
    </x:row>
    <x:row r="17">
      <x:c r="A17" s="55"/>
      <x:c r="B17" s="56"/>
      <x:c r="C17" s="56"/>
      <x:c r="D17" s="56"/>
      <x:c r="E17" s="56"/>
      <x:c r="F17" s="56"/>
      <x:c r="G17" s="56"/>
      <x:c r="H17" s="56"/>
      <x:c r="I17" s="56"/>
      <x:c r="J17" s="56"/>
      <x:c r="K17" s="56"/>
      <x:c r="L17" s="56"/>
      <x:c r="M17" s="56"/>
      <x:c r="N17" s="57"/>
    </x:row>
    <x:row r="18">
      <x:c r="A18" s="55"/>
      <x:c r="B18" s="56"/>
      <x:c r="C18" s="56"/>
      <x:c r="D18" s="56"/>
      <x:c r="E18" s="56"/>
      <x:c r="F18" s="56"/>
      <x:c r="G18" s="56"/>
      <x:c r="H18" s="56"/>
      <x:c r="I18" s="56"/>
      <x:c r="J18" s="56"/>
      <x:c r="K18" s="56"/>
      <x:c r="L18" s="56"/>
      <x:c r="M18" s="56"/>
      <x:c r="N18" s="57"/>
    </x:row>
    <x:row r="19">
      <x:c r="A19" s="55"/>
      <x:c r="B19" s="56"/>
      <x:c r="C19" s="56"/>
      <x:c r="D19" s="56"/>
      <x:c r="E19" s="56"/>
      <x:c r="F19" s="56"/>
      <x:c r="G19" s="56"/>
      <x:c r="H19" s="56"/>
      <x:c r="I19" s="56"/>
      <x:c r="J19" s="56"/>
      <x:c r="K19" s="56"/>
      <x:c r="L19" s="56"/>
      <x:c r="M19" s="56"/>
      <x:c r="N19" s="57"/>
    </x:row>
    <x:row r="20">
      <x:c r="A20" s="66" t="str">
        <x:v>Pressure boundaries and engineering decision</x:v>
      </x:c>
      <x:c r="B20" s="64"/>
      <x:c r="C20" s="64"/>
      <x:c r="D20" s="64"/>
      <x:c r="E20" s="64"/>
      <x:c r="F20" s="64"/>
      <x:c r="G20" s="56"/>
      <x:c r="H20" s="64" t="str">
        <x:v>Calculation audit</x:v>
      </x:c>
      <x:c r="I20" s="64"/>
      <x:c r="J20" s="64"/>
      <x:c r="K20" s="64"/>
      <x:c r="L20" s="56"/>
      <x:c r="M20" s="56"/>
      <x:c r="N20" s="57"/>
    </x:row>
    <x:row r="21">
      <x:c r="A21" s="61" t="str">
        <x:v>Item</x:v>
      </x:c>
      <x:c r="B21" s="62" t="str">
        <x:v>A Bay - Winter</x:v>
      </x:c>
      <x:c r="C21" s="62" t="str">
        <x:v>B Offshore - Normal</x:v>
      </x:c>
      <x:c r="D21" s="62" t="str">
        <x:v>C Drought-Season Upset</x:v>
      </x:c>
      <x:c r="E21" s="62" t="str">
        <x:v>Comparison / calculation</x:v>
      </x:c>
      <x:c r="F21" s="62" t="str">
        <x:v>Conclusion</x:v>
      </x:c>
      <x:c r="G21" s="56"/>
      <x:c r="H21" s="62" t="str">
        <x:v>Calculated item</x:v>
      </x:c>
      <x:c r="I21" s="62" t="str">
        <x:v>Calculated result</x:v>
      </x:c>
      <x:c r="J21" s="62" t="str">
        <x:v>Unit</x:v>
      </x:c>
      <x:c r="K21" s="62" t="str">
        <x:v>Expected result</x:v>
      </x:c>
      <x:c r="L21" s="56"/>
      <x:c r="M21" s="56"/>
      <x:c r="N21" s="57"/>
    </x:row>
    <x:row r="22" ht="55" customHeight="1">
      <x:c r="A22" s="55" t="str">
        <x:v>Last failed pressure (bar)</x:v>
      </x:c>
      <x:c r="B22" s="56" t="n">
        <x:v>50.05</x:v>
      </x:c>
      <x:c r="C22" s="56" t="n">
        <x:v>55.35</x:v>
      </x:c>
      <x:c r="D22" s="56" t="n">
        <x:v>62.05</x:v>
      </x:c>
      <x:c r="E22" s="56" t="str">
        <x:v>Adjacent 0.05 bar evidence</x:v>
      </x:c>
      <x:c r="F22" s="56" t="str">
        <x:v>-</x:v>
      </x:c>
      <x:c r="G22" s="56"/>
      <x:c r="H22" s="56" t="str">
        <x:v>Controlling Pmin</x:v>
      </x:c>
      <x:c r="I22" s="105" t="n">
        <x:f>MAX(B23:D23)</x:f>
        <x:v>62.1</x:v>
      </x:c>
      <x:c r="J22" s="56" t="str">
        <x:v>bar</x:v>
      </x:c>
      <x:c r="K22" s="105" t="n">
        <x:v>62.1</x:v>
      </x:c>
      <x:c r="L22" s="56"/>
      <x:c r="M22" s="56"/>
      <x:c r="N22" s="57"/>
    </x:row>
    <x:row r="23" ht="55" customHeight="1">
      <x:c r="A23" s="55" t="str">
        <x:v>Minimum feasible pressure, Pmin (bar)</x:v>
      </x:c>
      <x:c r="B23" s="56" t="n">
        <x:v>50.1</x:v>
      </x:c>
      <x:c r="C23" s="56" t="n">
        <x:v>55.4</x:v>
      </x:c>
      <x:c r="D23" s="56" t="n">
        <x:v>62.1</x:v>
      </x:c>
      <x:c r="E23" s="56" t="str">
        <x:v>MAX = 62.10 bar</x:v>
      </x:c>
      <x:c r="F23" s="56" t="str">
        <x:v>Condition C controls</x:v>
      </x:c>
      <x:c r="G23" s="56"/>
      <x:c r="H23" s="56" t="str">
        <x:v>Specified design margin</x:v>
      </x:c>
      <x:c r="I23" s="105" t="n">
        <x:f>1.2</x:f>
        <x:v>1.2</x:v>
      </x:c>
      <x:c r="J23" s="56" t="str">
        <x:v>bar</x:v>
      </x:c>
      <x:c r="K23" s="105" t="n">
        <x:v>1.2</x:v>
      </x:c>
      <x:c r="L23" s="56"/>
      <x:c r="M23" s="56"/>
      <x:c r="N23" s="57"/>
    </x:row>
    <x:row r="24" ht="55" customHeight="1">
      <x:c r="A24" s="55" t="str">
        <x:v>Controlling reason</x:v>
      </x:c>
      <x:c r="B24" s="56" t="str">
        <x:v>Production boundary</x:v>
      </x:c>
      <x:c r="C24" s="56" t="str">
        <x:v>Production boundary</x:v>
      </x:c>
      <x:c r="D24" s="56" t="str">
        <x:v>Water-quality and production boundary</x:v>
      </x:c>
      <x:c r="E24" s="56" t="str">
        <x:v>Compare all three Pmin values</x:v>
      </x:c>
      <x:c r="F24" s="56" t="str">
        <x:v>Drought-season upset</x:v>
      </x:c>
      <x:c r="G24" s="56"/>
      <x:c r="H24" s="56" t="str">
        <x:v>Unrounded rating</x:v>
      </x:c>
      <x:c r="I24" s="105" t="n">
        <x:f>I22+I23</x:f>
        <x:v>63.300000000000004</x:v>
      </x:c>
      <x:c r="J24" s="56" t="str">
        <x:v>bar</x:v>
      </x:c>
      <x:c r="K24" s="105" t="n">
        <x:v>63.3</x:v>
      </x:c>
      <x:c r="L24" s="56"/>
      <x:c r="M24" s="56"/>
      <x:c r="N24" s="57"/>
    </x:row>
    <x:row r="25" ht="55" customHeight="1">
      <x:c r="A25" s="55" t="str">
        <x:v>Design rating calculation</x:v>
      </x:c>
      <x:c r="B25" s="56" t="str">
        <x:v>-</x:v>
      </x:c>
      <x:c r="C25" s="56" t="str">
        <x:v>-</x:v>
      </x:c>
      <x:c r="D25" s="56" t="str">
        <x:v>-</x:v>
      </x:c>
      <x:c r="E25" s="56" t="str">
        <x:v>62.10 + 1.20 = 63.30; round upward by 0.5 bar</x:v>
      </x:c>
      <x:c r="F25" s="56" t="str">
        <x:v>Rated pressure = 63.5 bar</x:v>
      </x:c>
      <x:c r="G25" s="56"/>
      <x:c r="H25" s="56" t="str">
        <x:v>Selected rating</x:v>
      </x:c>
      <x:c r="I25" s="105" t="n">
        <x:f>ROUNDUP(I24*2,0)/2</x:f>
        <x:v>63.5</x:v>
      </x:c>
      <x:c r="J25" s="56" t="str">
        <x:v>bar</x:v>
      </x:c>
      <x:c r="K25" s="105" t="n">
        <x:v>63.5</x:v>
      </x:c>
      <x:c r="L25" s="56"/>
      <x:c r="M25" s="56"/>
      <x:c r="N25" s="57"/>
    </x:row>
    <x:row r="26">
      <x:c r="A26" s="55"/>
      <x:c r="B26" s="56"/>
      <x:c r="C26" s="56"/>
      <x:c r="D26" s="56"/>
      <x:c r="E26" s="56"/>
      <x:c r="F26" s="56"/>
      <x:c r="G26" s="56"/>
      <x:c r="H26" s="56"/>
      <x:c r="I26" s="56"/>
      <x:c r="J26" s="56"/>
      <x:c r="K26" s="56"/>
      <x:c r="L26" s="56"/>
      <x:c r="M26" s="56"/>
      <x:c r="N26" s="57"/>
    </x:row>
    <x:row r="27">
      <x:c r="A27" s="55"/>
      <x:c r="B27" s="56"/>
      <x:c r="C27" s="56"/>
      <x:c r="D27" s="56"/>
      <x:c r="E27" s="56"/>
      <x:c r="F27" s="56"/>
      <x:c r="G27" s="56"/>
      <x:c r="H27" s="56"/>
      <x:c r="I27" s="56"/>
      <x:c r="J27" s="56"/>
      <x:c r="K27" s="56"/>
      <x:c r="L27" s="56"/>
      <x:c r="M27" s="56"/>
      <x:c r="N27" s="57"/>
    </x:row>
    <x:row r="28" ht="30" customHeight="1">
      <x:c r="A28" s="108" t="str">
        <x:v>The three Pmin values are 50.10, 55.40, and 62.10 bar. The drought-season upset controls. Adding the specified 1.20 bar margin gives 63.30 bar; rounding upward to the 0.5 bar equipment increment gives a rated design pressure of 63.5 bar. Each intake should still operate near its own Pmin rather than at one fixed high setpoint.</x:v>
      </x:c>
      <x:c r="B28" s="109"/>
      <x:c r="C28" s="109"/>
      <x:c r="D28" s="109"/>
      <x:c r="E28" s="109"/>
      <x:c r="F28" s="109"/>
      <x:c r="G28" s="109"/>
      <x:c r="H28" s="109"/>
      <x:c r="I28" s="109"/>
      <x:c r="J28" s="109"/>
      <x:c r="K28" s="109"/>
      <x:c r="L28" s="109"/>
      <x:c r="M28" s="109"/>
      <x:c r="N28" s="110"/>
    </x:row>
    <x:row r="29" ht="30" customHeight="1">
      <x:c r="A29" s="108"/>
      <x:c r="B29" s="109"/>
      <x:c r="C29" s="109"/>
      <x:c r="D29" s="109"/>
      <x:c r="E29" s="109"/>
      <x:c r="F29" s="109"/>
      <x:c r="G29" s="109"/>
      <x:c r="H29" s="109"/>
      <x:c r="I29" s="109"/>
      <x:c r="J29" s="109"/>
      <x:c r="K29" s="109"/>
      <x:c r="L29" s="109"/>
      <x:c r="M29" s="109"/>
      <x:c r="N29" s="110"/>
    </x:row>
    <x:row r="30" ht="30" customHeight="1">
      <x:c r="A30" s="108"/>
      <x:c r="B30" s="109"/>
      <x:c r="C30" s="109"/>
      <x:c r="D30" s="109"/>
      <x:c r="E30" s="109"/>
      <x:c r="F30" s="109"/>
      <x:c r="G30" s="109"/>
      <x:c r="H30" s="109"/>
      <x:c r="I30" s="109"/>
      <x:c r="J30" s="109"/>
      <x:c r="K30" s="109"/>
      <x:c r="L30" s="109"/>
      <x:c r="M30" s="109"/>
      <x:c r="N30" s="110"/>
    </x:row>
    <x:row r="31">
      <x:c r="A31" s="55"/>
      <x:c r="B31" s="56"/>
      <x:c r="C31" s="56"/>
      <x:c r="D31" s="56"/>
      <x:c r="E31" s="56"/>
      <x:c r="F31" s="56"/>
      <x:c r="G31" s="56"/>
      <x:c r="H31" s="56"/>
      <x:c r="I31" s="56"/>
      <x:c r="J31" s="56"/>
      <x:c r="K31" s="56"/>
      <x:c r="L31" s="56"/>
      <x:c r="M31" s="56"/>
      <x:c r="N31" s="57"/>
    </x:row>
    <x:row r="32">
      <x:c r="A32" s="111" t="str">
        <x:v>Simulator evidence note: All three conditions have adjacent fail/pass pressure pairs at 0.05 bar resolution.</x:v>
      </x:c>
      <x:c r="B32" s="112"/>
      <x:c r="C32" s="112"/>
      <x:c r="D32" s="112"/>
      <x:c r="E32" s="112"/>
      <x:c r="F32" s="112"/>
      <x:c r="G32" s="112"/>
      <x:c r="H32" s="112"/>
      <x:c r="I32" s="112"/>
      <x:c r="J32" s="112"/>
      <x:c r="K32" s="112"/>
      <x:c r="L32" s="112"/>
      <x:c r="M32" s="112"/>
      <x:c r="N32" s="113"/>
    </x:row>
    <x:row r="33">
      <x:c r="A33" s="114"/>
      <x:c r="B33" s="115"/>
      <x:c r="C33" s="115"/>
      <x:c r="D33" s="115"/>
      <x:c r="E33" s="115"/>
      <x:c r="F33" s="115"/>
      <x:c r="G33" s="115"/>
      <x:c r="H33" s="115"/>
      <x:c r="I33" s="115"/>
      <x:c r="J33" s="115"/>
      <x:c r="K33" s="115"/>
      <x:c r="L33" s="115"/>
      <x:c r="M33" s="115"/>
      <x:c r="N33" s="116"/>
    </x:row>
  </x:sheetData>
  <x:mergeCells>
    <x:mergeCell ref="A1:N2"/>
    <x:mergeCell ref="A4:N5"/>
    <x:mergeCell ref="A20:F20"/>
    <x:mergeCell ref="H20:K20"/>
    <x:mergeCell ref="A28:N30"/>
    <x:mergeCell ref="A32:N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39" hidden="0" customWidth="1"/>
    <x:col min="3" max="3" width="39" hidden="0" customWidth="1"/>
    <x:col min="4" max="4" width="39" hidden="0" customWidth="1"/>
    <x:col min="5" max="5" width="39" hidden="0" customWidth="1"/>
    <x:col min="6" max="6" width="11" hidden="0" customWidth="1"/>
    <x:col min="7" max="7" width="11" hidden="0" customWidth="1"/>
  </x:cols>
  <x:sheetData>
    <x:row r="1">
      <x:c r="A1" s="73" t="str">
        <x:v>D1-1c | Shared Pump Rating for Multiple Intakes | Trajectory Quality Rubric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Evaluate the complete state -&gt; plan -&gt; tool call -&gt; observation -&gt; update -&gt; next action -&gt; stop/decision trajectory. Different adaptive search orders are acceptable when they preserve adjacent boundary evidence and lead to a verifiable engineering conclusion. Tool-call efficiency is scored separately.</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Trajectory dimension</x:v>
      </x:c>
      <x:c r="B8" s="62" t="str">
        <x:v>Evaluation focus</x:v>
      </x:c>
      <x:c r="C8" s="62" t="str">
        <x:v>Full-credit evidence</x:v>
      </x:c>
      <x:c r="D8" s="62" t="str">
        <x:v>Partial credit</x:v>
      </x:c>
      <x:c r="E8" s="62" t="str">
        <x:v>Critical failure mode</x:v>
      </x:c>
      <x:c r="F8" s="62" t="str">
        <x:v>Weight</x:v>
      </x:c>
      <x:c r="G8" s="63" t="str">
        <x:v>Score</x:v>
      </x:c>
    </x:row>
    <x:row r="9" ht="66" customHeight="1">
      <x:c r="A9" s="55" t="str">
        <x:v>TQ1 Problem framing and state understanding</x:v>
      </x:c>
      <x:c r="B9" s="56" t="str">
        <x:v>Recognizes multi-condition boundaries and equipment meaning</x:v>
      </x:c>
      <x:c r="C9" s="56" t="str">
        <x:v>Locked inputs remain fixed; each condition is solved independently; equipment rating/limit is not treated as one universal setpoint</x:v>
      </x:c>
      <x:c r="D9" s="56" t="str">
        <x:v>Pressure search is recognized but equipment meaning is incomplete</x:v>
      </x:c>
      <x:c r="E9" s="56" t="str">
        <x:v>Only one condition is solved, or rating is confused with operating pressure</x:v>
      </x:c>
      <x:c r="F9" s="56" t="n">
        <x:v>15</x:v>
      </x:c>
      <x:c r="G9" s="57"/>
    </x:row>
    <x:row r="10" ht="66" customHeight="1">
      <x:c r="A10" s="55" t="str">
        <x:v>TQ2 Planning and decomposition</x:v>
      </x:c>
      <x:c r="B10" s="56" t="str">
        <x:v>Builds brackets and a cross-condition decision</x:v>
      </x:c>
      <x:c r="C10" s="56" t="str">
        <x:v>Coarse bracket -&gt; 0.05 bar boundary -&gt; cross-condition comparison -&gt; engineering action</x:v>
      </x:c>
      <x:c r="D10" s="56" t="str">
        <x:v>Direction is correct but an adjacent confirmation is missing</x:v>
      </x:c>
      <x:c r="E10" s="56" t="str">
        <x:v>Dense blind scan or no independent boundaries</x:v>
      </x:c>
      <x:c r="F10" s="56" t="n">
        <x:v>15</x:v>
      </x:c>
      <x:c r="G10" s="57"/>
    </x:row>
    <x:row r="11" ht="66" customHeight="1">
      <x:c r="A11" s="55" t="str">
        <x:v>TQ3 Tool-call correctness</x:v>
      </x:c>
      <x:c r="B11" s="56" t="str">
        <x:v>simulate_ro inputs match the active condition</x:v>
      </x:c>
      <x:c r="C11" s="56" t="str">
        <x:v>Only pressure changes within a condition; all stated condition differences and units are preserved</x:v>
      </x:c>
      <x:c r="D11" s="56" t="str">
        <x:v>Minor input issue that does not change the conclusion</x:v>
      </x:c>
      <x:c r="E11" s="56" t="str">
        <x:v>Membrane area/A/B is altered or units are mixed</x:v>
      </x:c>
      <x:c r="F11" s="56" t="n">
        <x:v>20</x:v>
      </x:c>
      <x:c r="G11" s="57"/>
    </x:row>
    <x:row r="12" ht="66" customHeight="1">
      <x:c r="A12" s="55" t="str">
        <x:v>TQ4 Observation interpretation</x:v>
      </x:c>
      <x:c r="B12" s="56" t="str">
        <x:v>Records pass/fail and the actual failing constraint</x:v>
      </x:c>
      <x:c r="C12" s="56" t="str">
        <x:v>Adjacent evidence plus production, flux/recovery, and water-quality status are all interpreted correctly</x:v>
      </x:c>
      <x:c r="D12" s="56" t="str">
        <x:v>Pmin is close but the active constraint is unclear</x:v>
      </x:c>
      <x:c r="E12" s="56" t="str">
        <x:v>Only passing points are kept or constraints are misclassified</x:v>
      </x:c>
      <x:c r="F12" s="56" t="n">
        <x:v>20</x:v>
      </x:c>
      <x:c r="G12" s="57"/>
    </x:row>
    <x:row r="13" ht="66" customHeight="1">
      <x:c r="A13" s="55" t="str">
        <x:v>TQ5 Adaptive comparison and replanning</x:v>
      </x:c>
      <x:c r="B13" s="56" t="str">
        <x:v>Next call follows from the previous observation</x:v>
      </x:c>
      <x:c r="C13" s="56" t="str">
        <x:v>Pressure choices narrow the live bracket; converged conditions are pruned promptly</x:v>
      </x:c>
      <x:c r="D13" s="56" t="str">
        <x:v>Partly adaptive with some unnecessary enumeration</x:v>
      </x:c>
      <x:c r="E13" s="56" t="str">
        <x:v>Calls follow a fixed list regardless of results</x:v>
      </x:c>
      <x:c r="F13" s="56" t="n">
        <x:v>20</x:v>
      </x:c>
      <x:c r="G13" s="57"/>
    </x:row>
    <x:row r="14" ht="118" customHeight="1">
      <x:c r="A14" s="55" t="str">
        <x:v>TQ6 Final engineering decision</x:v>
      </x:c>
      <x:c r="B14" s="56" t="str">
        <x:v>Produces the task-specific decision</x:v>
      </x:c>
      <x:c r="C14" s="56" t="str">
        <x:v>The three Pmin values are 50.10, 55.40, and 62.10 bar. The drought-season upset controls. Adding the specified 1.20 bar margin gives 63.30 bar; rounding upward to the 0.5 bar equipment increment gives a rated design pressure of 63.5 bar. Each intake should still operate near its own Pmin rather than at one fixed high setpoint.</x:v>
      </x:c>
      <x:c r="D14" s="56" t="str">
        <x:v>Numerical answer is close but operating implications are incomplete</x:v>
      </x:c>
      <x:c r="E14" s="56" t="str">
        <x:v>Averages pressures, blindly raises pressure, or ignores infeasibility</x:v>
      </x:c>
      <x:c r="F14" s="56" t="n">
        <x:v>10</x:v>
      </x:c>
      <x:c r="G14" s="57"/>
    </x:row>
    <x:row r="15">
      <x:c r="A15" s="55"/>
      <x:c r="B15" s="56"/>
      <x:c r="C15" s="56"/>
      <x:c r="D15" s="56"/>
      <x:c r="E15" s="56"/>
      <x:c r="F15" s="56"/>
      <x:c r="G15" s="57"/>
    </x:row>
    <x:row r="16">
      <x:c r="A16" s="55"/>
      <x:c r="B16" s="56"/>
      <x:c r="C16" s="56"/>
      <x:c r="D16" s="56"/>
      <x:c r="E16" s="56"/>
      <x:c r="F16" s="56"/>
      <x:c r="G16" s="57"/>
    </x:row>
    <x:row r="17">
      <x:c r="A17" s="55"/>
      <x:c r="B17" s="56"/>
      <x:c r="C17" s="56"/>
      <x:c r="D17" s="56"/>
      <x:c r="E17" s="100" t="str">
        <x:v>Maximum trajectory score</x:v>
      </x:c>
      <x:c r="F17" s="100" t="n">
        <x:v>100</x:v>
      </x:c>
      <x:c r="G17" s="57"/>
    </x:row>
    <x:row r="18">
      <x:c r="A18" s="55"/>
      <x:c r="B18" s="56"/>
      <x:c r="C18" s="56"/>
      <x:c r="D18" s="56"/>
      <x:c r="E18" s="56"/>
      <x:c r="F18" s="56"/>
      <x:c r="G18" s="57"/>
    </x:row>
    <x:row r="19">
      <x:c r="A19" s="55" t="str">
        <x:v>Scoring note</x:v>
      </x:c>
      <x:c r="B19" s="56"/>
      <x:c r="C19" s="56"/>
      <x:c r="D19" s="56"/>
      <x:c r="E19" s="56"/>
      <x:c r="F19" s="56"/>
      <x:c r="G19" s="57"/>
    </x:row>
    <x:row r="20" ht="38" customHeight="1">
      <x:c r="A20" s="118" t="str">
        <x:v>Difficulty calibration</x:v>
      </x:c>
      <x:c r="B20" s="119" t="str">
        <x:v>Target reference effort: about 10-12 calls</x:v>
      </x:c>
      <x:c r="C20" s="119" t="str">
        <x:v>Three independent boundaries plus an equipment/control decision at 0.05 bar resolution</x:v>
      </x:c>
      <x:c r="D20" s="119"/>
      <x:c r="E20" s="119"/>
      <x:c r="F20" s="119"/>
      <x:c r="G20" s="120"/>
    </x:row>
  </x:sheetData>
  <x:mergeCells>
    <x:mergeCell ref="A1:G2"/>
    <x:mergeCell ref="A4:G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38" hidden="0" customWidth="1"/>
    <x:col min="3" max="3" width="38" hidden="0" customWidth="1"/>
    <x:col min="4" max="4" width="38" hidden="0" customWidth="1"/>
    <x:col min="5" max="5" width="38" hidden="0" customWidth="1"/>
    <x:col min="6" max="6" width="38" hidden="0" customWidth="1"/>
    <x:col min="7" max="7" width="11" hidden="0" customWidth="1"/>
  </x:cols>
  <x:sheetData>
    <x:row r="1">
      <x:c r="A1" s="73" t="str">
        <x:v>D1-1c | Shared Pump Rating for Multiple Intakes | Tool Usage Efficiency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Primary scientific tool: simulate_ro. Reference efficient trajectory: about 10-12 calls. Call count is supporting evidence only; the core criteria are information gain, adaptive pressure selection, pruning, and stopping once evidence is sufficient.</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Efficiency dimension</x:v>
      </x:c>
      <x:c r="B8" s="62" t="str">
        <x:v>Evaluation focus</x:v>
      </x:c>
      <x:c r="C8" s="62" t="str">
        <x:v>Full-credit behavior</x:v>
      </x:c>
      <x:c r="D8" s="62" t="str">
        <x:v>Medium-credit behavior</x:v>
      </x:c>
      <x:c r="E8" s="62" t="str">
        <x:v>Low-credit behavior</x:v>
      </x:c>
      <x:c r="F8" s="62" t="str">
        <x:v>Task-specific observation</x:v>
      </x:c>
      <x:c r="G8" s="63" t="str">
        <x:v>Points</x:v>
      </x:c>
    </x:row>
    <x:row r="9" ht="62" customHeight="1">
      <x:c r="A9" s="55" t="str">
        <x:v>E1 Tool selection and necessity</x:v>
      </x:c>
      <x:c r="B9" s="56" t="str">
        <x:v>Uses the correct scientific tool</x:v>
      </x:c>
      <x:c r="C9" s="56" t="str">
        <x:v>simulate_ro directly supports pressure-boundary testing</x:v>
      </x:c>
      <x:c r="D9" s="56" t="str">
        <x:v>A few irrelevant calls are made</x:v>
      </x:c>
      <x:c r="E9" s="56" t="str">
        <x:v>Wrong tool or many irrelevant calls</x:v>
      </x:c>
      <x:c r="F9" s="56" t="str">
        <x:v>A whole-plant cost model is not needed</x:v>
      </x:c>
      <x:c r="G9" s="57" t="n">
        <x:v>20</x:v>
      </x:c>
    </x:row>
    <x:row r="10" ht="62" customHeight="1">
      <x:c r="A10" s="55" t="str">
        <x:v>E2 Information gain and ordering</x:v>
      </x:c>
      <x:c r="B10" s="56" t="str">
        <x:v>Prioritizes discriminating pressures</x:v>
      </x:c>
      <x:c r="C10" s="56" t="str">
        <x:v>Coarse bracket first, then boundary refinement</x:v>
      </x:c>
      <x:c r="D10" s="56" t="str">
        <x:v>Mostly reasonable with some low-value points</x:v>
      </x:c>
      <x:c r="E10" s="56" t="str">
        <x:v>Dense grid from the start</x:v>
      </x:c>
      <x:c r="F10" s="56" t="str">
        <x:v>Bracket each condition before sampling adjacent points</x:v>
      </x:c>
      <x:c r="G10" s="57" t="n">
        <x:v>20</x:v>
      </x:c>
    </x:row>
    <x:row r="11" ht="62" customHeight="1">
      <x:c r="A11" s="55" t="str">
        <x:v>E3 Adaptive iteration</x:v>
      </x:c>
      <x:c r="B11" s="56" t="str">
        <x:v>Lets observations determine the next pressure</x:v>
      </x:c>
      <x:c r="C11" s="56" t="str">
        <x:v>Fail/pass state dynamically narrows the interval</x:v>
      </x:c>
      <x:c r="D11" s="56" t="str">
        <x:v>Partly adaptive</x:v>
      </x:c>
      <x:c r="E11" s="56" t="str">
        <x:v>Prewritten enumeration ignores results</x:v>
      </x:c>
      <x:c r="F11" s="56" t="str">
        <x:v>The previous status directly selects the next pressure</x:v>
      </x:c>
      <x:c r="G11" s="57" t="n">
        <x:v>20</x:v>
      </x:c>
    </x:row>
    <x:row r="12" ht="62" customHeight="1">
      <x:c r="A12" s="55" t="str">
        <x:v>E4 Pruning and redundancy</x:v>
      </x:c>
      <x:c r="B12" s="56" t="str">
        <x:v>Avoids repeated evidence</x:v>
      </x:c>
      <x:c r="C12" s="56" t="str">
        <x:v>Switches condition after convergence and does not repeat known inputs</x:v>
      </x:c>
      <x:c r="D12" s="56" t="str">
        <x:v>One or two unnecessary confirmations</x:v>
      </x:c>
      <x:c r="E12" s="56" t="str">
        <x:v>Repeatedly tests a known interval</x:v>
      </x:c>
      <x:c r="F12" s="56" t="str">
        <x:v>Reuse the adjacent boundary pair as final evidence</x:v>
      </x:c>
      <x:c r="G12" s="57" t="n">
        <x:v>20</x:v>
      </x:c>
    </x:row>
    <x:row r="13" ht="62" customHeight="1">
      <x:c r="A13" s="55" t="str">
        <x:v>E5 Convergence and stopping</x:v>
      </x:c>
      <x:c r="B13" s="56" t="str">
        <x:v>Stops after sufficient evidence</x:v>
      </x:c>
      <x:c r="C13" s="56" t="str">
        <x:v>about 10-12 calls produces the boundary and engineering decision</x:v>
      </x:c>
      <x:c r="D13" s="56" t="str">
        <x:v>A few additional calls remain defensible</x:v>
      </x:c>
      <x:c r="E13" s="56" t="str">
        <x:v>Too many calls or insufficient evidence</x:v>
      </x:c>
      <x:c r="F13" s="56" t="str">
        <x:v>Stop after reaching 0.05 bar resolution and completing the decision</x:v>
      </x:c>
      <x:c r="G13" s="57" t="n">
        <x:v>20</x:v>
      </x:c>
    </x:row>
    <x:row r="14">
      <x:c r="A14" s="55"/>
      <x:c r="B14" s="56"/>
      <x:c r="C14" s="56"/>
      <x:c r="D14" s="56"/>
      <x:c r="E14" s="56"/>
      <x:c r="F14" s="56"/>
      <x:c r="G14" s="57"/>
    </x:row>
    <x:row r="15">
      <x:c r="A15" s="118"/>
      <x:c r="B15" s="119"/>
      <x:c r="C15" s="119"/>
      <x:c r="D15" s="119"/>
      <x:c r="E15" s="119"/>
      <x:c r="F15" s="121" t="str">
        <x:v>Maximum efficiency score</x:v>
      </x:c>
      <x:c r="G15" s="122" t="n">
        <x:v>100</x:v>
      </x:c>
    </x:row>
  </x:sheetData>
  <x:mergeCells>
    <x:mergeCell ref="A1:G2"/>
    <x:mergeCell ref="A4:G6"/>
  </x:mergeCells>
  <x:pageMargins left="0.7" right="0.7" top="0.75" bottom="0.75" header="0.3" footer="0.3"/>
</x:worksheet>
</file>