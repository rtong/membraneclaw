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f70d83b87e4887" /></Relationships>
</file>

<file path=xl/workbook.xml><?xml version="1.0" encoding="utf-8"?>
<x:workbook xmlns:x="http://schemas.openxmlformats.org/spreadsheetml/2006/main">
  <x:sheets>
    <x:sheet xmlns:r="http://schemas.openxmlformats.org/officeDocument/2006/relationships" name="Question" sheetId="1" r:id="Rdf0b6751e5b9420d"/>
    <x:sheet xmlns:r="http://schemas.openxmlformats.org/officeDocument/2006/relationships" name="Gold_Answer" sheetId="2" r:id="R9eedc02fca9e455c"/>
    <x:sheet xmlns:r="http://schemas.openxmlformats.org/officeDocument/2006/relationships" name="Trajectory_Rubric" sheetId="3" r:id="R4a3fd7e4c0cd46f3"/>
    <x:sheet xmlns:r="http://schemas.openxmlformats.org/officeDocument/2006/relationships" name="Tool_Efficiency" sheetId="4" r:id="Rad55d9893e5640bf"/>
  </x:sheets>
</x:workbook>
</file>

<file path=xl/sharedStrings.xml><?xml version="1.0" encoding="utf-8"?>
<x:sst xmlns:x="http://schemas.openxmlformats.org/spreadsheetml/2006/main">
  <x:si>
    <x:t xml:space="preserve">Case</x:t>
  </x:si>
  <x:si>
    <x:t xml:space="preserve">Feed mass flow</x:t>
  </x:si>
  <x:si>
    <x:t xml:space="preserve">kg/s</x:t>
  </x:si>
  <x:si>
    <x:t xml:space="preserve">Feed pressure</x:t>
  </x:si>
  <x:si>
    <x:t xml:space="preserve">bar</x:t>
  </x:si>
  <x:si>
    <x:t xml:space="preserve">A_comp</x:t>
  </x:si>
  <x:si>
    <x:t xml:space="preserve">m/s/Pa</x:t>
  </x:si>
  <x:si>
    <x:t xml:space="preserve">B_comp</x:t>
  </x:si>
  <x:si>
    <x:t xml:space="preserve">m/s</x:t>
  </x:si>
  <x:si>
    <x:t xml:space="preserve">Permeate pressure</x:t>
  </x:si>
  <x:si>
    <x:t xml:space="preserve">Pressure drop</x:t>
  </x:si>
  <x:si>
    <x:t xml:space="preserve">Channel height</x:t>
  </x:si>
  <x:si>
    <x:t xml:space="preserve">m</x:t>
  </x:si>
  <x:si>
    <x:t xml:space="preserve">≥ 6.15 m³/h</x:t>
  </x:si>
  <x:si>
    <x:t xml:space="preserve">Spacer porosity</x:t>
  </x:si>
  <x:si>
    <x:t xml:space="preserve">-</x:t>
  </x:si>
  <x:si>
    <x:t xml:space="preserve">Recovery</x:t>
  </x:si>
  <x:si>
    <x:t xml:space="preserve">≤ 48.0%</x:t>
  </x:si>
  <x:si>
    <x:t xml:space="preserve">Module length</x:t>
  </x:si>
  <x:si>
    <x:t xml:space="preserve">Flux</x:t>
  </x:si>
  <x:si>
    <x:t xml:space="preserve">≤ 18.0 LMH</x:t>
  </x:si>
  <x:si>
    <x:t xml:space="preserve">CP / mass transfer</x:t>
  </x:si>
  <x:si>
    <x:t xml:space="preserve">calculated</x:t>
  </x:si>
  <x:si>
    <x:t xml:space="preserve">Salt rejection</x:t>
  </x:si>
  <x:si>
    <x:t xml:space="preserve">≥ 98.65%</x:t>
  </x:si>
  <x:si>
    <x:t xml:space="preserve">Permeate NaCl</x:t>
  </x:si>
  <x:si>
    <x:t xml:space="preserve">≤ 475 mg/L</x:t>
  </x:si>
  <x:si>
    <x:t xml:space="preserve">Area m²</x:t>
  </x:si>
  <x:si>
    <x:t xml:space="preserve">NaCl frac</x:t>
  </x:si>
  <x:si>
    <x:t xml:space="preserve">T °C</x:t>
  </x:si>
  <x:si>
    <x:t xml:space="preserve">Permeate kg/s</x:t>
  </x:si>
  <x:si>
    <x:t xml:space="preserve">Qp m³/h</x:t>
  </x:si>
  <x:si>
    <x:t xml:space="preserve">Flux LMH</x:t>
  </x:si>
  <x:si>
    <x:t xml:space="preserve">Recovery %</x:t>
  </x:si>
  <x:si>
    <x:t xml:space="preserve">Rejection %</x:t>
  </x:si>
  <x:si>
    <x:t xml:space="preserve">NaCl mg/L</x:t>
  </x:si>
</x:sst>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2"/>
      <x:color rgb="FF17365D"/>
      <x:name val="Carlito"/>
    </x:font>
    <x:font>
      <x:b/>
      <x:sz val="11"/>
      <x:color rgb="FFFFFFFF"/>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60">
    <x:xf numFmtId="0" fontId="0" fillId="0" borderId="0" xfId="0"/>
    <x:xf numFmtId="0" fontId="0" fillId="0" borderId="0" xfId="1" applyFont="1" applyAlignment="1">
      <x:alignment vertical="top" wrapText="1"/>
    </x:xf>
    <x:xf numFmtId="0" fontId="4" fillId="5" borderId="1" xfId="1" applyFont="1" applyFill="1" applyBorder="1" applyAlignment="1">
      <x:alignment horizontal="center" vertical="center" wrapText="1"/>
    </x:xf>
    <x:xf numFmtId="0" fontId="4" fillId="5" borderId="2" xfId="1" applyFont="1" applyFill="1" applyBorder="1" applyAlignment="1">
      <x:alignment horizontal="center" vertical="center" wrapText="1"/>
    </x:xf>
    <x:xf numFmtId="0" fontId="4" fillId="5"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176" fontId="0" fillId="0" borderId="0" xfId="1" applyNumberFormat="1" applyFont="1"/>
    <x:xf numFmtId="176" fontId="4" fillId="5" borderId="2" xfId="1" applyNumberFormat="1" applyFont="1" applyFill="1" applyBorder="1" applyAlignment="1">
      <x:alignment horizontal="center" vertical="center" wrapText="1"/>
    </x:xf>
    <x:xf numFmtId="0" fontId="4" fillId="11" borderId="13" xfId="1" applyFont="1" applyFill="1" applyBorder="1" applyAlignment="1">
      <x:alignment horizontal="center" vertical="center" wrapText="1"/>
    </x:xf>
    <x:xf numFmtId="0" fontId="4" fillId="11" borderId="14" xfId="1" applyFont="1" applyFill="1" applyBorder="1" applyAlignment="1">
      <x:alignment horizontal="center" vertical="center" wrapText="1"/>
    </x:xf>
    <x:xf numFmtId="0" fontId="4" fillId="11" borderId="15" xfId="1" applyFont="1" applyFill="1" applyBorder="1" applyAlignment="1">
      <x:alignment horizontal="center" vertical="center"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4" fillId="15" borderId="21" xfId="1" applyFont="1" applyFill="1" applyBorder="1" applyAlignment="1">
      <x:alignment horizontal="center" vertical="center" wrapText="1"/>
    </x:xf>
    <x:xf numFmtId="0" fontId="4" fillId="15" borderId="22" xfId="1" applyFont="1" applyFill="1" applyBorder="1" applyAlignment="1">
      <x:alignment horizontal="center" vertical="center" wrapText="1"/>
    </x:xf>
    <x:xf numFmtId="0" fontId="4"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6" fillId="7" borderId="28"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3" fillId="4"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176" fontId="3" fillId="4" borderId="0" xfId="1" applyNumberFormat="1" applyFont="1" applyFill="1" applyAlignment="1">
      <x:alignment horizontal="left" vertical="center"/>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6" fillId="7" borderId="16" xfId="1" applyFont="1" applyFill="1" applyBorder="1" applyAlignment="1">
      <x:alignment vertical="top" wrapText="1"/>
    </x:xf>
    <x:xf numFmtId="0" fontId="6" fillId="7" borderId="0" xfId="1" applyFont="1" applyFill="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2" fillId="4" borderId="19" xfId="1" applyFont="1" applyFill="1" applyBorder="1" applyAlignment="1">
      <x:alignment vertical="top" wrapText="1"/>
    </x:xf>
    <x:xf numFmtId="0" fontId="2" fillId="4" borderId="12" xfId="1" applyFont="1" applyFill="1" applyBorder="1" applyAlignment="1">
      <x:alignment vertical="top" wrapText="1"/>
    </x:xf>
    <x:xf numFmtId="0" fontId="2" fillId="4"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cellXfs>
  <x:cellStyles count="2">
    <x:cellStyle name="Normal" xfId="1"/>
    <x:cellStyle name="常规" xfId="0"/>
  </x:cellStyles>
  <x:dxfs count="8">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ae085b0f9a4b8f" /><Relationship Type="http://schemas.openxmlformats.org/officeDocument/2006/relationships/theme" Target="/xl/theme/theme1.xml" Id="Rc381d6454a6c483d" /><Relationship Type="http://schemas.openxmlformats.org/officeDocument/2006/relationships/sharedStrings" Target="/xl/sharedStrings.xml" Id="R0b7d5645230d441d" /><Relationship Type="http://schemas.openxmlformats.org/officeDocument/2006/relationships/worksheet" Target="/xl/worksheets/sheet1.xml" Id="Rdf0b6751e5b9420d" /><Relationship Type="http://schemas.openxmlformats.org/officeDocument/2006/relationships/worksheet" Target="/xl/worksheets/sheet2.xml" Id="R9eedc02fca9e455c" /><Relationship Type="http://schemas.openxmlformats.org/officeDocument/2006/relationships/worksheet" Target="/xl/worksheets/sheet3.xml" Id="R4a3fd7e4c0cd46f3" /><Relationship Type="http://schemas.openxmlformats.org/officeDocument/2006/relationships/worksheet" Target="/xl/worksheets/sheet4.xml" Id="Rad55d9893e5640b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28b096140f4fbd"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Case B：膜面积与产水量</a:t>
            </a:r>
          </a:p>
        </c:rich>
      </c:tx>
    </c:title>
    <c:autoTitleDeleted val="0"/>
    <c:plotArea>
      <c:lineChart>
        <c:grouping val="standard"/>
        <c:varyColors val="0"/>
        <c:ser>
          <c:idx val="0"/>
          <c:order val="0"/>
          <c:tx>
            <c:v>Qp m³/h</c:v>
          </c:tx>
          <c:marker>
            <c:symbol val="none"/>
          </c:marker>
          <c:cat>
            <c:numRef>
              <c:f>分步答案_A!$P$15:$P$19</c:f>
              <c:numCache>
                <c:formatCode>General</c:formatCode>
                <c:ptCount val="5"/>
                <c:pt idx="0">
                  <c:v>450</c:v>
                </c:pt>
                <c:pt idx="1">
                  <c:v>457</c:v>
                </c:pt>
                <c:pt idx="2">
                  <c:v>458</c:v>
                </c:pt>
                <c:pt idx="3">
                  <c:v>463</c:v>
                </c:pt>
                <c:pt idx="4">
                  <c:v>464</c:v>
                </c:pt>
              </c:numCache>
            </c:numRef>
          </c:cat>
          <c:val>
            <c:numRef>
              <c:f>分步答案_A!$Q$15:$Q$19</c:f>
              <c:numCache>
                <c:formatCode>General</c:formatCode>
                <c:ptCount val="5"/>
                <c:pt idx="0">
                  <c:v>6.094422940499518</c:v>
                </c:pt>
                <c:pt idx="1">
                  <c:v>6.14325429149918</c:v>
                </c:pt>
                <c:pt idx="2">
                  <c:v>6.15023605954452</c:v>
                </c:pt>
                <c:pt idx="3">
                  <c:v>6.185182038762765</c:v>
                </c:pt>
                <c:pt idx="4">
                  <c:v>6.192180309324103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28b096140f4fb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8923be91b93544cc" /></Relationships>
</file>

<file path=xl/worksheets/sheet1.xml><?xml version="1.0" encoding="utf-8"?>
<x:worksheet xmlns:x="http://schemas.openxmlformats.org/spreadsheetml/2006/main">
  <x:sheetFormatPr defaultRowHeight="14.25"/>
  <x:cols>
    <x:col min="1" max="1" width="23" customWidth="1"/>
    <x:col min="2" max="2" width="18" customWidth="1"/>
    <x:col min="3" max="3" width="14" customWidth="1"/>
    <x:col min="4" max="4" width="29" customWidth="1"/>
    <x:col min="5" max="5" width="3" customWidth="1"/>
    <x:col min="6" max="6" width="21" customWidth="1"/>
    <x:col min="7" max="7" width="18" customWidth="1"/>
    <x:col min="8" max="8" width="29" customWidth="1"/>
  </x:cols>
  <x:sheetData>
    <x:row r="1">
      <x:c r="A1" s="33" t="str">
        <x:v>D1-1a: Robust Membrane-Area Feasibility Window Across Multiple Cases</x:v>
      </x:c>
      <x:c r="B1" s="33"/>
      <x:c r="C1" s="33"/>
      <x:c r="D1" s="33"/>
      <x:c r="E1" s="33"/>
      <x:c r="F1" s="33"/>
      <x:c r="G1" s="33"/>
      <x:c r="H1" s="33"/>
    </x:row>
    <x:row r="2">
      <x:c r="A2" s="33"/>
      <x:c r="B2" s="33"/>
      <x:c r="C2" s="33"/>
      <x:c r="D2" s="33"/>
      <x:c r="E2" s="33"/>
      <x:c r="F2" s="33"/>
      <x:c r="G2" s="33"/>
      <x:c r="H2" s="33"/>
    </x:row>
    <x:row r="4">
      <x:c r="A4" s="34" t="str">
        <x:v>For a new SWRO membrane train, the high-pressure pump and membrane type are already fixed, so pressure, A_comp, and B_comp cannot be adjusted. The only design variable is effective membrane area. One common membrane area must satisfy permeate production, Recovery, Flux, Rejection, and permeate-salinity constraints under all three design-feed cases. Do not assume that a larger membrane area is always safer. Use multiple simulate_ro calls to determine the full robust feasible area window, not only the minimum area.</x:v>
      </x:c>
      <x:c r="B4" s="34"/>
      <x:c r="C4" s="34"/>
      <x:c r="D4" s="34"/>
      <x:c r="E4" s="34"/>
      <x:c r="F4" s="34"/>
      <x:c r="G4" s="34"/>
      <x:c r="H4" s="34"/>
    </x:row>
    <x:row r="5">
      <x:c r="A5" s="34"/>
      <x:c r="B5" s="34"/>
      <x:c r="C5" s="34"/>
      <x:c r="D5" s="34"/>
      <x:c r="E5" s="34"/>
      <x:c r="F5" s="34"/>
      <x:c r="G5" s="34"/>
      <x:c r="H5" s="34"/>
    </x:row>
    <x:row r="6">
      <x:c r="A6" s="34"/>
      <x:c r="B6" s="34"/>
      <x:c r="C6" s="34"/>
      <x:c r="D6" s="34"/>
      <x:c r="E6" s="34"/>
      <x:c r="F6" s="34"/>
      <x:c r="G6" s="34"/>
      <x:c r="H6" s="34"/>
    </x:row>
    <x:row r="8" ht="15.75">
      <x:c r="A8" s="35" t="str">
        <x:v>Fixed model and equipment parameters</x:v>
      </x:c>
      <x:c r="B8" s="35"/>
      <x:c r="C8" s="35"/>
      <x:c r="D8" s="35"/>
      <x:c r="F8" s="35" t="str">
        <x:v>Three design cases</x:v>
      </x:c>
      <x:c r="G8" s="35"/>
      <x:c r="H8" s="35"/>
    </x:row>
    <x:row r="9" ht="15">
      <x:c r="A9" s="2" t="str">
        <x:v>Parameter</x:v>
      </x:c>
      <x:c r="B9" s="3" t="str">
        <x:v>Value</x:v>
      </x:c>
      <x:c r="C9" s="3" t="str">
        <x:v>Unit</x:v>
      </x:c>
      <x:c r="D9" s="4" t="str">
        <x:v>Notes</x:v>
      </x:c>
      <x:c r="F9" s="2" t="s">
        <x:v>0</x:v>
      </x:c>
      <x:c r="G9" s="3" t="str">
        <x:v>NaCl mass fraction</x:v>
      </x:c>
      <x:c r="H9" s="4" t="str">
        <x:v>Temperature °C</x:v>
      </x:c>
    </x:row>
    <x:row r="10">
      <x:c r="A10" s="5" t="s">
        <x:v>1</x:v>
      </x:c>
      <x:c r="B10" s="1">
        <x:v>4.0730000000000004</x:v>
      </x:c>
      <x:c r="C10" s="1" t="s">
        <x:v>2</x:v>
      </x:c>
      <x:c r="D10" s="6" t="str">
        <x:v>Same for all three cases</x:v>
      </x:c>
      <x:c r="F10" s="5" t="str">
        <x:v>A Normal</x:v>
      </x:c>
      <x:c r="G10" s="10">
        <x:v>0.03</x:v>
      </x:c>
      <x:c r="H10" s="6">
        <x:v>32</x:v>
      </x:c>
    </x:row>
    <x:row r="11">
      <x:c r="A11" s="5" t="s">
        <x:v>3</x:v>
      </x:c>
      <x:c r="B11" s="1">
        <x:v>50.5</x:v>
      </x:c>
      <x:c r="C11" s="1" t="s">
        <x:v>4</x:v>
      </x:c>
      <x:c r="D11" s="6" t="str">
        <x:v>High-pressure pump setting is fixed and cannot be adjusted</x:v>
      </x:c>
      <x:c r="F11" s="5" t="str">
        <x:v>B High salinity</x:v>
      </x:c>
      <x:c r="G11" s="10">
        <x:v>3.3000000000000002E-2</x:v>
      </x:c>
      <x:c r="H11" s="6">
        <x:v>25</x:v>
      </x:c>
    </x:row>
    <x:row r="12">
      <x:c r="A12" s="5" t="s">
        <x:v>5</x:v>
      </x:c>
      <x:c r="B12" s="1">
        <x:v>4.1999999999999999E-12</x:v>
      </x:c>
      <x:c r="C12" s="1" t="s">
        <x:v>6</x:v>
      </x:c>
      <x:c r="D12" s="6" t="str">
        <x:v>Membrane type is fixed</x:v>
      </x:c>
      <x:c r="F12" s="7" t="str">
        <x:v>C High temperature</x:v>
      </x:c>
      <x:c r="G12" s="11">
        <x:v>0.03</x:v>
      </x:c>
      <x:c r="H12" s="9">
        <x:v>38</x:v>
      </x:c>
    </x:row>
    <x:row r="13">
      <x:c r="A13" s="5" t="s">
        <x:v>7</x:v>
      </x:c>
      <x:c r="B13" s="1">
        <x:v>3.4E-8</x:v>
      </x:c>
      <x:c r="C13" s="1" t="s">
        <x:v>8</x:v>
      </x:c>
      <x:c r="D13" s="6" t="str">
        <x:v>Membrane type is fixed</x:v>
      </x:c>
    </x:row>
    <x:row r="14" ht="15.75">
      <x:c r="A14" s="5" t="s">
        <x:v>9</x:v>
      </x:c>
      <x:c r="B14" s="1">
        <x:v>1.0129999999999999</x:v>
      </x:c>
      <x:c r="C14" s="1" t="s">
        <x:v>4</x:v>
      </x:c>
      <x:c r="D14" s="6" t="str">
        <x:v>Fixed</x:v>
      </x:c>
      <x:c r="F14" s="35" t="str">
        <x:v>Common design constraints</x:v>
      </x:c>
      <x:c r="G14" s="35"/>
      <x:c r="H14" s="35"/>
    </x:row>
    <x:row r="15" ht="15">
      <x:c r="A15" s="5" t="s">
        <x:v>10</x:v>
      </x:c>
      <x:c r="B15" s="1">
        <x:v>0.65300000000000002</x:v>
      </x:c>
      <x:c r="C15" s="1" t="s">
        <x:v>4</x:v>
      </x:c>
      <x:c r="D15" s="6" t="str">
        <x:v>Fixed</x:v>
      </x:c>
      <x:c r="F15" s="2" t="str">
        <x:v>Metric</x:v>
      </x:c>
      <x:c r="G15" s="3" t="str">
        <x:v>Requirement</x:v>
      </x:c>
      <x:c r="H15" s="4" t="str">
        <x:v>Notes</x:v>
      </x:c>
    </x:row>
    <x:row r="16">
      <x:c r="A16" s="5" t="s">
        <x:v>11</x:v>
      </x:c>
      <x:c r="B16" s="1">
        <x:v>2E-3</x:v>
      </x:c>
      <x:c r="C16" s="1" t="s">
        <x:v>12</x:v>
      </x:c>
      <x:c r="D16" s="6" t="str">
        <x:v>Fixed</x:v>
      </x:c>
      <x:c r="F16" s="5" t="str">
        <x:v>Permeate production</x:v>
      </x:c>
      <x:c r="G16" s="1" t="s">
        <x:v>13</x:v>
      </x:c>
      <x:c r="H16" s="6" t="str">
        <x:v>Must be met in all three cases</x:v>
      </x:c>
    </x:row>
    <x:row r="17">
      <x:c r="A17" s="5" t="s">
        <x:v>14</x:v>
      </x:c>
      <x:c r="B17" s="1">
        <x:v>0.75</x:v>
      </x:c>
      <x:c r="C17" s="1" t="s">
        <x:v>15</x:v>
      </x:c>
      <x:c r="D17" s="6" t="str">
        <x:v>Fixed</x:v>
      </x:c>
      <x:c r="F17" s="5" t="s">
        <x:v>16</x:v>
      </x:c>
      <x:c r="G17" s="1" t="s">
        <x:v>17</x:v>
      </x:c>
      <x:c r="H17" s="6" t="str">
        <x:v>Benchmark constraint</x:v>
      </x:c>
    </x:row>
    <x:row r="18">
      <x:c r="A18" s="5" t="s">
        <x:v>18</x:v>
      </x:c>
      <x:c r="B18" s="1">
        <x:v>20</x:v>
      </x:c>
      <x:c r="C18" s="1" t="s">
        <x:v>12</x:v>
      </x:c>
      <x:c r="D18" s="6" t="str">
        <x:v>Fixed</x:v>
      </x:c>
      <x:c r="F18" s="5" t="s">
        <x:v>19</x:v>
      </x:c>
      <x:c r="G18" s="1" t="s">
        <x:v>20</x:v>
      </x:c>
      <x:c r="H18" s="6" t="str">
        <x:v>Benchmark constraint</x:v>
      </x:c>
    </x:row>
    <x:row r="19">
      <x:c r="A19" s="7" t="s">
        <x:v>21</x:v>
      </x:c>
      <x:c r="B19" s="8" t="s">
        <x:v>22</x:v>
      </x:c>
      <x:c r="C19" s="8" t="s">
        <x:v>15</x:v>
      </x:c>
      <x:c r="D19" s="9" t="str">
        <x:v>Use WaterTAP calculated option for both</x:v>
      </x:c>
      <x:c r="F19" s="5" t="s">
        <x:v>23</x:v>
      </x:c>
      <x:c r="G19" s="1" t="s">
        <x:v>24</x:v>
      </x:c>
      <x:c r="H19" s="6" t="str">
        <x:v>Benchmark constraint</x:v>
      </x:c>
    </x:row>
    <x:row r="20">
      <x:c r="F20" s="7" t="s">
        <x:v>25</x:v>
      </x:c>
      <x:c r="G20" s="8" t="s">
        <x:v>26</x:v>
      </x:c>
      <x:c r="H20" s="9" t="str">
        <x:v>Benchmark constraint</x:v>
      </x:c>
    </x:row>
    <x:row r="22" ht="15.75">
      <x:c r="A22" s="35" t="str">
        <x:v>Task requirements: demonstrate multi-step tool use and explicitly test non-monotonic behavior</x:v>
      </x:c>
      <x:c r="B22" s="35"/>
      <x:c r="C22" s="35"/>
      <x:c r="D22" s="35"/>
      <x:c r="E22" s="35"/>
      <x:c r="F22" s="35"/>
      <x:c r="G22" s="35"/>
      <x:c r="H22" s="35"/>
    </x:row>
    <x:row r="23" ht="44.099998474121094" customHeight="1">
      <x:c r="A23" s="36" t="str">
        <x:v>1. E1 — Identify this as a robust membrane-area feasibility-window problem. Area is the only design variable, but larger area must not be assumed to be always safer.</x:v>
      </x:c>
      <x:c r="B23" s="37"/>
      <x:c r="C23" s="37"/>
      <x:c r="D23" s="37"/>
      <x:c r="E23" s="37"/>
      <x:c r="F23" s="37"/>
      <x:c r="G23" s="37"/>
      <x:c r="H23" s="38"/>
    </x:row>
    <x:row r="24" ht="44.099998474121094" customHeight="1">
      <x:c r="A24" s="36" t="str">
        <x:v>2. E2 — Start from a reasonable initial area (400 m² is suggested), simulate at least one design case, and correctly interpret Qp, Recovery, Flux, Rejection, and NaCl.</x:v>
      </x:c>
      <x:c r="B24" s="37"/>
      <x:c r="C24" s="37"/>
      <x:c r="D24" s="37"/>
      <x:c r="E24" s="37"/>
      <x:c r="F24" s="37"/>
      <x:c r="G24" s="37"/>
      <x:c r="H24" s="38"/>
    </x:row>
    <x:row r="25" ht="44.099998474121094" customHeight="1">
      <x:c r="A25" s="36" t="str">
        <x:v>3. E3 — Screen Cases A/B/C at the same initial area, identify the controlling case, then prioritize boundary search on the most informative case instead of brute-forcing every area × case combination.</x:v>
      </x:c>
      <x:c r="B25" s="37"/>
      <x:c r="C25" s="37"/>
      <x:c r="D25" s="37"/>
      <x:c r="E25" s="37"/>
      <x:c r="F25" s="37"/>
      <x:c r="G25" s="37"/>
      <x:c r="H25" s="38"/>
    </x:row>
    <x:row r="26" ht="44.099998474121094" customHeight="1">
      <x:c r="A26" s="36" t="str">
        <x:v>4. E4 — Lower boundary: use multiple simulate_ro calls to locate the transition from insufficient production to the first area that satisfies all constraints, with 1 m² resolution.</x:v>
      </x:c>
      <x:c r="B26" s="37"/>
      <x:c r="C26" s="37"/>
      <x:c r="D26" s="37"/>
      <x:c r="E26" s="37"/>
      <x:c r="F26" s="37"/>
      <x:c r="G26" s="37"/>
      <x:c r="H26" s="38"/>
    </x:row>
    <x:row r="27" ht="44.099998474121094" customHeight="1">
      <x:c r="A27" s="36" t="str">
        <x:v>5. E4 — Upper boundary: after the lower bound is found, continue increasing area and actively check for newly emerging constraint failures. Identify the transition from the last feasible area to the first infeasible area.</x:v>
      </x:c>
      <x:c r="B27" s="37"/>
      <x:c r="C27" s="37"/>
      <x:c r="D27" s="37"/>
      <x:c r="E27" s="37"/>
      <x:c r="F27" s="37"/>
      <x:c r="G27" s="37"/>
      <x:c r="H27" s="38"/>
    </x:row>
    <x:row r="28" ht="44.099998474121094" customHeight="1">
      <x:c r="A28" s="36" t="str">
        <x:v>6. E4 — Robust verification: recheck the feasible-window boundaries and the final recommended area under all three cases.</x:v>
      </x:c>
      <x:c r="B28" s="37"/>
      <x:c r="C28" s="37"/>
      <x:c r="D28" s="37"/>
      <x:c r="E28" s="37"/>
      <x:c r="F28" s="37"/>
      <x:c r="G28" s="37"/>
      <x:c r="H28" s="38"/>
    </x:row>
    <x:row r="29" ht="44.099998474121094" customHeight="1">
      <x:c r="A29" s="36" t="str">
        <x:v>7. Final recommendation rule: within the robust integer feasible window, choose the area that maximizes the minimum distance to the first failing boundaries on both sides. If tied, choose the smaller area.</x:v>
      </x:c>
      <x:c r="B29" s="37"/>
      <x:c r="C29" s="37"/>
      <x:c r="D29" s="37"/>
      <x:c r="E29" s="37"/>
      <x:c r="F29" s="37"/>
      <x:c r="G29" s="37"/>
      <x:c r="H29" s="38"/>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sheetData>
  <x:mergeCells>
    <x:mergeCell ref="A27:H27"/>
    <x:mergeCell ref="A28:H28"/>
    <x:mergeCell ref="A29:H29"/>
    <x:mergeCell ref="A31:H34"/>
    <x:mergeCell ref="A22:H22"/>
    <x:mergeCell ref="A23:H23"/>
    <x:mergeCell ref="A24:H24"/>
    <x:mergeCell ref="A25:H25"/>
    <x:mergeCell ref="A26:H26"/>
    <x:mergeCell ref="A1:H2"/>
    <x:mergeCell ref="A4:H6"/>
    <x:mergeCell ref="A8:D8"/>
    <x:mergeCell ref="F8:H8"/>
    <x:mergeCell ref="F14:H14"/>
  </x:mergeCells>
  <x:pageMargins left="0.7" right="0.7" top="0.75" bottom="0.75" header="0.3" footer="0.3"/>
</x:worksheet>
</file>

<file path=xl/worksheets/sheet2.xml><?xml version="1.0" encoding="utf-8"?>
<x:worksheet xmlns:x="http://schemas.openxmlformats.org/spreadsheetml/2006/main">
  <x:sheetFormatPr defaultRowHeight="14.25"/>
  <x:cols>
    <x:col min="1" max="1" width="16" customWidth="1"/>
    <x:col min="2" max="2" width="11" customWidth="1"/>
    <x:col min="3" max="3" width="12" customWidth="1"/>
    <x:col min="4" max="4" width="10" customWidth="1"/>
    <x:col min="5" max="5" width="18" customWidth="1"/>
    <x:col min="6" max="6" width="15" customWidth="1"/>
    <x:col min="7" max="10" width="14" customWidth="1"/>
    <x:col min="11" max="14" width="12" customWidth="1"/>
    <x:col min="16" max="16" width="11" customWidth="1"/>
    <x:col min="17" max="17" width="14" customWidth="1"/>
  </x:cols>
  <x:sheetData>
    <x:row r="1">
      <x:c r="A1" s="33" t="str">
        <x:v>D1-1a: Gold Answer — Lower Bound, Upper Bound, and Robust Feasible Window</x:v>
      </x:c>
      <x:c r="B1" s="33"/>
      <x:c r="C1" s="33"/>
      <x:c r="D1" s="33"/>
      <x:c r="E1" s="33"/>
      <x:c r="F1" s="33"/>
      <x:c r="G1" s="33"/>
      <x:c r="H1" s="33"/>
      <x:c r="I1" s="33"/>
      <x:c r="J1" s="33"/>
      <x:c r="K1" s="33"/>
      <x:c r="L1" s="33"/>
      <x:c r="M1" s="33"/>
      <x:c r="N1" s="33"/>
    </x:row>
    <x:row r="2">
      <x:c r="A2" s="33"/>
      <x:c r="B2" s="33"/>
      <x:c r="C2" s="33"/>
      <x:c r="D2" s="33"/>
      <x:c r="E2" s="33"/>
      <x:c r="F2" s="33"/>
      <x:c r="G2" s="33"/>
      <x:c r="H2" s="33"/>
      <x:c r="I2" s="33"/>
      <x:c r="J2" s="33"/>
      <x:c r="K2" s="33"/>
      <x:c r="L2" s="33"/>
      <x:c r="M2" s="33"/>
      <x:c r="N2" s="33"/>
    </x:row>
    <x:row r="4">
      <x:c r="A4" s="40" t="str">
        <x:v>Reference efficient trajectory: about 10 simulate_ro calls. Screen A/B/C at 400 m² (3 calls) and identify Case B; use 457→458 m² to establish the lower boundary (2 calls); use 463→464 m² to establish the upper boundary (2 calls); then recheck A/B/C at the recommended 460 m² (3 calls). Other logically equivalent call orders are acceptable.</x:v>
      </x:c>
      <x:c r="B4" s="40"/>
      <x:c r="C4" s="40"/>
      <x:c r="D4" s="40"/>
      <x:c r="E4" s="40"/>
      <x:c r="F4" s="40"/>
      <x:c r="G4" s="40"/>
      <x:c r="H4" s="40"/>
      <x:c r="I4" s="40"/>
      <x:c r="J4" s="40"/>
      <x:c r="K4" s="40"/>
      <x:c r="L4" s="40"/>
      <x:c r="M4" s="40"/>
      <x:c r="N4" s="40"/>
    </x:row>
    <x:row r="5">
      <x:c r="A5" s="40"/>
      <x:c r="B5" s="40"/>
      <x:c r="C5" s="40"/>
      <x:c r="D5" s="40"/>
      <x:c r="E5" s="40"/>
      <x:c r="F5" s="40"/>
      <x:c r="G5" s="40"/>
      <x:c r="H5" s="40"/>
      <x:c r="I5" s="40"/>
      <x:c r="J5" s="40"/>
      <x:c r="K5" s="40"/>
      <x:c r="L5" s="40"/>
      <x:c r="M5" s="40"/>
      <x:c r="N5" s="40"/>
    </x:row>
    <x:row r="6">
      <x:c r="A6" s="40"/>
      <x:c r="B6" s="40"/>
      <x:c r="C6" s="40"/>
      <x:c r="D6" s="40"/>
      <x:c r="E6" s="40"/>
      <x:c r="F6" s="40"/>
      <x:c r="G6" s="40"/>
      <x:c r="H6" s="40"/>
      <x:c r="I6" s="40"/>
      <x:c r="J6" s="40"/>
      <x:c r="K6" s="40"/>
      <x:c r="L6" s="40"/>
      <x:c r="M6" s="40"/>
      <x:c r="N6" s="40"/>
    </x:row>
    <x:row r="8" ht="15.75">
      <x:c r="A8" s="35" t="str">
        <x:v>Stage 1: Screen all three design cases at 400 m²</x:v>
      </x:c>
      <x:c r="B8" s="35"/>
      <x:c r="C8" s="35"/>
      <x:c r="D8" s="35"/>
      <x:c r="E8" s="35"/>
      <x:c r="F8" s="35"/>
      <x:c r="G8" s="35"/>
      <x:c r="H8" s="35"/>
      <x:c r="I8" s="35"/>
      <x:c r="J8" s="35"/>
      <x:c r="K8" s="35"/>
      <x:c r="L8" s="35"/>
      <x:c r="M8" s="35"/>
      <x:c r="N8" s="35"/>
    </x:row>
    <x:row r="9" ht="15">
      <x:c r="A9" s="2" t="s">
        <x:v>0</x:v>
      </x:c>
      <x:c r="B9" s="3" t="s">
        <x:v>27</x:v>
      </x:c>
      <x:c r="C9" s="3" t="s">
        <x:v>28</x:v>
      </x:c>
      <x:c r="D9" s="3" t="s">
        <x:v>29</x:v>
      </x:c>
      <x:c r="E9" s="3" t="s">
        <x:v>30</x:v>
      </x:c>
      <x:c r="F9" s="3" t="s">
        <x:v>31</x:v>
      </x:c>
      <x:c r="G9" s="3" t="s">
        <x:v>32</x:v>
      </x:c>
      <x:c r="H9" s="3" t="s">
        <x:v>33</x:v>
      </x:c>
      <x:c r="I9" s="3" t="s">
        <x:v>34</x:v>
      </x:c>
      <x:c r="J9" s="3" t="s">
        <x:v>35</x:v>
      </x:c>
      <x:c r="K9" s="3" t="str">
        <x:v>Production</x:v>
      </x:c>
      <x:c r="L9" s="3" t="s">
        <x:v>16</x:v>
      </x:c>
      <x:c r="M9" s="3" t="str">
        <x:v>Water quality</x:v>
      </x:c>
      <x:c r="N9" s="4" t="str">
        <x:v>Overall</x:v>
      </x:c>
    </x:row>
    <x:row r="10" ht="15">
      <x:c r="A10" s="5" t="str">
        <x:v>A Normal</x:v>
      </x:c>
      <x:c r="B10" s="1">
        <x:v>400</x:v>
      </x:c>
      <x:c r="C10" s="10">
        <x:v>0.03</x:v>
      </x:c>
      <x:c r="D10" s="1">
        <x:v>32</x:v>
      </x:c>
      <x:c r="E10" s="10">
        <x:v>1.7540476933553715</x:v>
      </x:c>
      <x:c r="F10" s="10">
        <x:f>E10*3.6</x:f>
        <x:v>6.3145716960793372</x:v>
      </x:c>
      <x:c r="G10" s="10">
        <x:v>15.780693844584691</x:v>
      </x:c>
      <x:c r="H10" s="10">
        <x:v>44.03472402035343</x:v>
      </x:c>
      <x:c r="I10" s="10">
        <x:v>98.815623104294218</x:v>
      </x:c>
      <x:c r="J10" s="10">
        <x:v>363.31177408039838</x:v>
      </x:c>
      <x:c r="K10" s="1" t="str">
        <x:v>Pass</x:v>
      </x:c>
      <x:c r="L10" s="1" t="str">
        <x:v>Pass</x:v>
      </x:c>
      <x:c r="M10" s="1" t="str">
        <x:v>Pass</x:v>
      </x:c>
      <x:c r="N10" s="6" t="str">
        <x:v>Pass</x:v>
      </x:c>
    </x:row>
    <x:row r="11" ht="15">
      <x:c r="A11" s="5" t="str">
        <x:v>B High salinity</x:v>
      </x:c>
      <x:c r="B11" s="1">
        <x:v>400</x:v>
      </x:c>
      <x:c r="C11" s="10">
        <x:v>3.3000000000000002E-2</x:v>
      </x:c>
      <x:c r="D11" s="1">
        <x:v>25</x:v>
      </x:c>
      <x:c r="E11" s="10">
        <x:v>1.5949135223816613</x:v>
      </x:c>
      <x:c r="F11" s="10">
        <x:f>E11*3.6</x:f>
        <x:v>5.7416886805739811</x:v>
      </x:c>
      <x:c r="G11" s="10">
        <x:v>14.348218118223699</x:v>
      </x:c>
      <x:c r="H11" s="10">
        <x:v>40.127277093460961</x:v>
      </x:c>
      <x:c r="I11" s="10">
        <x:v>98.763198554584406</x:v>
      </x:c>
      <x:c r="J11" s="10">
        <x:v>418.24512231501251</x:v>
      </x:c>
      <x:c r="K11" s="1" t="str">
        <x:v>Fail</x:v>
      </x:c>
      <x:c r="L11" s="1" t="str">
        <x:v>Pass</x:v>
      </x:c>
      <x:c r="M11" s="1" t="str">
        <x:v>Pass</x:v>
      </x:c>
      <x:c r="N11" s="6" t="str">
        <x:v>Fail</x:v>
      </x:c>
    </x:row>
    <x:row r="12" ht="15">
      <x:c r="A12" s="7" t="str">
        <x:v>C High temperature</x:v>
      </x:c>
      <x:c r="B12" s="8">
        <x:v>400</x:v>
      </x:c>
      <x:c r="C12" s="11">
        <x:v>0.03</x:v>
      </x:c>
      <x:c r="D12" s="8">
        <x:v>38</x:v>
      </x:c>
      <x:c r="E12" s="11">
        <x:v>1.71567178998138</x:v>
      </x:c>
      <x:c r="F12" s="11">
        <x:f>E12*3.6</x:f>
        <x:v>6.1764184439329686</x:v>
      </x:c>
      <x:c r="G12" s="11">
        <x:v>15.435384375015868</x:v>
      </x:c>
      <x:c r="H12" s="11">
        <x:v>43.071201243008545</x:v>
      </x:c>
      <x:c r="I12" s="11">
        <x:v>98.80467950617259</x:v>
      </x:c>
      <x:c r="J12" s="11">
        <x:v>366.66782653713801</x:v>
      </x:c>
      <x:c r="K12" s="8" t="str">
        <x:v>Pass</x:v>
      </x:c>
      <x:c r="L12" s="8" t="str">
        <x:v>Pass</x:v>
      </x:c>
      <x:c r="M12" s="8" t="str">
        <x:v>Pass</x:v>
      </x:c>
      <x:c r="N12" s="9" t="str">
        <x:v>Pass</x:v>
      </x:c>
    </x:row>
    <x:row r="13">
      <x:c r="C13" s="12"/>
      <x:c r="E13" s="12"/>
      <x:c r="F13" s="12"/>
      <x:c r="G13" s="12"/>
      <x:c r="H13" s="12"/>
      <x:c r="I13" s="12"/>
      <x:c r="J13" s="12"/>
    </x:row>
    <x:row r="14" ht="15.75">
      <x:c r="A14" s="35" t="str">
        <x:v>Stage 2: Search the lower area boundary using controlling Case B</x:v>
      </x:c>
      <x:c r="B14" s="35"/>
      <x:c r="C14" s="41"/>
      <x:c r="D14" s="35"/>
      <x:c r="E14" s="41"/>
      <x:c r="F14" s="41"/>
      <x:c r="G14" s="41"/>
      <x:c r="H14" s="41"/>
      <x:c r="I14" s="41"/>
      <x:c r="J14" s="41"/>
      <x:c r="K14" s="35"/>
      <x:c r="L14" s="35"/>
      <x:c r="M14" s="35"/>
      <x:c r="N14" s="35"/>
      <x:c r="P14" t="s">
        <x:v>27</x:v>
      </x:c>
      <x:c r="Q14" t="s">
        <x:v>31</x:v>
      </x:c>
    </x:row>
    <x:row r="15" ht="15">
      <x:c r="A15" s="2" t="s">
        <x:v>0</x:v>
      </x:c>
      <x:c r="B15" s="3" t="s">
        <x:v>27</x:v>
      </x:c>
      <x:c r="C15" s="13" t="s">
        <x:v>28</x:v>
      </x:c>
      <x:c r="D15" s="3" t="s">
        <x:v>29</x:v>
      </x:c>
      <x:c r="E15" s="13" t="s">
        <x:v>30</x:v>
      </x:c>
      <x:c r="F15" s="13" t="s">
        <x:v>31</x:v>
      </x:c>
      <x:c r="G15" s="13" t="s">
        <x:v>32</x:v>
      </x:c>
      <x:c r="H15" s="13" t="s">
        <x:v>33</x:v>
      </x:c>
      <x:c r="I15" s="13" t="s">
        <x:v>34</x:v>
      </x:c>
      <x:c r="J15" s="13" t="s">
        <x:v>35</x:v>
      </x:c>
      <x:c r="K15" s="3" t="str">
        <x:v>Production</x:v>
      </x:c>
      <x:c r="L15" s="3" t="s">
        <x:v>16</x:v>
      </x:c>
      <x:c r="M15" s="3" t="str">
        <x:v>Water quality</x:v>
      </x:c>
      <x:c r="N15" s="4" t="str">
        <x:v>Overall</x:v>
      </x:c>
      <x:c r="P15">
        <x:v>450</x:v>
      </x:c>
      <x:c r="Q15">
        <x:v>6.094422940499518</x:v>
      </x:c>
    </x:row>
    <x:row r="16" ht="15">
      <x:c r="A16" s="5" t="str">
        <x:v>B High salinity</x:v>
      </x:c>
      <x:c r="B16" s="1">
        <x:v>450</x:v>
      </x:c>
      <x:c r="C16" s="10">
        <x:v>3.3000000000000002E-2</x:v>
      </x:c>
      <x:c r="D16" s="1">
        <x:v>25</x:v>
      </x:c>
      <x:c r="E16" s="10">
        <x:v>1.692895261249866</x:v>
      </x:c>
      <x:c r="F16" s="10">
        <x:f>E16*3.6</x:f>
        <x:v>6.094422940499518</x:v>
      </x:c>
      <x:c r="G16" s="10">
        <x:v>13.537085874370192</x:v>
      </x:c>
      <x:c r="H16" s="10">
        <x:v>42.591467944577523</x:v>
      </x:c>
      <x:c r="I16" s="10">
        <x:v>98.673240420941895</x:v>
      </x:c>
      <x:c r="J16" s="10">
        <x:v>448.65560851674974</x:v>
      </x:c>
      <x:c r="K16" s="1" t="str">
        <x:v>Fail</x:v>
      </x:c>
      <x:c r="L16" s="1" t="str">
        <x:v>Pass</x:v>
      </x:c>
      <x:c r="M16" s="1" t="str">
        <x:v>Pass</x:v>
      </x:c>
      <x:c r="N16" s="6" t="str">
        <x:v>Fail</x:v>
      </x:c>
      <x:c r="P16">
        <x:v>457</x:v>
      </x:c>
      <x:c r="Q16">
        <x:v>6.1432542914991801</x:v>
      </x:c>
    </x:row>
    <x:row r="17" ht="15">
      <x:c r="A17" s="5" t="str">
        <x:v>B High salinity</x:v>
      </x:c>
      <x:c r="B17" s="1">
        <x:v>457</x:v>
      </x:c>
      <x:c r="C17" s="10">
        <x:v>3.3000000000000002E-2</x:v>
      </x:c>
      <x:c r="D17" s="1">
        <x:v>25</x:v>
      </x:c>
      <x:c r="E17" s="10">
        <x:v>1.706459525416439</x:v>
      </x:c>
      <x:c r="F17" s="10">
        <x:f>E17*3.6</x:f>
        <x:v>6.1432542914991801</x:v>
      </x:c>
      <x:c r="G17" s="10">
        <x:v>13.436484648967365</x:v>
      </x:c>
      <x:c r="H17" s="10">
        <x:v>42.932600007300024</x:v>
      </x:c>
      <x:c r="I17" s="10">
        <x:v>98.661393915529914</x:v>
      </x:c>
      <x:c r="J17" s="10">
        <x:v>452.66023334608957</x:v>
      </x:c>
      <x:c r="K17" s="1" t="str">
        <x:v>Fail</x:v>
      </x:c>
      <x:c r="L17" s="1" t="str">
        <x:v>Pass</x:v>
      </x:c>
      <x:c r="M17" s="1" t="str">
        <x:v>Pass</x:v>
      </x:c>
      <x:c r="N17" s="6" t="str">
        <x:v>Fail</x:v>
      </x:c>
      <x:c r="P17">
        <x:v>458</x:v>
      </x:c>
      <x:c r="Q17">
        <x:v>6.15023605954452</x:v>
      </x:c>
    </x:row>
    <x:row r="18" ht="15">
      <x:c r="A18" s="7" t="str">
        <x:v>B High salinity</x:v>
      </x:c>
      <x:c r="B18" s="8">
        <x:v>458</x:v>
      </x:c>
      <x:c r="C18" s="11">
        <x:v>3.3000000000000002E-2</x:v>
      </x:c>
      <x:c r="D18" s="8">
        <x:v>25</x:v>
      </x:c>
      <x:c r="E18" s="11">
        <x:v>1.7083989054290334</x:v>
      </x:c>
      <x:c r="F18" s="11">
        <x:f>E18*3.6</x:f>
        <x:v>6.15023605954452</x:v>
      </x:c>
      <x:c r="G18" s="11">
        <x:v>13.422376883368173</x:v>
      </x:c>
      <x:c r="H18" s="11">
        <x:v>42.9813741540762</x:v>
      </x:c>
      <x:c r="I18" s="11">
        <x:v>98.659720219993517</x:v>
      </x:c>
      <x:c r="J18" s="11">
        <x:v>453.22601196262161</x:v>
      </x:c>
      <x:c r="K18" s="8" t="str">
        <x:v>Pass</x:v>
      </x:c>
      <x:c r="L18" s="8" t="str">
        <x:v>Pass</x:v>
      </x:c>
      <x:c r="M18" s="8" t="str">
        <x:v>Pass</x:v>
      </x:c>
      <x:c r="N18" s="9" t="str">
        <x:v>Pass</x:v>
      </x:c>
      <x:c r="P18">
        <x:v>463</x:v>
      </x:c>
      <x:c r="Q18">
        <x:v>6.1851820387627647</x:v>
      </x:c>
    </x:row>
    <x:row r="19">
      <x:c r="C19" s="12"/>
      <x:c r="E19" s="12"/>
      <x:c r="F19" s="12"/>
      <x:c r="G19" s="12"/>
      <x:c r="H19" s="12"/>
      <x:c r="I19" s="12"/>
      <x:c r="J19" s="12"/>
      <x:c r="P19">
        <x:v>464</x:v>
      </x:c>
      <x:c r="Q19">
        <x:v>6.1921803093241028</x:v>
      </x:c>
    </x:row>
    <x:row r="20" ht="15.75">
      <x:c r="A20" s="35" t="str">
        <x:v>Stage 3: Increase area further and actively search for the upper boundary (test non-monotonicity)</x:v>
      </x:c>
      <x:c r="B20" s="35"/>
      <x:c r="C20" s="41"/>
      <x:c r="D20" s="35"/>
      <x:c r="E20" s="41"/>
      <x:c r="F20" s="41"/>
      <x:c r="G20" s="41"/>
      <x:c r="H20" s="41"/>
      <x:c r="I20" s="41"/>
      <x:c r="J20" s="41"/>
      <x:c r="K20" s="35"/>
      <x:c r="L20" s="35"/>
      <x:c r="M20" s="35"/>
      <x:c r="N20" s="35"/>
    </x:row>
    <x:row r="21" ht="15">
      <x:c r="A21" s="2" t="s">
        <x:v>0</x:v>
      </x:c>
      <x:c r="B21" s="3" t="s">
        <x:v>27</x:v>
      </x:c>
      <x:c r="C21" s="13" t="s">
        <x:v>28</x:v>
      </x:c>
      <x:c r="D21" s="3" t="s">
        <x:v>29</x:v>
      </x:c>
      <x:c r="E21" s="13" t="s">
        <x:v>30</x:v>
      </x:c>
      <x:c r="F21" s="13" t="s">
        <x:v>31</x:v>
      </x:c>
      <x:c r="G21" s="13" t="s">
        <x:v>32</x:v>
      </x:c>
      <x:c r="H21" s="13" t="s">
        <x:v>33</x:v>
      </x:c>
      <x:c r="I21" s="13" t="s">
        <x:v>34</x:v>
      </x:c>
      <x:c r="J21" s="13" t="s">
        <x:v>35</x:v>
      </x:c>
      <x:c r="K21" s="3" t="str">
        <x:v>Production</x:v>
      </x:c>
      <x:c r="L21" s="3" t="s">
        <x:v>16</x:v>
      </x:c>
      <x:c r="M21" s="3" t="str">
        <x:v>Water quality</x:v>
      </x:c>
      <x:c r="N21" s="4" t="str">
        <x:v>Overall</x:v>
      </x:c>
    </x:row>
    <x:row r="22" ht="15">
      <x:c r="A22" s="5" t="str">
        <x:v>B High salinity</x:v>
      </x:c>
      <x:c r="B22" s="1">
        <x:v>463</x:v>
      </x:c>
      <x:c r="C22" s="10">
        <x:v>3.3000000000000002E-2</x:v>
      </x:c>
      <x:c r="D22" s="1">
        <x:v>25</x:v>
      </x:c>
      <x:c r="E22" s="10">
        <x:v>1.7181061218785458</x:v>
      </x:c>
      <x:c r="F22" s="10">
        <x:f>E22*3.6</x:f>
        <x:v>6.1851820387627647</x:v>
      </x:c>
      <x:c r="G22" s="10">
        <x:v>13.35283241837082</x:v>
      </x:c>
      <x:c r="H22" s="10">
        <x:v>43.225504622219972</x:v>
      </x:c>
      <x:c r="I22" s="10">
        <x:v>98.651425160317373</x:v>
      </x:c>
      <x:c r="J22" s="10">
        <x:v>456.03007953491601</x:v>
      </x:c>
      <x:c r="K22" s="1" t="str">
        <x:v>Pass</x:v>
      </x:c>
      <x:c r="L22" s="1" t="str">
        <x:v>Pass</x:v>
      </x:c>
      <x:c r="M22" s="1" t="str">
        <x:v>Pass</x:v>
      </x:c>
      <x:c r="N22" s="6" t="str">
        <x:v>Pass</x:v>
      </x:c>
    </x:row>
    <x:row r="23" ht="15">
      <x:c r="A23" s="7" t="str">
        <x:v>B High salinity</x:v>
      </x:c>
      <x:c r="B23" s="8">
        <x:v>464</x:v>
      </x:c>
      <x:c r="C23" s="11">
        <x:v>3.3000000000000002E-2</x:v>
      </x:c>
      <x:c r="D23" s="8">
        <x:v>25</x:v>
      </x:c>
      <x:c r="E23" s="11">
        <x:v>1.7200500859233618</x:v>
      </x:c>
      <x:c r="F23" s="11">
        <x:f>E23*3.6</x:f>
        <x:v>6.1921803093241028</x:v>
      </x:c>
      <x:c r="G23" s="11">
        <x:v>13.339122947665819</x:v>
      </x:c>
      <x:c r="H23" s="11">
        <x:v>43.274394177591283</x:v>
      </x:c>
      <x:c r="I23" s="11">
        <x:v>98.649781207279403</x:v>
      </x:c>
      <x:c r="J23" s="11">
        <x:v>456.58580111193481</x:v>
      </x:c>
      <x:c r="K23" s="8" t="str">
        <x:v>Pass</x:v>
      </x:c>
      <x:c r="L23" s="8" t="str">
        <x:v>Pass</x:v>
      </x:c>
      <x:c r="M23" s="8" t="str">
        <x:v>Fail</x:v>
      </x:c>
      <x:c r="N23" s="9" t="str">
        <x:v>Fail</x:v>
      </x:c>
    </x:row>
    <x:row r="24">
      <x:c r="C24" s="12"/>
      <x:c r="E24" s="12"/>
      <x:c r="F24" s="12"/>
      <x:c r="G24" s="12"/>
      <x:c r="H24" s="12"/>
      <x:c r="I24" s="12"/>
      <x:c r="J24" s="12"/>
    </x:row>
    <x:row r="25" ht="15.75">
      <x:c r="A25" s="35" t="str">
        <x:v>Stage 4: Recheck all design cases at the recommended area of 460 m²</x:v>
      </x:c>
      <x:c r="B25" s="35"/>
      <x:c r="C25" s="41"/>
      <x:c r="D25" s="35"/>
      <x:c r="E25" s="41"/>
      <x:c r="F25" s="41"/>
      <x:c r="G25" s="41"/>
      <x:c r="H25" s="41"/>
      <x:c r="I25" s="41"/>
      <x:c r="J25" s="41"/>
      <x:c r="K25" s="35"/>
      <x:c r="L25" s="35"/>
      <x:c r="M25" s="35"/>
      <x:c r="N25" s="35"/>
    </x:row>
    <x:row r="26" ht="15">
      <x:c r="A26" s="2" t="s">
        <x:v>0</x:v>
      </x:c>
      <x:c r="B26" s="3" t="s">
        <x:v>27</x:v>
      </x:c>
      <x:c r="C26" s="13" t="s">
        <x:v>28</x:v>
      </x:c>
      <x:c r="D26" s="3" t="s">
        <x:v>29</x:v>
      </x:c>
      <x:c r="E26" s="13" t="s">
        <x:v>30</x:v>
      </x:c>
      <x:c r="F26" s="13" t="s">
        <x:v>31</x:v>
      </x:c>
      <x:c r="G26" s="13" t="s">
        <x:v>32</x:v>
      </x:c>
      <x:c r="H26" s="13" t="s">
        <x:v>33</x:v>
      </x:c>
      <x:c r="I26" s="13" t="s">
        <x:v>34</x:v>
      </x:c>
      <x:c r="J26" s="13" t="s">
        <x:v>35</x:v>
      </x:c>
      <x:c r="K26" s="3" t="str">
        <x:v>Production</x:v>
      </x:c>
      <x:c r="L26" s="3" t="s">
        <x:v>16</x:v>
      </x:c>
      <x:c r="M26" s="3" t="str">
        <x:v>Water quality</x:v>
      </x:c>
      <x:c r="N26" s="4" t="str">
        <x:v>Overall</x:v>
      </x:c>
    </x:row>
    <x:row r="27" ht="15">
      <x:c r="A27" s="5" t="str">
        <x:v>A Normal</x:v>
      </x:c>
      <x:c r="B27" s="1">
        <x:v>460</x:v>
      </x:c>
      <x:c r="C27" s="10">
        <x:v>0.03</x:v>
      </x:c>
      <x:c r="D27" s="1">
        <x:v>32</x:v>
      </x:c>
      <x:c r="E27" s="10">
        <x:v>1.8791531482058745</x:v>
      </x:c>
      <x:c r="F27" s="10">
        <x:f>E27*3.6</x:f>
        <x:v>6.7649513335411484</x:v>
      </x:c>
      <x:c r="G27" s="10">
        <x:v>14.700585750718998</x:v>
      </x:c>
      <x:c r="H27" s="10">
        <x:v>47.174263542471977</x:v>
      </x:c>
      <x:c r="I27" s="10">
        <x:v>98.707598728497842</x:v>
      </x:c>
      <x:c r="J27" s="10">
        <x:v>396.43865538436</x:v>
      </x:c>
      <x:c r="K27" s="1" t="str">
        <x:v>Pass</x:v>
      </x:c>
      <x:c r="L27" s="1" t="str">
        <x:v>Pass</x:v>
      </x:c>
      <x:c r="M27" s="1" t="str">
        <x:v>Pass</x:v>
      </x:c>
      <x:c r="N27" s="6" t="str">
        <x:v>Pass</x:v>
      </x:c>
    </x:row>
    <x:row r="28" ht="15">
      <x:c r="A28" s="5" t="str">
        <x:v>B High salinity</x:v>
      </x:c>
      <x:c r="B28" s="1">
        <x:v>460</x:v>
      </x:c>
      <x:c r="C28" s="10">
        <x:v>3.3000000000000002E-2</x:v>
      </x:c>
      <x:c r="D28" s="1">
        <x:v>25</x:v>
      </x:c>
      <x:c r="E28" s="10">
        <x:v>1.7122795330783398</x:v>
      </x:c>
      <x:c r="F28" s="10">
        <x:f>E28*3.6</x:f>
        <x:v>6.1642063190820231</x:v>
      </x:c>
      <x:c r="G28" s="10">
        <x:v>13.394359990336783</x:v>
      </x:c>
      <x:c r="H28" s="10">
        <x:v>43.078969469815746</x:v>
      </x:c>
      <x:c r="I28" s="10">
        <x:v>98.656387352264943</x:v>
      </x:c>
      <x:c r="J28" s="10">
        <x:v>454.35265825427899</x:v>
      </x:c>
      <x:c r="K28" s="1" t="str">
        <x:v>Pass</x:v>
      </x:c>
      <x:c r="L28" s="1" t="str">
        <x:v>Pass</x:v>
      </x:c>
      <x:c r="M28" s="1" t="str">
        <x:v>Pass</x:v>
      </x:c>
      <x:c r="N28" s="6" t="str">
        <x:v>Pass</x:v>
      </x:c>
    </x:row>
    <x:row r="29" ht="15">
      <x:c r="A29" s="7" t="str">
        <x:v>C High temperature</x:v>
      </x:c>
      <x:c r="B29" s="8">
        <x:v>460</x:v>
      </x:c>
      <x:c r="C29" s="11">
        <x:v>0.03</x:v>
      </x:c>
      <x:c r="D29" s="8">
        <x:v>38</x:v>
      </x:c>
      <x:c r="E29" s="11">
        <x:v>1.8389754957271387</x:v>
      </x:c>
      <x:c r="F29" s="11">
        <x:f>E29*3.6</x:f>
        <x:v>6.6203117846176998</x:v>
      </x:c>
      <x:c r="G29" s="11">
        <x:v>14.386229772753607</x:v>
      </x:c>
      <x:c r="H29" s="11">
        <x:v>46.165529592272911</x:v>
      </x:c>
      <x:c r="I29" s="11">
        <x:v>98.696987792082282</x:v>
      </x:c>
      <x:c r="J29" s="11">
        <x:v>399.69252765217777</x:v>
      </x:c>
      <x:c r="K29" s="8" t="str">
        <x:v>Pass</x:v>
      </x:c>
      <x:c r="L29" s="8" t="str">
        <x:v>Pass</x:v>
      </x:c>
      <x:c r="M29" s="8" t="str">
        <x:v>Pass</x:v>
      </x:c>
      <x:c r="N29" s="9" t="str">
        <x:v>Pass</x:v>
      </x:c>
    </x:row>
    <x:row r="32" ht="15.75">
      <x:c r="A32" s="35" t="str">
        <x:v>Final conclusion and design logic</x:v>
      </x:c>
      <x:c r="B32" s="35"/>
      <x:c r="C32" s="35"/>
      <x:c r="D32" s="35"/>
      <x:c r="E32" s="35"/>
      <x:c r="F32" s="35"/>
      <x:c r="H32" s="39" t="str">
        <x:v>Why not use the old “458 × 1.02 → 470” rule?
That rule assumes that increasing membrane area is always safer. The WaterTAP results show otherwise: Case B still satisfies the rejection requirement at 463 m², but at 464 m² rejection drops to 98.6498%, below the 98.65% limit. Therefore, the correct answer is a feasible window of 458–463 m², not an unlimited increase above the minimum area.</x:v>
      </x:c>
      <x:c r="I32" s="39"/>
      <x:c r="J32" s="39"/>
      <x:c r="K32" s="39"/>
      <x:c r="L32" s="39"/>
      <x:c r="M32" s="39"/>
      <x:c r="N32" s="39"/>
    </x:row>
    <x:row r="33" ht="15">
      <x:c r="A33" s="2" t="str">
        <x:v>Item</x:v>
      </x:c>
      <x:c r="B33" s="3" t="str">
        <x:v>Result</x:v>
      </x:c>
      <x:c r="C33" s="3" t="str">
        <x:v>Key evidence</x:v>
      </x:c>
      <x:c r="D33" s="3" t="str">
        <x:v>Limiting mechanism</x:v>
      </x:c>
      <x:c r="E33" s="3" t="str">
        <x:v>Engineering interpretation</x:v>
      </x:c>
      <x:c r="F33" s="4" t="str">
        <x:v>Decision</x:v>
      </x:c>
      <x:c r="H33" s="39"/>
      <x:c r="I33" s="39"/>
      <x:c r="J33" s="39"/>
      <x:c r="K33" s="39"/>
      <x:c r="L33" s="39"/>
      <x:c r="M33" s="39"/>
      <x:c r="N33" s="39"/>
    </x:row>
    <x:row r="34" ht="42.75">
      <x:c r="A34" s="5" t="str">
        <x:v>Controlling case</x:v>
      </x:c>
      <x:c r="B34" s="1" t="str">
        <x:v>Case B High salinity</x:v>
      </x:c>
      <x:c r="C34" s="1" t="str">
        <x:v>At 400 m², Case B production is only ≈5.742 m³/h</x:v>
      </x:c>
      <x:c r="D34" s="1" t="str">
        <x:v>Higher salinity raises osmotic pressure</x:v>
      </x:c>
      <x:c r="E34" s="1" t="str">
        <x:v>Case B controls the lower area bound first</x:v>
      </x:c>
      <x:c r="F34" s="6" t="str">
        <x:v>Confirmed</x:v>
      </x:c>
      <x:c r="H34" s="39"/>
      <x:c r="I34" s="39"/>
      <x:c r="J34" s="39"/>
      <x:c r="K34" s="39"/>
      <x:c r="L34" s="39"/>
      <x:c r="M34" s="39"/>
      <x:c r="N34" s="39"/>
    </x:row>
    <x:row r="35" ht="28.5">
      <x:c r="A35" s="5" t="str">
        <x:v>Lower-bound failure point</x:v>
      </x:c>
      <x:c r="B35" s="1">
        <x:v>457</x:v>
      </x:c>
      <x:c r="C35" s="1" t="str">
        <x:v>Qp≈6.143 m³/h</x:v>
      </x:c>
      <x:c r="D35" s="1" t="str">
        <x:v>Insufficient production</x:v>
      </x:c>
      <x:c r="E35" s="1" t="str">
        <x:v>Area is too small</x:v>
      </x:c>
      <x:c r="F35" s="6" t="str">
        <x:v>Fail</x:v>
      </x:c>
      <x:c r="H35" s="39"/>
      <x:c r="I35" s="39"/>
      <x:c r="J35" s="39"/>
      <x:c r="K35" s="39"/>
      <x:c r="L35" s="39"/>
      <x:c r="M35" s="39"/>
      <x:c r="N35" s="39"/>
    </x:row>
    <x:row r="36" ht="42.75">
      <x:c r="A36" s="5" t="str">
        <x:v>Lower robust-feasible bound</x:v>
      </x:c>
      <x:c r="B36" s="1">
        <x:v>458</x:v>
      </x:c>
      <x:c r="C36" s="1" t="str">
        <x:v>Qp≈6.150 m³/h; all Case B constraints pass</x:v>
      </x:c>
      <x:c r="D36" s="1" t="str">
        <x:v>Production just meets the target</x:v>
      </x:c>
      <x:c r="E36" s="1" t="str">
        <x:v>First point entering the feasible region</x:v>
      </x:c>
      <x:c r="F36" s="6" t="str">
        <x:v>Pass</x:v>
      </x:c>
    </x:row>
    <x:row r="37" ht="42.75">
      <x:c r="A37" s="5" t="str">
        <x:v>Upper robust-feasible bound</x:v>
      </x:c>
      <x:c r="B37" s="1">
        <x:v>463</x:v>
      </x:c>
      <x:c r="C37" s="1" t="str">
        <x:v>Rejection≈98.6514%, still ≥98.65%</x:v>
      </x:c>
      <x:c r="D37" s="1" t="str">
        <x:v>Salt passage approaches its limit</x:v>
      </x:c>
      <x:c r="E37" s="1" t="str">
        <x:v>Last feasible area</x:v>
      </x:c>
      <x:c r="F37" s="6" t="str">
        <x:v>Pass</x:v>
      </x:c>
      <x:c r="H37" s="40" t="str">
        <x:v>Recommendation rule (benchmark-defined):
First failing point below = 457 m²; first failing point above = 464 m².
For each integer area, compute the minimum distance to these two failure boundaries. Both 460 and 461 m² have a minimum distance of 3 m².
If tied, choose the smaller area; therefore recommend 460 m².</x:v>
      </x:c>
      <x:c r="I37" s="40"/>
      <x:c r="J37" s="40"/>
      <x:c r="K37" s="40"/>
      <x:c r="L37" s="40"/>
      <x:c r="M37" s="40"/>
      <x:c r="N37" s="40"/>
    </x:row>
    <x:row r="38" ht="42.75">
      <x:c r="A38" s="5" t="str">
        <x:v>Upper-bound failure point</x:v>
      </x:c>
      <x:c r="B38" s="1">
        <x:v>464</x:v>
      </x:c>
      <x:c r="C38" s="1" t="str">
        <x:v>Rejection≈98.6498%&lt;98.65%</x:v>
      </x:c>
      <x:c r="D38" s="1" t="str">
        <x:v>Rejection failure</x:v>
      </x:c>
      <x:c r="E38" s="1" t="str">
        <x:v>Further area increase leaves the feasible region</x:v>
      </x:c>
      <x:c r="F38" s="6" t="str">
        <x:v>Fail</x:v>
      </x:c>
      <x:c r="H38" s="40"/>
      <x:c r="I38" s="40"/>
      <x:c r="J38" s="40"/>
      <x:c r="K38" s="40"/>
      <x:c r="L38" s="40"/>
      <x:c r="M38" s="40"/>
      <x:c r="N38" s="40"/>
    </x:row>
    <x:row r="39" ht="71.25">
      <x:c r="A39" s="7" t="str">
        <x:v>Recommended area</x:v>
      </x:c>
      <x:c r="B39" s="8">
        <x:v>460</x:v>
      </x:c>
      <x:c r="C39" s="8" t="str">
        <x:v>Feasible window 458–463 m²; minimum distance to failure boundaries 457/464 = 3 m²</x:v>
      </x:c>
      <x:c r="D39" s="8" t="str">
        <x:v>Interior point of feasible window</x:v>
      </x:c>
      <x:c r="E39" s="8" t="str">
        <x:v>460 and 461 are tied under maximin; choose the smaller area by rule</x:v>
      </x:c>
      <x:c r="F39" s="9" t="str">
        <x:v>Recommend</x:v>
      </x:c>
      <x:c r="H39" s="40"/>
      <x:c r="I39" s="40"/>
      <x:c r="J39" s="40"/>
      <x:c r="K39" s="40"/>
      <x:c r="L39" s="40"/>
      <x:c r="M39" s="40"/>
      <x:c r="N39" s="40"/>
    </x:row>
    <x:row r="40">
      <x:c r="H40" s="40"/>
      <x:c r="I40" s="40"/>
      <x:c r="J40" s="40"/>
      <x:c r="K40" s="40"/>
      <x:c r="L40" s="40"/>
      <x:c r="M40" s="40"/>
      <x:c r="N40" s="40"/>
    </x:row>
  </x:sheetData>
  <x:mergeCells>
    <x:mergeCell ref="A25:N25"/>
    <x:mergeCell ref="A32:F32"/>
    <x:mergeCell ref="H32:N35"/>
    <x:mergeCell ref="H37:N40"/>
    <x:mergeCell ref="A1:N2"/>
    <x:mergeCell ref="A4:N6"/>
    <x:mergeCell ref="A8:N8"/>
    <x:mergeCell ref="A14:N14"/>
    <x:mergeCell ref="A20:N20"/>
  </x:mergeCells>
  <x:conditionalFormatting sqref="K10:N12">
    <x:cfRule type="expression" dxfId="7" priority="1">
      <x:formula>K10="通过"</x:formula>
    </x:cfRule>
    <x:cfRule type="expression" dxfId="6" priority="2">
      <x:formula>K10="不通过"</x:formula>
    </x:cfRule>
  </x:conditionalFormatting>
  <x:conditionalFormatting sqref="K16:N18">
    <x:cfRule type="expression" dxfId="5" priority="3">
      <x:formula>K16="通过"</x:formula>
    </x:cfRule>
    <x:cfRule type="expression" dxfId="4" priority="4">
      <x:formula>K16="不通过"</x:formula>
    </x:cfRule>
  </x:conditionalFormatting>
  <x:conditionalFormatting sqref="K22:N23">
    <x:cfRule type="expression" dxfId="3" priority="5">
      <x:formula>K22="通过"</x:formula>
    </x:cfRule>
    <x:cfRule type="expression" dxfId="2" priority="6">
      <x:formula>K22="不通过"</x:formula>
    </x:cfRule>
  </x:conditionalFormatting>
  <x:conditionalFormatting sqref="K27:N29">
    <x:cfRule type="expression" dxfId="1" priority="7">
      <x:formula>K27="通过"</x:formula>
    </x:cfRule>
    <x:cfRule type="expression" dxfId="0" priority="8">
      <x:formula>K27="不通过"</x:formula>
    </x:cfRule>
  </x:conditionalFormatting>
  <x:pageMargins left="0.7" right="0.7" top="0.75" bottom="0.75" header="0.3" footer="0.3"/>
  <x:drawing xmlns:r="http://schemas.openxmlformats.org/officeDocument/2006/relationships" r:id="R8923be91b93544cc"/>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x:c r="A1" s="42" t="str">
        <x:v>D1-1a: Trajectory Quality Rubric (100 points)</x:v>
      </x:c>
      <x:c r="B1" s="42"/>
      <x:c r="C1" s="42"/>
      <x:c r="D1" s="42"/>
      <x:c r="E1" s="42"/>
      <x:c r="F1" s="42"/>
      <x:c r="G1" s="42"/>
    </x:row>
    <x:row r="2">
      <x:c r="A2" s="42"/>
      <x:c r="B2" s="42"/>
      <x:c r="C2" s="42"/>
      <x:c r="D2" s="42"/>
      <x:c r="E2" s="42"/>
      <x:c r="F2" s="42"/>
      <x:c r="G2" s="42"/>
    </x:row>
    <x:row r="4">
      <x:c r="A4" s="43" t="str">
        <x:v>Trajectory Quality is scored out of 100. The target is the complete state → plan → action/tool call → observation → update → next action → stop/decision trajectory, not verbatim reproduction of the reference path. Different but reasonable tool-call orders are acceptable if later actions are supported by prior observations and the final engineering decision is complete, coherent, and verifiable. Tool usage efficiency is scored separately and is not included here.</x:v>
      </x:c>
      <x:c r="B4" s="43"/>
      <x:c r="C4" s="43"/>
      <x:c r="D4" s="43"/>
      <x:c r="E4" s="43"/>
      <x:c r="F4" s="43"/>
      <x:c r="G4" s="43"/>
    </x:row>
    <x:row r="5">
      <x:c r="A5" s="43"/>
      <x:c r="B5" s="43"/>
      <x:c r="C5" s="43"/>
      <x:c r="D5" s="43"/>
      <x:c r="E5" s="43"/>
      <x:c r="F5" s="43"/>
      <x:c r="G5" s="43"/>
    </x:row>
    <x:row r="6">
      <x:c r="A6" s="18"/>
      <x:c r="B6" s="18"/>
      <x:c r="C6" s="18"/>
      <x:c r="D6" s="18"/>
      <x:c r="E6" s="18"/>
      <x:c r="F6" s="18"/>
      <x:c r="G6" s="18"/>
    </x:row>
    <x:row r="7" ht="15">
      <x:c r="A7" s="14"/>
      <x:c r="B7" s="15"/>
      <x:c r="C7" s="15"/>
      <x:c r="D7" s="15"/>
      <x:c r="E7" s="15"/>
      <x:c r="F7" s="15"/>
      <x:c r="G7" s="16"/>
    </x:row>
    <x:row r="8" ht="86.0999984741211" customHeight="1">
      <x:c r="A8" s="20" t="str">
        <x:v>Trajectory dimension</x:v>
      </x:c>
      <x:c r="B8" s="21" t="str">
        <x:v>Evaluation focus</x:v>
      </x:c>
      <x:c r="C8" s="21" t="str">
        <x:v>Full-credit evidence</x:v>
      </x:c>
      <x:c r="D8" s="21" t="str">
        <x:v>Partial credit</x:v>
      </x:c>
      <x:c r="E8" s="21" t="str">
        <x:v>Critical failure modes</x:v>
      </x:c>
      <x:c r="F8" s="21" t="str">
        <x:v>Weight</x:v>
      </x:c>
      <x:c r="G8" s="22" t="str">
        <x:v>Score</x:v>
      </x:c>
    </x:row>
    <x:row r="9" ht="84" customHeight="1">
      <x:c r="A9" s="23" t="str">
        <x:v>TQ1 Problem representation and state understanding</x:v>
      </x:c>
      <x:c r="B9" s="1" t="str">
        <x:v>Correctly understand the objective, fixed variables, constraints, and unknowns</x:v>
      </x:c>
      <x:c r="C9" s="1" t="str">
        <x:v>Recognizes a multi-case membrane-area feasibility-window problem; Area is the only design variable; all three cases constrain the design; does not assume larger Area is monotonically better</x:v>
      </x:c>
      <x:c r="D9" s="1" t="str">
        <x:v>Recognizes Area as the variable but searches only for a minimum, or omits an important case/constraint</x:v>
      </x:c>
      <x:c r="E9" s="1" t="str">
        <x:v>Also varies pressure/A/B, or applies a minimum-area safety factor without verification</x:v>
      </x:c>
      <x:c r="F9" s="1">
        <x:v>15</x:v>
      </x:c>
      <x:c r="G9" s="24"/>
    </x:row>
    <x:row r="10" ht="84" customHeight="1">
      <x:c r="A10" s="23" t="str">
        <x:v>TQ2 Planning and decomposition quality</x:v>
      </x:c>
      <x:c r="B10" s="1" t="str">
        <x:v>Decompose the task into causally ordered subproblems</x:v>
      </x:c>
      <x:c r="C10" s="1" t="str">
        <x:v>Screen all cases at one area → identify controlling case → find lower and upper boundaries → choose an interior point → verify all cases</x:v>
      </x:c>
      <x:c r="D10" s="1" t="str">
        <x:v>Overall plan is reasonable but omits upper-bound search or final recheck</x:v>
      </x:c>
      <x:c r="E10" s="1" t="str">
        <x:v>Brute-forces Area × Case combinations or stops at the first passing point</x:v>
      </x:c>
      <x:c r="F10" s="1">
        <x:v>15</x:v>
      </x:c>
      <x:c r="G10" s="24"/>
    </x:row>
    <x:row r="11" ht="84" customHeight="1">
      <x:c r="A11" s="25" t="str">
        <x:v>TQ3 Action / tool-call correctness</x:v>
      </x:c>
      <x:c r="B11" s="17" t="str">
        <x:v>Use correct simulate_ro inputs, units, and actions for the current subgoal</x:v>
      </x:c>
      <x:c r="C11" s="17" t="str">
        <x:v>Keep fixed parameters consistent; vary only area/case as required; handle Qp, Recovery, Flux, Rejection, and NaCl units/thresholds correctly</x:v>
      </x:c>
      <x:c r="D11" s="17" t="str">
        <x:v>Mostly correct calls with minor parameter/unit errors that do not change the conclusion</x:v>
      </x:c>
      <x:c r="E11" s="17" t="str">
        <x:v>Inconsistent inputs, confusion between kg/s and m³/h, or changes unrelated variables and invalidates comparison</x:v>
      </x:c>
      <x:c r="F11" s="17">
        <x:v>20</x:v>
      </x:c>
      <x:c r="G11" s="26"/>
    </x:row>
    <x:row r="12" ht="84" customHeight="1">
      <x:c r="A12" s="23" t="str">
        <x:v>TQ4 Observation interpretation and state update</x:v>
      </x:c>
      <x:c r="B12" s="1" t="str">
        <x:v>Interpret each tool output correctly and update the current state</x:v>
      </x:c>
      <x:c r="C12" s="1" t="str">
        <x:v>At 400 m² identify B as most limiting; 457 fail→458 pass updates lower bound; 463 pass→464 fail updates upper bound; correctly identifies the limiting mechanism shifting from production to rejection</x:v>
      </x:c>
      <x:c r="D12" s="1" t="str">
        <x:v>Pass/fail states are mostly correct but boundary or mechanism interpretation is incomplete</x:v>
      </x:c>
      <x:c r="E12" s="1" t="str">
        <x:v>Misclassifies 458/464, tracks only one metric, or does not maintain both boundaries</x:v>
      </x:c>
      <x:c r="F12" s="1">
        <x:v>20</x:v>
      </x:c>
      <x:c r="G12" s="24"/>
    </x:row>
    <x:row r="13" ht="84" customHeight="1">
      <x:c r="A13" s="23" t="str">
        <x:v>TQ5 Adaptive comparison and replanning</x:v>
      </x:c>
      <x:c r="B13" s="1" t="str">
        <x:v>Use observations to drive replanning and multi-round comparison</x:v>
      </x:c>
      <x:c r="C13" s="1" t="str">
        <x:v>After identifying B, focus the search there; after the lower bound, actively question monotonicity and search for an upper bound; after boundaries are known, recheck A/C</x:v>
      </x:c>
      <x:c r="D13" s="1" t="str">
        <x:v>Some adaptive behavior but mixed with preset enumeration or unnecessary branches</x:v>
      </x:c>
      <x:c r="E13" s="1" t="str">
        <x:v>Call sequence is unrelated to results, or fails to revise the plan after a new failure mechanism appears</x:v>
      </x:c>
      <x:c r="F13" s="19">
        <x:v>20</x:v>
      </x:c>
      <x:c r="G13" s="27"/>
    </x:row>
    <x:row r="14" ht="84" customHeight="1">
      <x:c r="A14" s="28" t="str">
        <x:v>TQ6 Stopping and final engineering decision</x:v>
      </x:c>
      <x:c r="B14" s="29" t="str">
        <x:v>Stop when evidence is sufficient and make an actionable engineering decision</x:v>
      </x:c>
      <x:c r="C14" s="29" t="str">
        <x:v>Obtains robust window 458–463 m²; recommends 460 m² by the benchmark maximin rule; A/B/C verification all pass</x:v>
      </x:c>
      <x:c r="D14" s="29" t="str">
        <x:v>Window/recommendation is mostly correct but one verification or explanation is missing</x:v>
      </x:c>
      <x:c r="E14" s="29" t="str">
        <x:v>Reports only the minimum, recommends 470 m², or stops before evidence is sufficient</x:v>
      </x:c>
      <x:c r="F14" s="29">
        <x:v>10</x:v>
      </x:c>
      <x:c r="G14" s="30"/>
    </x:row>
    <x:row r="15">
      <x:c r="A15" s="44"/>
      <x:c r="B15" s="45"/>
      <x:c r="C15" s="45"/>
      <x:c r="D15" s="45"/>
      <x:c r="E15" s="45"/>
      <x:c r="F15" s="45"/>
      <x:c r="G15" s="46"/>
    </x:row>
    <x:row r="16">
      <x:c r="A16" s="47"/>
      <x:c r="B16" s="48"/>
      <x:c r="C16" s="48"/>
      <x:c r="D16" s="48"/>
      <x:c r="E16" s="48"/>
      <x:c r="F16" s="49" t="str">
        <x:v>Trajectory Quality total</x:v>
      </x:c>
      <x:c r="G16" s="50" t="n">
        <x:v>0</x:v>
      </x:c>
    </x:row>
    <x:row r="17">
      <x:c r="A17" s="51"/>
      <x:c r="B17" s="52"/>
      <x:c r="C17" s="52"/>
      <x:c r="D17" s="52"/>
      <x:c r="E17" s="52"/>
      <x:c r="F17" s="52"/>
      <x:c r="G17" s="53"/>
    </x:row>
    <x:row r="18" ht="15">
      <x:c r="A18" s="56" t="str">
        <x:v>Scoring notes</x:v>
      </x:c>
      <x:c r="B18" s="57"/>
      <x:c r="C18" s="57"/>
      <x:c r="D18" s="57"/>
      <x:c r="E18" s="57"/>
      <x:c r="F18" s="57"/>
      <x:c r="G18" s="58"/>
    </x:row>
    <x:row r="19">
      <x:c r="A19" s="23" t="str">
        <x:v>The reference trajectory is not the only valid answer</x:v>
      </x:c>
      <x:c r="B19" s="1" t="str">
        <x:v>Different bracketing orders are acceptable</x:v>
      </x:c>
      <x:c r="C19" s="1" t="str">
        <x:v>Score based on causal consistency and sufficiency of evidence</x:v>
      </x:c>
      <x:c r="D19" s="1"/>
      <x:c r="E19" s="1"/>
      <x:c r="F19" s="1"/>
      <x:c r="G19" s="24"/>
    </x:row>
    <x:row r="20">
      <x:c r="A20" s="28" t="str">
        <x:v>Difficulty calibration</x:v>
      </x:c>
      <x:c r="B20" s="29" t="str">
        <x:v>Target scientific-computation budget: about 8–10 calls</x:v>
      </x:c>
      <x:c r="C20" s="29" t="str">
        <x:v>Includes case screening, two-sided boundary search, and final verification</x:v>
      </x:c>
      <x:c r="D20" s="29"/>
      <x:c r="E20" s="29"/>
      <x:c r="F20" s="29"/>
      <x:c r="G20" s="30"/>
    </x:row>
    <x:row r="22">
      <x:c r="A22" s="54"/>
      <x:c r="B22" s="54"/>
      <x:c r="C22" s="54"/>
      <x:c r="D22" s="54"/>
      <x:c r="E22" s="54"/>
      <x:c r="F22" s="54"/>
      <x:c r="G22" s="54"/>
    </x:row>
    <x:row r="23">
      <x:c r="A23" s="54"/>
      <x:c r="B23" s="54"/>
      <x:c r="C23" s="54"/>
      <x:c r="D23" s="54"/>
      <x:c r="E23" s="54"/>
      <x:c r="F23" s="54"/>
      <x:c r="G23" s="54"/>
    </x:row>
    <x:row r="24">
      <x:c r="A24" s="54"/>
      <x:c r="B24" s="54"/>
      <x:c r="C24" s="54"/>
      <x:c r="D24" s="54"/>
      <x:c r="E24" s="54"/>
      <x:c r="F24" s="54"/>
      <x:c r="G24" s="54"/>
    </x:row>
    <x:row r="26">
      <x:c r="A26" s="55"/>
      <x:c r="B26" s="55"/>
      <x:c r="C26" s="55"/>
      <x:c r="D26" s="55"/>
      <x:c r="E26" s="55"/>
      <x:c r="F26" s="55"/>
      <x:c r="G26" s="55"/>
    </x:row>
    <x:row r="27">
      <x:c r="A27" s="55"/>
      <x:c r="B27" s="55"/>
      <x:c r="C27" s="55"/>
      <x:c r="D27" s="55"/>
      <x:c r="E27" s="55"/>
      <x:c r="F27" s="55"/>
      <x:c r="G27" s="55"/>
    </x:row>
  </x:sheetData>
  <x:mergeCells>
    <x:mergeCell ref="A1:G2"/>
    <x:mergeCell ref="A4:G5"/>
    <x:mergeCell ref="A15:G17"/>
    <x:mergeCell ref="A22:G24"/>
    <x:mergeCell ref="A26:G27"/>
    <x:mergeCell ref="A18:G18"/>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x:c r="A1" s="42" t="str">
        <x:v>D1-1a: Tool Usage Efficiency (100 points)</x:v>
      </x:c>
      <x:c r="B1" s="42"/>
      <x:c r="C1" s="42"/>
      <x:c r="D1" s="42"/>
      <x:c r="E1" s="42"/>
      <x:c r="F1" s="42"/>
      <x:c r="G1" s="42"/>
    </x:row>
    <x:row r="2">
      <x:c r="A2" s="42"/>
      <x:c r="B2" s="42"/>
      <x:c r="C2" s="42"/>
      <x:c r="D2" s="42"/>
      <x:c r="E2" s="42"/>
      <x:c r="F2" s="42"/>
      <x:c r="G2" s="42"/>
    </x:row>
    <x:row r="4">
      <x:c r="A4" s="43" t="str">
        <x:v>Tool usage efficiency is scored separately out of 100 and is not included in the Trajectory Quality score. The main scientific tool is simulate_ro. The reference efficient trajectory uses about 10 scientific-computation calls. Call count is secondary; the core criteria are information gain, adaptive selection of the next action, timely pruning, and stopping once evidence is sufficient.</x:v>
      </x:c>
      <x:c r="B4" s="43"/>
      <x:c r="C4" s="43"/>
      <x:c r="D4" s="43"/>
      <x:c r="E4" s="43"/>
      <x:c r="F4" s="43"/>
      <x:c r="G4" s="43"/>
    </x:row>
    <x:row r="5">
      <x:c r="A5" s="43"/>
      <x:c r="B5" s="43"/>
      <x:c r="C5" s="43"/>
      <x:c r="D5" s="43"/>
      <x:c r="E5" s="43"/>
      <x:c r="F5" s="43"/>
      <x:c r="G5" s="43"/>
    </x:row>
    <x:row r="6">
      <x:c r="A6" s="43"/>
      <x:c r="B6" s="43"/>
      <x:c r="C6" s="43"/>
      <x:c r="D6" s="43"/>
      <x:c r="E6" s="43"/>
      <x:c r="F6" s="43"/>
      <x:c r="G6" s="43"/>
    </x:row>
    <x:row r="8" ht="15">
      <x:c r="A8" s="20" t="str">
        <x:v>Efficiency dimension</x:v>
      </x:c>
      <x:c r="B8" s="21" t="str">
        <x:v>Evaluation focus</x:v>
      </x:c>
      <x:c r="C8" s="21" t="str">
        <x:v>Full-credit performance</x:v>
      </x:c>
      <x:c r="D8" s="21" t="str">
        <x:v>Moderate performance</x:v>
      </x:c>
      <x:c r="E8" s="21" t="str">
        <x:v>Low performance</x:v>
      </x:c>
      <x:c r="F8" s="21" t="str">
        <x:v>Task-specific evidence</x:v>
      </x:c>
      <x:c r="G8" s="22" t="str">
        <x:v>Points</x:v>
      </x:c>
    </x:row>
    <x:row r="9" ht="81.94999694824219" customHeight="1">
      <x:c r="A9" s="23" t="str">
        <x:v>E1 Tool selection and necessity</x:v>
      </x:c>
      <x:c r="B9" s="1" t="str">
        <x:v>Choose the correct tool and avoid irrelevant tools</x:v>
      </x:c>
      <x:c r="C9" s="1" t="str">
        <x:v>Use simulate_ro for scientific calculations, with each call directly serving the current decision</x:v>
      </x:c>
      <x:c r="D9" s="1" t="str">
        <x:v>A few unnecessary metadata/exploratory calls</x:v>
      </x:c>
      <x:c r="E9" s="1" t="str">
        <x:v>Wrong tools or many irrelevant calls</x:v>
      </x:c>
      <x:c r="F9" s="1" t="str">
        <x:v>simulate_ro is sufficient; describe_ro_parameters is only needed if the input schema is genuinely unclear</x:v>
      </x:c>
      <x:c r="G9" s="24">
        <x:v>20</x:v>
      </x:c>
    </x:row>
    <x:row r="10" ht="81.94999694824219" customHeight="1">
      <x:c r="A10" s="23" t="str">
        <x:v>E2 Information gain and call ordering</x:v>
      </x:c>
      <x:c r="B10" s="1" t="str">
        <x:v>Prioritize high-information calls</x:v>
      </x:c>
      <x:c r="C10" s="1" t="str">
        <x:v>Establish baseline/screening/coarse intervals first, then refine only where uncertainty remains</x:v>
      </x:c>
      <x:c r="D10" s="1" t="str">
        <x:v>Mostly reasonable ordering but with some low-information calls</x:v>
      </x:c>
      <x:c r="E10" s="1" t="str">
        <x:v>Starts with dense grid scanning before structuring the problem</x:v>
      </x:c>
      <x:c r="F10" s="1" t="str">
        <x:v>First screen A/B/C at the same area, then enter boundary search</x:v>
      </x:c>
      <x:c r="G10" s="24">
        <x:v>20</x:v>
      </x:c>
    </x:row>
    <x:row r="11" ht="81.94999694824219" customHeight="1">
      <x:c r="A11" s="23" t="str">
        <x:v>E3 Adaptive iteration</x:v>
      </x:c>
      <x:c r="B11" s="1" t="str">
        <x:v>Make the next call depend on the previous observation</x:v>
      </x:c>
      <x:c r="C11" s="1" t="str">
        <x:v>Dynamically choose the next input from fail/pass status, shortlist state, and risk type</x:v>
      </x:c>
      <x:c r="D11" s="1" t="str">
        <x:v>Partly adaptive, mixed with preset enumeration</x:v>
      </x:c>
      <x:c r="E11" s="1" t="str">
        <x:v>Call sequence is largely independent of prior results</x:v>
      </x:c>
      <x:c r="F11" s="1" t="str">
        <x:v>Fail/pass determines the next area point; after the lower bound is found, actively search for an upper bound</x:v>
      </x:c>
      <x:c r="G11" s="24">
        <x:v>20</x:v>
      </x:c>
    </x:row>
    <x:row r="12" ht="81.94999694824219" customHeight="1">
      <x:c r="A12" s="23" t="str">
        <x:v>E4 Pruning and redundancy control</x:v>
      </x:c>
      <x:c r="B12" s="1" t="str">
        <x:v>Prune resolved branches and avoid redundant calls</x:v>
      </x:c>
      <x:c r="C12" s="1" t="str">
        <x:v>Stop branches once evidence is sufficient; do not repeat equivalent inputs</x:v>
      </x:c>
      <x:c r="D12" s="1" t="str">
        <x:v>A small amount of repetition or 1–2 extra known points</x:v>
      </x:c>
      <x:c r="E12" s="1" t="str">
        <x:v>Continues extensive testing of eliminated options or brute-forces all combinations</x:v>
      </x:c>
      <x:c r="F12" s="1" t="str">
        <x:v>After Case B is identified, do not run large area scans on A/C; only recheck them at the final recommendation</x:v>
      </x:c>
      <x:c r="G12" s="24">
        <x:v>20</x:v>
      </x:c>
    </x:row>
    <x:row r="13" ht="81.94999694824219" customHeight="1">
      <x:c r="A13" s="28" t="str">
        <x:v>E5 Convergence and stopping</x:v>
      </x:c>
      <x:c r="B13" s="29" t="str">
        <x:v>Converge with a reasonable call budget and stop when evidence is sufficient</x:v>
      </x:c>
      <x:c r="C13" s="29" t="str">
        <x:v>About 9–11 calls with complete evidence and no obvious redundancy</x:v>
      </x:c>
      <x:c r="D13" s="29" t="str">
        <x:v>About 12–14 calls with minor redundancy but still adaptive</x:v>
      </x:c>
      <x:c r="E13" s="29" t="str">
        <x:v>&gt;14 calls with heavy enumeration/repetition, or too few calls to support the boundaries</x:v>
      </x:c>
      <x:c r="F13" s="29" t="str">
        <x:v>Reference trajectory ≈10 calls; other efficient adaptive paths can receive full credit</x:v>
      </x:c>
      <x:c r="G13" s="30">
        <x:v>20</x:v>
      </x:c>
    </x:row>
    <x:row r="15" ht="15">
      <x:c r="F15" s="31" t="str">
        <x:v>Tool-efficiency total</x:v>
      </x:c>
      <x:c r="G15" s="32" t="n">
        <x:v>100</x:v>
      </x:c>
    </x:row>
    <x:row r="17">
      <x:c r="A17" s="59"/>
      <x:c r="B17" s="59"/>
      <x:c r="C17" s="59"/>
      <x:c r="D17" s="59"/>
      <x:c r="E17" s="59"/>
      <x:c r="F17" s="59"/>
      <x:c r="G17" s="59"/>
    </x:row>
    <x:row r="18">
      <x:c r="A18" s="59"/>
      <x:c r="B18" s="59"/>
      <x:c r="C18" s="59"/>
      <x:c r="D18" s="59"/>
      <x:c r="E18" s="59"/>
      <x:c r="F18" s="59"/>
      <x:c r="G18" s="59"/>
    </x:row>
    <x:row r="19">
      <x:c r="A19" s="59"/>
      <x:c r="B19" s="59"/>
      <x:c r="C19" s="59"/>
      <x:c r="D19" s="59"/>
      <x:c r="E19" s="59"/>
      <x:c r="F19" s="59"/>
      <x:c r="G19" s="59"/>
    </x:row>
    <x:row r="20">
      <x:c r="A20" s="59"/>
      <x:c r="B20" s="59"/>
      <x:c r="C20" s="59"/>
      <x:c r="D20" s="59"/>
      <x:c r="E20" s="59"/>
      <x:c r="F20" s="59"/>
      <x:c r="G20" s="59"/>
    </x:row>
  </x:sheetData>
  <x:mergeCells>
    <x:mergeCell ref="A1:G2"/>
    <x:mergeCell ref="A4:G6"/>
    <x:mergeCell ref="A17:G20"/>
  </x:mergeCells>
  <x:pageMargins left="0.7" right="0.7" top="0.75" bottom="0.75" header="0.3" footer="0.3"/>
</x:worksheet>
</file>