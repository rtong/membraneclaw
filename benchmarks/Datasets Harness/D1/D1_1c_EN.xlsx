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fe25dc95a94360" /></Relationships>
</file>

<file path=xl/workbook.xml><?xml version="1.0" encoding="utf-8"?>
<x:workbook xmlns:x="http://schemas.openxmlformats.org/spreadsheetml/2006/main">
  <x:sheets>
    <x:sheet xmlns:r="http://schemas.openxmlformats.org/officeDocument/2006/relationships" name="Question" sheetId="1" r:id="Re5055d50832f4f78"/>
    <x:sheet xmlns:r="http://schemas.openxmlformats.org/officeDocument/2006/relationships" name="Gold_Answer" sheetId="2" r:id="R1591ca15e7f2499a"/>
    <x:sheet xmlns:r="http://schemas.openxmlformats.org/officeDocument/2006/relationships" name="Trajectory_Rubric" sheetId="3" r:id="Rb8937ba83a804b7c"/>
    <x:sheet xmlns:r="http://schemas.openxmlformats.org/officeDocument/2006/relationships" name="Tool_Efficiency" sheetId="4" r:id="Rc80ed262d71343cd"/>
  </x:sheets>
</x:workbook>
</file>

<file path=xl/sharedStrings.xml><?xml version="1.0" encoding="utf-8"?>
<x:sst xmlns:x="http://schemas.openxmlformats.org/spreadsheetml/2006/main">
  <x:si>
    <x:t xml:space="preserve">Case</x:t>
  </x:si>
  <x:si>
    <x:t xml:space="preserve">Feed mass flow</x:t>
  </x:si>
  <x:si>
    <x:t xml:space="preserve">kg/s</x:t>
  </x:si>
  <x:si>
    <x:t xml:space="preserve">Membrane area</x:t>
  </x:si>
  <x:si>
    <x:t xml:space="preserve">m²</x:t>
  </x:si>
  <x:si>
    <x:t xml:space="preserve">A_comp</x:t>
  </x:si>
  <x:si>
    <x:t xml:space="preserve">m/s/Pa</x:t>
  </x:si>
  <x:si>
    <x:t xml:space="preserve">B_comp</x:t>
  </x:si>
  <x:si>
    <x:t xml:space="preserve">m/s</x:t>
  </x:si>
  <x:si>
    <x:t xml:space="preserve">Permeate pressure</x:t>
  </x:si>
  <x:si>
    <x:t xml:space="preserve">bar</x:t>
  </x:si>
  <x:si>
    <x:t xml:space="preserve">Pressure drop</x:t>
  </x:si>
  <x:si>
    <x:t xml:space="preserve">Qp</x:t>
  </x:si>
  <x:si>
    <x:t xml:space="preserve">≥ 6.30 m³/h</x:t>
  </x:si>
  <x:si>
    <x:t xml:space="preserve">Channel height</x:t>
  </x:si>
  <x:si>
    <x:t xml:space="preserve">m</x:t>
  </x:si>
  <x:si>
    <x:t xml:space="preserve">Recovery</x:t>
  </x:si>
  <x:si>
    <x:t xml:space="preserve">≤ 46.0%</x:t>
  </x:si>
  <x:si>
    <x:t xml:space="preserve">Spacer porosity</x:t>
  </x:si>
  <x:si>
    <x:t xml:space="preserve">-</x:t>
  </x:si>
  <x:si>
    <x:t xml:space="preserve">Flux</x:t>
  </x:si>
  <x:si>
    <x:t xml:space="preserve">≤ 18 LMH</x:t>
  </x:si>
  <x:si>
    <x:t xml:space="preserve">Module length</x:t>
  </x:si>
  <x:si>
    <x:t xml:space="preserve">Rejection</x:t>
  </x:si>
  <x:si>
    <x:t xml:space="preserve">≥ 98.7%</x:t>
  </x:si>
  <x:si>
    <x:t xml:space="preserve">Permeate NaCl</x:t>
  </x:si>
  <x:si>
    <x:t xml:space="preserve">≤ 400 mg/L</x:t>
  </x:si>
  <x:si>
    <x:t xml:space="preserve">Pressure bar</x:t>
  </x:si>
  <x:si>
    <x:t xml:space="preserve">NaCl frac</x:t>
  </x:si>
  <x:si>
    <x:t xml:space="preserve">T °C</x:t>
  </x:si>
  <x:si>
    <x:t xml:space="preserve">Permeate kg/s</x:t>
  </x:si>
  <x:si>
    <x:t xml:space="preserve">Qp m³/h</x:t>
  </x:si>
  <x:si>
    <x:t xml:space="preserve">Flux LMH</x:t>
  </x:si>
  <x:si>
    <x:t xml:space="preserve">Recovery %</x:t>
  </x:si>
  <x:si>
    <x:t xml:space="preserve">Rejection %</x:t>
  </x:si>
  <x:si>
    <x:t xml:space="preserve">NaCl mg/L</x:t>
  </x:si>
  <x:si>
    <x:t xml:space="preserve">Case A</x:t>
  </x:si>
  <x:si>
    <x:t xml:space="preserve">Case C</x:t>
  </x:si>
  <x:si>
    <x:t xml:space="preserve">MAX=53.50 bar</x:t>
  </x:si>
  <x:si>
    <x:t xml:space="preserve">53.50+1.50=55.00 bar</x:t>
  </x:si>
</x:sst>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66">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0" fontId="0" fillId="0" borderId="1"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5" fillId="6" borderId="0" xfId="1" applyFont="1" applyFill="1" applyAlignment="1">
      <x:alignment vertical="top" wrapText="1"/>
    </x:xf>
    <x:xf numFmtId="2" fontId="0" fillId="0" borderId="0" xfId="1" applyNumberFormat="1" applyFont="1" applyAlignment="1">
      <x:alignment vertical="top" wrapText="1"/>
    </x:xf>
    <x:xf numFmtId="2" fontId="0" fillId="0" borderId="7" xfId="1" applyNumberFormat="1" applyFont="1" applyBorder="1" applyAlignment="1">
      <x:alignment vertical="top" wrapText="1"/>
    </x:xf>
    <x:xf numFmtId="0" fontId="3" fillId="11" borderId="13" xfId="1" applyFont="1" applyFill="1" applyBorder="1" applyAlignment="1">
      <x:alignment horizontal="center" vertical="center" wrapText="1"/>
    </x:xf>
    <x:xf numFmtId="0" fontId="3" fillId="11" borderId="14" xfId="1" applyFont="1" applyFill="1" applyBorder="1" applyAlignment="1">
      <x:alignment horizontal="center" vertical="center" wrapText="1"/>
    </x:xf>
    <x:xf numFmtId="0" fontId="3" fillId="11" borderId="15" xfId="1" applyFont="1" applyFill="1" applyBorder="1" applyAlignment="1">
      <x:alignment horizontal="center" vertical="center"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3" fillId="15" borderId="21" xfId="1" applyFont="1" applyFill="1" applyBorder="1" applyAlignment="1">
      <x:alignment horizontal="center" vertical="center" wrapText="1"/>
    </x:xf>
    <x:xf numFmtId="0" fontId="3" fillId="15" borderId="22" xfId="1" applyFont="1" applyFill="1" applyBorder="1" applyAlignment="1">
      <x:alignment horizontal="center" vertical="center" wrapText="1"/>
    </x:xf>
    <x:xf numFmtId="0" fontId="3"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5" fillId="6" borderId="24" xfId="1" applyFont="1" applyFill="1" applyBorder="1" applyAlignment="1">
      <x:alignment vertical="top" wrapText="1"/>
    </x:xf>
    <x:xf numFmtId="0" fontId="6" fillId="7" borderId="28" xfId="1" applyFont="1" applyFill="1" applyBorder="1" applyAlignment="1">
      <x:alignment vertical="top" wrapText="1"/>
    </x:xf>
    <x:xf numFmtId="0" fontId="5" fillId="6" borderId="29" xfId="1" applyFont="1" applyFill="1" applyBorder="1" applyAlignment="1">
      <x:alignment vertical="top" wrapText="1"/>
    </x:xf>
    <x:xf numFmtId="0" fontId="5" fillId="6" borderId="30" xfId="1" applyFont="1" applyFill="1" applyBorder="1" applyAlignment="1">
      <x:alignment vertical="top" wrapText="1"/>
    </x:xf>
    <x:xf numFmtId="0" fontId="5" fillId="6" borderId="31" xfId="1" applyFont="1" applyFill="1" applyBorder="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5" borderId="19" xfId="1" applyFont="1" applyFill="1" applyBorder="1" applyAlignment="1">
      <x:alignment vertical="top" wrapText="1"/>
    </x:xf>
    <x:xf numFmtId="0" fontId="2" fillId="5" borderId="12" xfId="1" applyFont="1" applyFill="1" applyBorder="1" applyAlignment="1">
      <x:alignment vertical="top" wrapText="1"/>
    </x:xf>
    <x:xf numFmtId="0" fontId="2" fillId="5"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cellXfs>
  <x:cellStyles count="2">
    <x:cellStyle name="Normal" xfId="1"/>
    <x:cellStyle name="常规"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7c6afd6ba447ff" /><Relationship Type="http://schemas.openxmlformats.org/officeDocument/2006/relationships/theme" Target="/xl/theme/theme1.xml" Id="Rc51891ae84b64e1a" /><Relationship Type="http://schemas.openxmlformats.org/officeDocument/2006/relationships/sharedStrings" Target="/xl/sharedStrings.xml" Id="R149490a8555c4f0d" /><Relationship Type="http://schemas.openxmlformats.org/officeDocument/2006/relationships/worksheet" Target="/xl/worksheets/sheet1.xml" Id="Re5055d50832f4f78" /><Relationship Type="http://schemas.openxmlformats.org/officeDocument/2006/relationships/worksheet" Target="/xl/worksheets/sheet2.xml" Id="R1591ca15e7f2499a" /><Relationship Type="http://schemas.openxmlformats.org/officeDocument/2006/relationships/worksheet" Target="/xl/worksheets/sheet3.xml" Id="Rb8937ba83a804b7c" /><Relationship Type="http://schemas.openxmlformats.org/officeDocument/2006/relationships/worksheet" Target="/xl/worksheets/sheet4.xml" Id="Rc80ed262d71343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9371e22856aa4d92"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多工况压力搜索轨迹</a:t>
            </a:r>
          </a:p>
        </c:rich>
      </c:tx>
    </c:title>
    <c:autoTitleDeleted val="0"/>
    <c:plotArea>
      <c:lineChart>
        <c:grouping val="standard"/>
        <c:varyColors val="0"/>
        <c:ser>
          <c:idx val="0"/>
          <c:order val="0"/>
          <c:tx>
            <c:v>Pressure bar</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分步答案_A!$B$8:$B$18</c:f>
              <c:numCache>
                <c:formatCode>0.00</c:formatCode>
                <c:ptCount val="11"/>
                <c:pt idx="0">
                  <c:v>50</c:v>
                </c:pt>
                <c:pt idx="1">
                  <c:v>51</c:v>
                </c:pt>
                <c:pt idx="2">
                  <c:v>50.42</c:v>
                </c:pt>
                <c:pt idx="3">
                  <c:v>50.45</c:v>
                </c:pt>
                <c:pt idx="4">
                  <c:v>52</c:v>
                </c:pt>
                <c:pt idx="5">
                  <c:v>54</c:v>
                </c:pt>
                <c:pt idx="6">
                  <c:v>53.45</c:v>
                </c:pt>
                <c:pt idx="7">
                  <c:v>53.5</c:v>
                </c:pt>
                <c:pt idx="8">
                  <c:v>51</c:v>
                </c:pt>
                <c:pt idx="9">
                  <c:v>51.15</c:v>
                </c:pt>
                <c:pt idx="10">
                  <c:v>51.2</c:v>
                </c:pt>
              </c:numCache>
            </c:numRef>
          </c:val>
        </c:ser>
        <c:ser>
          <c:idx val="1"/>
          <c:order val="1"/>
          <c:tx>
            <c:v>NaCl frac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分步答案_A!$C$8:$C$18</c:f>
              <c:numCache>
                <c:formatCode>0.000</c:formatCode>
                <c:ptCount val="11"/>
                <c:pt idx="0">
                  <c:v>0.03</c:v>
                </c:pt>
                <c:pt idx="1">
                  <c:v>0.03</c:v>
                </c:pt>
                <c:pt idx="2">
                  <c:v>0.03</c:v>
                </c:pt>
                <c:pt idx="3">
                  <c:v>0.03</c:v>
                </c:pt>
                <c:pt idx="4">
                  <c:v>0.033</c:v>
                </c:pt>
                <c:pt idx="5">
                  <c:v>0.033</c:v>
                </c:pt>
                <c:pt idx="6">
                  <c:v>0.033</c:v>
                </c:pt>
                <c:pt idx="7">
                  <c:v>0.033</c:v>
                </c:pt>
                <c:pt idx="8">
                  <c:v>0.03</c:v>
                </c:pt>
                <c:pt idx="9">
                  <c:v>0.03</c:v>
                </c:pt>
                <c:pt idx="10">
                  <c:v>0.03</c:v>
                </c:pt>
              </c:numCache>
            </c:numRef>
          </c:val>
        </c:ser>
        <c:ser>
          <c:idx val="2"/>
          <c:order val="2"/>
          <c:tx>
            <c:v>T °C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分步答案_A!$D$8:$D$18</c:f>
              <c:numCache>
                <c:formatCode>General</c:formatCode>
                <c:ptCount val="11"/>
                <c:pt idx="0">
                  <c:v>32</c:v>
                </c:pt>
                <c:pt idx="1">
                  <c:v>32</c:v>
                </c:pt>
                <c:pt idx="2">
                  <c:v>32</c:v>
                </c:pt>
                <c:pt idx="3">
                  <c:v>32</c:v>
                </c:pt>
                <c:pt idx="4">
                  <c:v>25</c:v>
                </c:pt>
                <c:pt idx="5">
                  <c:v>25</c:v>
                </c:pt>
                <c:pt idx="6">
                  <c:v>25</c:v>
                </c:pt>
                <c:pt idx="7">
                  <c:v>25</c:v>
                </c:pt>
                <c:pt idx="8">
                  <c:v>38</c:v>
                </c:pt>
                <c:pt idx="9">
                  <c:v>38</c:v>
                </c:pt>
                <c:pt idx="10">
                  <c:v>38</c:v>
                </c:pt>
              </c:numCache>
            </c:numRef>
          </c:val>
        </c:ser>
        <c:ser>
          <c:idx val="3"/>
          <c:order val="3"/>
          <c:tx>
            <c:v>Permeate kg/s</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分步答案_A!$E$8:$E$18</c:f>
              <c:numCache>
                <c:formatCode>0.000</c:formatCode>
                <c:ptCount val="11"/>
                <c:pt idx="0">
                  <c:v>1.7275890216241345</c:v>
                </c:pt>
                <c:pt idx="1">
                  <c:v>1.780216269284124</c:v>
                </c:pt>
                <c:pt idx="2">
                  <c:v>1.7498339204003663</c:v>
                </c:pt>
                <c:pt idx="3">
                  <c:v>1.751414956807267</c:v>
                </c:pt>
                <c:pt idx="4">
                  <c:v>1.673902295258118</c:v>
                </c:pt>
                <c:pt idx="5">
                  <c:v>1.7754807096229097</c:v>
                </c:pt>
                <c:pt idx="6">
                  <c:v>1.747958080331451</c:v>
                </c:pt>
                <c:pt idx="7">
                  <c:v>1.750472780905319</c:v>
                </c:pt>
                <c:pt idx="8">
                  <c:v>1.7419891415730817</c:v>
                </c:pt>
                <c:pt idx="9">
                  <c:v>1.7498288048397266</c:v>
                </c:pt>
                <c:pt idx="10">
                  <c:v>1.7524363721089342</c:v>
                </c:pt>
              </c:numCache>
            </c:numRef>
          </c:val>
        </c:ser>
        <c:ser>
          <c:idx val="4"/>
          <c:order val="4"/>
          <c:tx>
            <c:v>Qp m³/h</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分步答案_A!$F$8:$F$18</c:f>
              <c:numCache>
                <c:formatCode>0.000</c:formatCode>
                <c:ptCount val="11"/>
                <c:pt idx="0">
                  <c:v>6.2193204778468845</c:v>
                </c:pt>
                <c:pt idx="1">
                  <c:v>6.4087785694228465</c:v>
                </c:pt>
                <c:pt idx="2">
                  <c:v>6.299402113441319</c:v>
                </c:pt>
                <c:pt idx="3">
                  <c:v>6.305093844506161</c:v>
                </c:pt>
                <c:pt idx="4">
                  <c:v>6.0260482629292245</c:v>
                </c:pt>
                <c:pt idx="5">
                  <c:v>6.391730554642475</c:v>
                </c:pt>
                <c:pt idx="6">
                  <c:v>6.292649089193223</c:v>
                </c:pt>
                <c:pt idx="7">
                  <c:v>6.301702011259149</c:v>
                </c:pt>
                <c:pt idx="8">
                  <c:v>6.271160909663094</c:v>
                </c:pt>
                <c:pt idx="9">
                  <c:v>6.299383697423016</c:v>
                </c:pt>
                <c:pt idx="10">
                  <c:v>6.308770939592163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71e22856aa4d9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be6bebd90174f00" /></Relationships>
</file>

<file path=xl/worksheets/sheet1.xml><?xml version="1.0" encoding="utf-8"?>
<x:worksheet xmlns:x="http://schemas.openxmlformats.org/spreadsheetml/2006/main">
  <x:sheetFormatPr defaultRowHeight="14.25"/>
  <x:cols>
    <x:col min="1" max="1" width="22" customWidth="1"/>
    <x:col min="2" max="2" width="17" customWidth="1"/>
    <x:col min="3" max="3" width="14" customWidth="1"/>
    <x:col min="4" max="4" width="28" customWidth="1"/>
    <x:col min="5" max="5" width="3" customWidth="1"/>
    <x:col min="6" max="6" width="22" customWidth="1"/>
    <x:col min="7" max="7" width="18" customWidth="1"/>
    <x:col min="8" max="8" width="28" customWidth="1"/>
  </x:cols>
  <x:sheetData>
    <x:row r="1">
      <x:c r="A1" s="44" t="str">
        <x:v>D1-1c: High-Pressure Pump Design Pressure Sizing Across Multiple Design Cases</x:v>
      </x:c>
      <x:c r="B1" s="44"/>
      <x:c r="C1" s="44"/>
      <x:c r="D1" s="44"/>
      <x:c r="E1" s="44"/>
      <x:c r="F1" s="44"/>
      <x:c r="G1" s="44"/>
      <x:c r="H1" s="44"/>
    </x:row>
    <x:row r="2">
      <x:c r="A2" s="44"/>
      <x:c r="B2" s="44"/>
      <x:c r="C2" s="44"/>
      <x:c r="D2" s="44"/>
      <x:c r="E2" s="44"/>
      <x:c r="F2" s="44"/>
      <x:c r="G2" s="44"/>
      <x:c r="H2" s="44"/>
    </x:row>
    <x:row r="4">
      <x:c r="A4" s="45" t="str">
        <x:v>A new SWRO system has a fixed membrane area and membrane type, but the high-pressure pump has not yet been selected. One pump must cover the Normal, High-salinity, and Hot-summer design cases. Use multiple simulate_ro calls to determine the minimum feasible membrane-feed pressure for each case, identify the controlling case, and determine the pump rated design pressure. Note: pump rated capability does not mean every case should operate continuously at that pressure.</x:v>
      </x:c>
      <x:c r="B4" s="45"/>
      <x:c r="C4" s="45"/>
      <x:c r="D4" s="45"/>
      <x:c r="E4" s="45"/>
      <x:c r="F4" s="45"/>
      <x:c r="G4" s="45"/>
      <x:c r="H4" s="45"/>
    </x:row>
    <x:row r="5">
      <x:c r="A5" s="45"/>
      <x:c r="B5" s="45"/>
      <x:c r="C5" s="45"/>
      <x:c r="D5" s="45"/>
      <x:c r="E5" s="45"/>
      <x:c r="F5" s="45"/>
      <x:c r="G5" s="45"/>
      <x:c r="H5" s="45"/>
    </x:row>
    <x:row r="6">
      <x:c r="A6" s="45"/>
      <x:c r="B6" s="45"/>
      <x:c r="C6" s="45"/>
      <x:c r="D6" s="45"/>
      <x:c r="E6" s="45"/>
      <x:c r="F6" s="45"/>
      <x:c r="G6" s="45"/>
      <x:c r="H6" s="45"/>
    </x:row>
    <x:row r="8" ht="15">
      <x:c r="A8" s="2" t="str">
        <x:v>Fixed parameters</x:v>
      </x:c>
      <x:c r="B8" s="3" t="str">
        <x:v>Value</x:v>
      </x:c>
      <x:c r="C8" s="3" t="str">
        <x:v>Unit</x:v>
      </x:c>
      <x:c r="D8" s="4" t="str">
        <x:v>Notes</x:v>
      </x:c>
      <x:c r="F8" s="2" t="s">
        <x:v>0</x:v>
      </x:c>
      <x:c r="G8" s="3" t="str">
        <x:v>NaCl mass fraction</x:v>
      </x:c>
      <x:c r="H8" s="4" t="str">
        <x:v>Temperature °C</x:v>
      </x:c>
    </x:row>
    <x:row r="9">
      <x:c r="A9" s="5" t="s">
        <x:v>1</x:v>
      </x:c>
      <x:c r="B9" s="1">
        <x:v>4.0730000000000004</x:v>
      </x:c>
      <x:c r="C9" s="1" t="s">
        <x:v>2</x:v>
      </x:c>
      <x:c r="D9" s="6" t="str">
        <x:v>Fixed</x:v>
      </x:c>
      <x:c r="F9" s="5" t="str">
        <x:v>A Normal</x:v>
      </x:c>
      <x:c r="G9" s="10">
        <x:v>0.03</x:v>
      </x:c>
      <x:c r="H9" s="6">
        <x:v>32</x:v>
      </x:c>
    </x:row>
    <x:row r="10">
      <x:c r="A10" s="5" t="s">
        <x:v>3</x:v>
      </x:c>
      <x:c r="B10" s="1">
        <x:v>400</x:v>
      </x:c>
      <x:c r="C10" s="1" t="s">
        <x:v>4</x:v>
      </x:c>
      <x:c r="D10" s="6" t="str">
        <x:v>Fixed</x:v>
      </x:c>
      <x:c r="F10" s="5" t="str">
        <x:v>B High salinity</x:v>
      </x:c>
      <x:c r="G10" s="10">
        <x:v>3.3000000000000002E-2</x:v>
      </x:c>
      <x:c r="H10" s="6">
        <x:v>25</x:v>
      </x:c>
    </x:row>
    <x:row r="11">
      <x:c r="A11" s="5" t="s">
        <x:v>5</x:v>
      </x:c>
      <x:c r="B11" s="1">
        <x:v>4.1999999999999999E-12</x:v>
      </x:c>
      <x:c r="C11" s="1" t="s">
        <x:v>6</x:v>
      </x:c>
      <x:c r="D11" s="6" t="str">
        <x:v>Fixed</x:v>
      </x:c>
      <x:c r="F11" s="7" t="str">
        <x:v>C Hot summer</x:v>
      </x:c>
      <x:c r="G11" s="11">
        <x:v>0.03</x:v>
      </x:c>
      <x:c r="H11" s="9">
        <x:v>38</x:v>
      </x:c>
    </x:row>
    <x:row r="12">
      <x:c r="A12" s="5" t="s">
        <x:v>7</x:v>
      </x:c>
      <x:c r="B12" s="1">
        <x:v>3.4E-8</x:v>
      </x:c>
      <x:c r="C12" s="1" t="s">
        <x:v>8</x:v>
      </x:c>
      <x:c r="D12" s="6" t="str">
        <x:v>Fixed</x:v>
      </x:c>
    </x:row>
    <x:row r="13" ht="15.75">
      <x:c r="A13" s="5" t="s">
        <x:v>9</x:v>
      </x:c>
      <x:c r="B13" s="1">
        <x:v>1.0129999999999999</x:v>
      </x:c>
      <x:c r="C13" s="1" t="s">
        <x:v>10</x:v>
      </x:c>
      <x:c r="D13" s="6" t="str">
        <x:v>Fixed</x:v>
      </x:c>
      <x:c r="F13" s="46" t="str">
        <x:v>Common hard constraints</x:v>
      </x:c>
      <x:c r="G13" s="46"/>
      <x:c r="H13" s="46"/>
    </x:row>
    <x:row r="14">
      <x:c r="A14" s="5" t="s">
        <x:v>11</x:v>
      </x:c>
      <x:c r="B14" s="1">
        <x:v>0.65300000000000002</x:v>
      </x:c>
      <x:c r="C14" s="1" t="s">
        <x:v>10</x:v>
      </x:c>
      <x:c r="D14" s="6" t="str">
        <x:v>Fixed</x:v>
      </x:c>
      <x:c r="F14" s="12" t="s">
        <x:v>12</x:v>
      </x:c>
      <x:c r="G14" s="13" t="s">
        <x:v>13</x:v>
      </x:c>
      <x:c r="H14" s="14" t="str">
        <x:v>Each case</x:v>
      </x:c>
    </x:row>
    <x:row r="15">
      <x:c r="A15" s="5" t="s">
        <x:v>14</x:v>
      </x:c>
      <x:c r="B15" s="1">
        <x:v>2E-3</x:v>
      </x:c>
      <x:c r="C15" s="1" t="s">
        <x:v>15</x:v>
      </x:c>
      <x:c r="D15" s="6" t="str">
        <x:v>Fixed</x:v>
      </x:c>
      <x:c r="F15" s="5" t="s">
        <x:v>16</x:v>
      </x:c>
      <x:c r="G15" s="1" t="s">
        <x:v>17</x:v>
      </x:c>
      <x:c r="H15" s="6" t="str">
        <x:v>Each case</x:v>
      </x:c>
    </x:row>
    <x:row r="16">
      <x:c r="A16" s="5" t="s">
        <x:v>18</x:v>
      </x:c>
      <x:c r="B16" s="1">
        <x:v>0.75</x:v>
      </x:c>
      <x:c r="C16" s="1" t="s">
        <x:v>19</x:v>
      </x:c>
      <x:c r="D16" s="6" t="str">
        <x:v>Fixed</x:v>
      </x:c>
      <x:c r="F16" s="5" t="s">
        <x:v>20</x:v>
      </x:c>
      <x:c r="G16" s="1" t="s">
        <x:v>21</x:v>
      </x:c>
      <x:c r="H16" s="6" t="str">
        <x:v>Each case</x:v>
      </x:c>
    </x:row>
    <x:row r="17">
      <x:c r="A17" s="7" t="s">
        <x:v>22</x:v>
      </x:c>
      <x:c r="B17" s="8">
        <x:v>20</x:v>
      </x:c>
      <x:c r="C17" s="8" t="s">
        <x:v>15</x:v>
      </x:c>
      <x:c r="D17" s="9" t="str">
        <x:v>Fixed</x:v>
      </x:c>
      <x:c r="F17" s="5" t="s">
        <x:v>23</x:v>
      </x:c>
      <x:c r="G17" s="1" t="s">
        <x:v>24</x:v>
      </x:c>
      <x:c r="H17" s="6" t="str">
        <x:v>Each case</x:v>
      </x:c>
    </x:row>
    <x:row r="18">
      <x:c r="F18" s="7" t="s">
        <x:v>25</x:v>
      </x:c>
      <x:c r="G18" s="8" t="s">
        <x:v>26</x:v>
      </x:c>
      <x:c r="H18" s="9" t="str">
        <x:v>Each case</x:v>
      </x:c>
    </x:row>
    <x:row r="20" ht="15.75">
      <x:c r="A20" s="46" t="str">
        <x:v>Task requirements</x:v>
      </x:c>
      <x:c r="B20" s="46"/>
      <x:c r="C20" s="46"/>
      <x:c r="D20" s="46"/>
      <x:c r="E20" s="46"/>
      <x:c r="F20" s="46"/>
      <x:c r="G20" s="46"/>
      <x:c r="H20" s="46"/>
    </x:row>
    <x:row r="21" ht="44.099998474121094" customHeight="1">
      <x:c r="A21" s="47" t="str">
        <x:v>1. E1 — Identify this as multi-case design-pressure sizing. Membrane area and A/B are fixed; each case requires an independent minimum feasible pressure.</x:v>
      </x:c>
      <x:c r="B21" s="48"/>
      <x:c r="C21" s="48"/>
      <x:c r="D21" s="48"/>
      <x:c r="E21" s="48"/>
      <x:c r="F21" s="48"/>
      <x:c r="G21" s="48"/>
      <x:c r="H21" s="49"/>
    </x:row>
    <x:row r="22" ht="44.099998474121094" customHeight="1">
      <x:c r="A22" s="47" t="str">
        <x:v>2. E2 — For any case, start with one reasonably low pressure point, run simulate_ro, and identify the currently failing constraint(s).</x:v>
      </x:c>
      <x:c r="B22" s="48"/>
      <x:c r="C22" s="48"/>
      <x:c r="D22" s="48"/>
      <x:c r="E22" s="48"/>
      <x:c r="F22" s="48"/>
      <x:c r="G22" s="48"/>
      <x:c r="H22" s="49"/>
    </x:row>
    <x:row r="23" ht="44.099998474121094" customHeight="1">
      <x:c r="A23" s="47" t="str">
        <x:v>3. E3 — Build a fail/pass bracket for each case, then refine to 0.05 bar resolution. Avoid mechanically scanning upward in 0.05 bar steps from a low pressure.</x:v>
      </x:c>
      <x:c r="B23" s="48"/>
      <x:c r="C23" s="48"/>
      <x:c r="D23" s="48"/>
      <x:c r="E23" s="48"/>
      <x:c r="F23" s="48"/>
      <x:c r="G23" s="48"/>
      <x:c r="H23" s="49"/>
    </x:row>
    <x:row r="24" ht="44.099998474121094" customHeight="1">
      <x:c r="A24" s="47" t="str">
        <x:v>4. E4 — Determine Pmin,A, Pmin,B, and Pmin,C, then identify the controlling design pressure.</x:v>
      </x:c>
      <x:c r="B24" s="48"/>
      <x:c r="C24" s="48"/>
      <x:c r="D24" s="48"/>
      <x:c r="E24" s="48"/>
      <x:c r="F24" s="48"/>
      <x:c r="G24" s="48"/>
      <x:c r="H24" s="49"/>
    </x:row>
    <x:row r="25" ht="44.099998474121094" customHeight="1">
      <x:c r="A25" s="47" t="str">
        <x:v>5. E4 — Pump rated design pressure = controlling Pmin + 1.50 bar design margin; round upward to the next 0.5 bar equipment-selection increment.</x:v>
      </x:c>
      <x:c r="B25" s="48"/>
      <x:c r="C25" s="48"/>
      <x:c r="D25" s="48"/>
      <x:c r="E25" s="48"/>
      <x:c r="F25" s="48"/>
      <x:c r="G25" s="48"/>
      <x:c r="H25" s="49"/>
    </x:row>
    <x:row r="26" ht="44.099998474121094" customHeight="1">
      <x:c r="A26" s="47" t="str">
        <x:v>6. Clearly distinguish equipment rating from operation: rated pressure is the pump capability limit, while the Normal case should operate near its own minimum/appropriate pressure rather than continuously at the rated pressure.</x:v>
      </x:c>
      <x:c r="B26" s="48"/>
      <x:c r="C26" s="48"/>
      <x:c r="D26" s="48"/>
      <x:c r="E26" s="48"/>
      <x:c r="F26" s="48"/>
      <x:c r="G26" s="48"/>
      <x:c r="H26" s="49"/>
    </x:row>
    <x:row r="28">
      <x:c r="A28" s="50" t="str">
        <x:v>Search resolution: 0.05 bar. The 1.50 bar design margin and 0.5 bar equipment-selection increment are benchmark-defined rules used to create a unique answer; they should not be presented as universal industry standards.</x:v>
      </x:c>
      <x:c r="B28" s="50"/>
      <x:c r="C28" s="50"/>
      <x:c r="D28" s="50"/>
      <x:c r="E28" s="50"/>
      <x:c r="F28" s="50"/>
      <x:c r="G28" s="50"/>
      <x:c r="H28" s="50"/>
    </x:row>
    <x:row r="29">
      <x:c r="A29" s="50"/>
      <x:c r="B29" s="50"/>
      <x:c r="C29" s="50"/>
      <x:c r="D29" s="50"/>
      <x:c r="E29" s="50"/>
      <x:c r="F29" s="50"/>
      <x:c r="G29" s="50"/>
      <x:c r="H29" s="50"/>
    </x:row>
    <x:row r="30">
      <x:c r="A30" s="50"/>
      <x:c r="B30" s="50"/>
      <x:c r="C30" s="50"/>
      <x:c r="D30" s="50"/>
      <x:c r="E30" s="50"/>
      <x:c r="F30" s="50"/>
      <x:c r="G30" s="50"/>
      <x:c r="H30" s="50"/>
    </x:row>
  </x:sheetData>
  <x:mergeCells>
    <x:mergeCell ref="A28:H30"/>
    <x:mergeCell ref="A22:H22"/>
    <x:mergeCell ref="A23:H23"/>
    <x:mergeCell ref="A24:H24"/>
    <x:mergeCell ref="A25:H25"/>
    <x:mergeCell ref="A26:H26"/>
    <x:mergeCell ref="A1:H2"/>
    <x:mergeCell ref="A4:H6"/>
    <x:mergeCell ref="F13:H13"/>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4" width="14" customWidth="1"/>
    <x:col min="5" max="5" width="28" customWidth="1"/>
    <x:col min="6" max="6" width="30" customWidth="1"/>
    <x:col min="7" max="10" width="14" customWidth="1"/>
    <x:col min="11" max="14" width="12" customWidth="1"/>
  </x:cols>
  <x:sheetData>
    <x:row r="1">
      <x:c r="A1" s="44" t="str">
        <x:v>D1-1c: Gold Answer — Independent Pressure Back-Calculation for Three Cases and Design Envelope</x:v>
      </x:c>
      <x:c r="B1" s="44"/>
      <x:c r="C1" s="44"/>
      <x:c r="D1" s="44"/>
      <x:c r="E1" s="44"/>
      <x:c r="F1" s="44"/>
      <x:c r="G1" s="44"/>
      <x:c r="H1" s="44"/>
      <x:c r="I1" s="44"/>
      <x:c r="J1" s="44"/>
      <x:c r="K1" s="44"/>
      <x:c r="L1" s="44"/>
      <x:c r="M1" s="44"/>
      <x:c r="N1" s="44"/>
    </x:row>
    <x:row r="2">
      <x:c r="A2" s="44"/>
      <x:c r="B2" s="44"/>
      <x:c r="C2" s="44"/>
      <x:c r="D2" s="44"/>
      <x:c r="E2" s="44"/>
      <x:c r="F2" s="44"/>
      <x:c r="G2" s="44"/>
      <x:c r="H2" s="44"/>
      <x:c r="I2" s="44"/>
      <x:c r="J2" s="44"/>
      <x:c r="K2" s="44"/>
      <x:c r="L2" s="44"/>
      <x:c r="M2" s="44"/>
      <x:c r="N2" s="44"/>
    </x:row>
    <x:row r="4">
      <x:c r="A4" s="51" t="str">
        <x:v>Reference efficient trajectory: about 10 simulate_ro calls. Use a coarse bracket plus boundary refinement for Normal and High-salinity; Hot-summer can be checked directly near the predicted boundary. Compare the three Pmin values and form the final design envelope. Different reasonable bracketing orders can receive equivalent credit.</x:v>
      </x:c>
      <x:c r="B4" s="51"/>
      <x:c r="C4" s="51"/>
      <x:c r="D4" s="51"/>
      <x:c r="E4" s="51"/>
      <x:c r="F4" s="51"/>
      <x:c r="G4" s="51"/>
      <x:c r="H4" s="51"/>
      <x:c r="I4" s="51"/>
      <x:c r="J4" s="51"/>
      <x:c r="K4" s="51"/>
      <x:c r="L4" s="51"/>
      <x:c r="M4" s="51"/>
      <x:c r="N4" s="51"/>
    </x:row>
    <x:row r="5">
      <x:c r="A5" s="51"/>
      <x:c r="B5" s="51"/>
      <x:c r="C5" s="51"/>
      <x:c r="D5" s="51"/>
      <x:c r="E5" s="51"/>
      <x:c r="F5" s="51"/>
      <x:c r="G5" s="51"/>
      <x:c r="H5" s="51"/>
      <x:c r="I5" s="51"/>
      <x:c r="J5" s="51"/>
      <x:c r="K5" s="51"/>
      <x:c r="L5" s="51"/>
      <x:c r="M5" s="51"/>
      <x:c r="N5" s="51"/>
    </x:row>
    <x:row r="7" ht="15">
      <x:c r="A7" s="2" t="s">
        <x:v>0</x:v>
      </x:c>
      <x:c r="B7" s="3" t="s">
        <x:v>27</x:v>
      </x:c>
      <x:c r="C7" s="3" t="s">
        <x:v>28</x:v>
      </x:c>
      <x:c r="D7" s="3" t="s">
        <x:v>29</x:v>
      </x:c>
      <x:c r="E7" s="3" t="s">
        <x:v>30</x:v>
      </x:c>
      <x:c r="F7" s="3" t="s">
        <x:v>31</x:v>
      </x:c>
      <x:c r="G7" s="3" t="s">
        <x:v>32</x:v>
      </x:c>
      <x:c r="H7" s="3" t="s">
        <x:v>33</x:v>
      </x:c>
      <x:c r="I7" s="3" t="s">
        <x:v>34</x:v>
      </x:c>
      <x:c r="J7" s="3" t="s">
        <x:v>35</x:v>
      </x:c>
      <x:c r="K7" s="3" t="str">
        <x:v>Production</x:v>
      </x:c>
      <x:c r="L7" s="3" t="s">
        <x:v>16</x:v>
      </x:c>
      <x:c r="M7" s="3" t="str">
        <x:v>Water quality</x:v>
      </x:c>
      <x:c r="N7" s="4" t="str">
        <x:v>Overall</x:v>
      </x:c>
    </x:row>
    <x:row r="8" ht="15">
      <x:c r="A8" s="5" t="str">
        <x:v>A Normal</x:v>
      </x:c>
      <x:c r="B8" s="16">
        <x:v>50</x:v>
      </x:c>
      <x:c r="C8" s="10">
        <x:v>0.03</x:v>
      </x:c>
      <x:c r="D8" s="1">
        <x:v>32</x:v>
      </x:c>
      <x:c r="E8" s="10">
        <x:v>1.7275890216241345</x:v>
      </x:c>
      <x:c r="F8" s="10">
        <x:f t="shared" ref="F8:F18" si="0">E8*3.6</x:f>
        <x:v>6.2193204778468845</x:v>
      </x:c>
      <x:c r="G8" s="10">
        <x:v>15.5426139982186</x:v>
      </x:c>
      <x:c r="H8" s="10">
        <x:v>43.370407587832581</x:v>
      </x:c>
      <x:c r="I8" s="10">
        <x:v>98.807587422314597</x:v>
      </x:c>
      <x:c r="J8" s="10">
        <x:v>365.77606308406888</x:v>
      </x:c>
      <x:c r="K8" s="1" t="str">
        <x:f t="shared" ref="K8:K18" si="1">IF(F8&gt;=6.3,"通过","不通过")</x:f>
        <x:v>Fail</x:v>
      </x:c>
      <x:c r="L8" s="1" t="str">
        <x:f t="shared" ref="L8:L18" si="2">IF(H8&lt;=46,"通过","不通过")</x:f>
        <x:v>Pass</x:v>
      </x:c>
      <x:c r="M8" s="1" t="str">
        <x:f t="shared" ref="M8:M18" si="3">IF(AND(G8&lt;=18,I8&gt;=98.7,J8&lt;=400),"通过","不通过")</x:f>
        <x:v>Pass</x:v>
      </x:c>
      <x:c r="N8" s="6" t="str">
        <x:f t="shared" ref="N8:N18" si="4">IF(AND(K8="通过",L8="通过",M8="通过"),"通过","不通过")</x:f>
        <x:v>Fail</x:v>
      </x:c>
    </x:row>
    <x:row r="9" ht="15">
      <x:c r="A9" s="5" t="str">
        <x:v>A Normal</x:v>
      </x:c>
      <x:c r="B9" s="16">
        <x:v>51</x:v>
      </x:c>
      <x:c r="C9" s="10">
        <x:v>0.03</x:v>
      </x:c>
      <x:c r="D9" s="1">
        <x:v>32</x:v>
      </x:c>
      <x:c r="E9" s="10">
        <x:v>1.7802162692841239</x:v>
      </x:c>
      <x:c r="F9" s="10">
        <x:f t="shared" si="0"/>
        <x:v>6.4087785694228465</x:v>
      </x:c>
      <x:c r="G9" s="10">
        <x:v>16.016162660682255</x:v>
      </x:c>
      <x:c r="H9" s="10">
        <x:v>44.6917553385804</x:v>
      </x:c>
      <x:c r="I9" s="10">
        <x:v>98.823193950052939</x:v>
      </x:c>
      <x:c r="J9" s="10">
        <x:v>360.99002717632754</x:v>
      </x:c>
      <x:c r="K9" s="1" t="str">
        <x:f t="shared" si="1"/>
        <x:v>Pass</x:v>
      </x:c>
      <x:c r="L9" s="1" t="str">
        <x:f t="shared" si="2"/>
        <x:v>Pass</x:v>
      </x:c>
      <x:c r="M9" s="1" t="str">
        <x:f t="shared" si="3"/>
        <x:v>Pass</x:v>
      </x:c>
      <x:c r="N9" s="6" t="str">
        <x:f t="shared" si="4"/>
        <x:v>Pass</x:v>
      </x:c>
    </x:row>
    <x:row r="10" ht="15">
      <x:c r="A10" s="5" t="str">
        <x:v>A Normal</x:v>
      </x:c>
      <x:c r="B10" s="16">
        <x:v>50.42</x:v>
      </x:c>
      <x:c r="C10" s="10">
        <x:v>0.03</x:v>
      </x:c>
      <x:c r="D10" s="1">
        <x:v>32</x:v>
      </x:c>
      <x:c r="E10" s="10">
        <x:v>1.7498339204003663</x:v>
      </x:c>
      <x:c r="F10" s="10">
        <x:f t="shared" si="0"/>
        <x:v>6.2994021134413192</x:v>
      </x:c>
      <x:c r="G10" s="10">
        <x:v>15.742777611324025</x:v>
      </x:c>
      <x:c r="H10" s="10">
        <x:v>43.928925966682442</x:v>
      </x:c>
      <x:c r="I10" s="10">
        <x:v>98.814369394509441</x:v>
      </x:c>
      <x:c r="J10" s="10">
        <x:v>363.69624774719273</x:v>
      </x:c>
      <x:c r="K10" s="1" t="str">
        <x:f t="shared" si="1"/>
        <x:v>Fail</x:v>
      </x:c>
      <x:c r="L10" s="1" t="str">
        <x:f t="shared" si="2"/>
        <x:v>Pass</x:v>
      </x:c>
      <x:c r="M10" s="1" t="str">
        <x:f t="shared" si="3"/>
        <x:v>Pass</x:v>
      </x:c>
      <x:c r="N10" s="6" t="str">
        <x:f t="shared" si="4"/>
        <x:v>Fail</x:v>
      </x:c>
    </x:row>
    <x:row r="11" ht="15">
      <x:c r="A11" s="5" t="str">
        <x:v>A Normal</x:v>
      </x:c>
      <x:c r="B11" s="16">
        <x:v>50.45</x:v>
      </x:c>
      <x:c r="C11" s="10">
        <x:v>0.03</x:v>
      </x:c>
      <x:c r="D11" s="1">
        <x:v>32</x:v>
      </x:c>
      <x:c r="E11" s="10">
        <x:v>1.751414956807267</x:v>
      </x:c>
      <x:c r="F11" s="10">
        <x:f t="shared" si="0"/>
        <x:v>6.3050938445061613</x:v>
      </x:c>
      <x:c r="G11" s="10">
        <x:v>15.757004043241638</x:v>
      </x:c>
      <x:c r="H11" s="10">
        <x:v>43.968622123830549</x:v>
      </x:c>
      <x:c r="I11" s="10">
        <x:v>98.814840937301867</x:v>
      </x:c>
      <x:c r="J11" s="10">
        <x:v>363.55164031441058</x:v>
      </x:c>
      <x:c r="K11" s="1" t="str">
        <x:f t="shared" si="1"/>
        <x:v>Pass</x:v>
      </x:c>
      <x:c r="L11" s="1" t="str">
        <x:f t="shared" si="2"/>
        <x:v>Pass</x:v>
      </x:c>
      <x:c r="M11" s="1" t="str">
        <x:f t="shared" si="3"/>
        <x:v>Pass</x:v>
      </x:c>
      <x:c r="N11" s="6" t="str">
        <x:f t="shared" si="4"/>
        <x:v>Pass</x:v>
      </x:c>
    </x:row>
    <x:row r="12" ht="15">
      <x:c r="A12" s="5" t="str">
        <x:v>B High salinity</x:v>
      </x:c>
      <x:c r="B12" s="16">
        <x:v>52</x:v>
      </x:c>
      <x:c r="C12" s="10">
        <x:v>3.3000000000000002E-2</x:v>
      </x:c>
      <x:c r="D12" s="1">
        <x:v>25</x:v>
      </x:c>
      <x:c r="E12" s="10">
        <x:v>1.673902295258118</x:v>
      </x:c>
      <x:c r="F12" s="10">
        <x:f t="shared" si="0"/>
        <x:v>6.0260482629292245</x:v>
      </x:c>
      <x:c r="G12" s="10">
        <x:v>15.058969697070832</x:v>
      </x:c>
      <x:c r="H12" s="10">
        <x:v>42.114916021583241</x:v>
      </x:c>
      <x:c r="I12" s="10">
        <x:v>98.792641838593383</x:v>
      </x:c>
      <x:c r="J12" s="10">
        <x:v>408.29146955656955</x:v>
      </x:c>
      <x:c r="K12" s="1" t="str">
        <x:f t="shared" si="1"/>
        <x:v>Fail</x:v>
      </x:c>
      <x:c r="L12" s="1" t="str">
        <x:f t="shared" si="2"/>
        <x:v>Pass</x:v>
      </x:c>
      <x:c r="M12" s="1" t="str">
        <x:f t="shared" si="3"/>
        <x:v>Fail</x:v>
      </x:c>
      <x:c r="N12" s="6" t="str">
        <x:f t="shared" si="4"/>
        <x:v>Fail</x:v>
      </x:c>
    </x:row>
    <x:row r="13" ht="15">
      <x:c r="A13" s="5" t="str">
        <x:v>B High salinity</x:v>
      </x:c>
      <x:c r="B13" s="16">
        <x:v>54</x:v>
      </x:c>
      <x:c r="C13" s="10">
        <x:v>3.3000000000000002E-2</x:v>
      </x:c>
      <x:c r="D13" s="1">
        <x:v>25</x:v>
      </x:c>
      <x:c r="E13" s="10">
        <x:v>1.7754807096229097</x:v>
      </x:c>
      <x:c r="F13" s="10">
        <x:f t="shared" si="0"/>
        <x:v>6.391730554642475</x:v>
      </x:c>
      <x:c r="G13" s="10">
        <x:v>15.972976909048256</x:v>
      </x:c>
      <x:c r="H13" s="10">
        <x:v>44.67097171799432</x:v>
      </x:c>
      <x:c r="I13" s="10">
        <x:v>98.824989538100297</x:v>
      </x:c>
      <x:c r="J13" s="10">
        <x:v>397.35577109512104</x:v>
      </x:c>
      <x:c r="K13" s="1" t="str">
        <x:f t="shared" si="1"/>
        <x:v>Pass</x:v>
      </x:c>
      <x:c r="L13" s="1" t="str">
        <x:f t="shared" si="2"/>
        <x:v>Pass</x:v>
      </x:c>
      <x:c r="M13" s="1" t="str">
        <x:f t="shared" si="3"/>
        <x:v>Pass</x:v>
      </x:c>
      <x:c r="N13" s="6" t="str">
        <x:f t="shared" si="4"/>
        <x:v>Pass</x:v>
      </x:c>
    </x:row>
    <x:row r="14" ht="15">
      <x:c r="A14" s="5" t="str">
        <x:v>B High salinity</x:v>
      </x:c>
      <x:c r="B14" s="16">
        <x:v>53.45</x:v>
      </x:c>
      <x:c r="C14" s="10">
        <x:v>3.3000000000000002E-2</x:v>
      </x:c>
      <x:c r="D14" s="1">
        <x:v>25</x:v>
      </x:c>
      <x:c r="E14" s="10">
        <x:v>1.7479580803314509</x:v>
      </x:c>
      <x:c r="F14" s="10">
        <x:f t="shared" si="0"/>
        <x:v>6.2926490891932234</x:v>
      </x:c>
      <x:c r="G14" s="10">
        <x:v>15.725328045318109</x:v>
      </x:c>
      <x:c r="H14" s="10">
        <x:v>43.978411633632682</x:v>
      </x:c>
      <x:c r="I14" s="10">
        <x:v>98.816786553420215</x:v>
      </x:c>
      <x:c r="J14" s="10">
        <x:v>400.12894891973383</x:v>
      </x:c>
      <x:c r="K14" s="1" t="str">
        <x:f t="shared" si="1"/>
        <x:v>Fail</x:v>
      </x:c>
      <x:c r="L14" s="1" t="str">
        <x:f t="shared" si="2"/>
        <x:v>Pass</x:v>
      </x:c>
      <x:c r="M14" s="1" t="str">
        <x:f t="shared" si="3"/>
        <x:v>Fail</x:v>
      </x:c>
      <x:c r="N14" s="6" t="str">
        <x:f t="shared" si="4"/>
        <x:v>Fail</x:v>
      </x:c>
    </x:row>
    <x:row r="15" ht="15">
      <x:c r="A15" s="5" t="str">
        <x:v>B High salinity</x:v>
      </x:c>
      <x:c r="B15" s="16">
        <x:v>53.5</x:v>
      </x:c>
      <x:c r="C15" s="10">
        <x:v>3.3000000000000002E-2</x:v>
      </x:c>
      <x:c r="D15" s="1">
        <x:v>25</x:v>
      </x:c>
      <x:c r="E15" s="10">
        <x:v>1.7504727809053191</x:v>
      </x:c>
      <x:c r="F15" s="10">
        <x:f t="shared" si="0"/>
        <x:v>6.3017020112591489</x:v>
      </x:c>
      <x:c r="G15" s="10">
        <x:v>15.747955374801352</x:v>
      </x:c>
      <x:c r="H15" s="10">
        <x:v>44.04168985650756</x:v>
      </x:c>
      <x:c r="I15" s="10">
        <x:v>98.817552633583048</x:v>
      </x:c>
      <x:c r="J15" s="10">
        <x:v>399.86996117973212</x:v>
      </x:c>
      <x:c r="K15" s="1" t="str">
        <x:f t="shared" si="1"/>
        <x:v>Pass</x:v>
      </x:c>
      <x:c r="L15" s="1" t="str">
        <x:f t="shared" si="2"/>
        <x:v>Pass</x:v>
      </x:c>
      <x:c r="M15" s="1" t="str">
        <x:f t="shared" si="3"/>
        <x:v>Pass</x:v>
      </x:c>
      <x:c r="N15" s="6" t="str">
        <x:f t="shared" si="4"/>
        <x:v>Pass</x:v>
      </x:c>
    </x:row>
    <x:row r="16" ht="15">
      <x:c r="A16" s="5" t="str">
        <x:v>C Hot summer</x:v>
      </x:c>
      <x:c r="B16" s="16">
        <x:v>51</x:v>
      </x:c>
      <x:c r="C16" s="10">
        <x:v>0.03</x:v>
      </x:c>
      <x:c r="D16" s="1">
        <x:v>38</x:v>
      </x:c>
      <x:c r="E16" s="10">
        <x:v>1.7419891415730817</x:v>
      </x:c>
      <x:c r="F16" s="10">
        <x:f t="shared" si="0"/>
        <x:v>6.2711609096630943</x:v>
      </x:c>
      <x:c r="G16" s="10">
        <x:v>15.672193122518932</x:v>
      </x:c>
      <x:c r="H16" s="10">
        <x:v>43.731970563806534</x:v>
      </x:c>
      <x:c r="I16" s="10">
        <x:v>98.812880724004145</x:v>
      </x:c>
      <x:c r="J16" s="10">
        <x:v>364.15277624305185</x:v>
      </x:c>
      <x:c r="K16" s="1" t="str">
        <x:f t="shared" si="1"/>
        <x:v>Fail</x:v>
      </x:c>
      <x:c r="L16" s="1" t="str">
        <x:f t="shared" si="2"/>
        <x:v>Pass</x:v>
      </x:c>
      <x:c r="M16" s="1" t="str">
        <x:f t="shared" si="3"/>
        <x:v>Pass</x:v>
      </x:c>
      <x:c r="N16" s="6" t="str">
        <x:f t="shared" si="4"/>
        <x:v>Fail</x:v>
      </x:c>
    </x:row>
    <x:row r="17" ht="15">
      <x:c r="A17" s="5" t="str">
        <x:v>C Hot summer</x:v>
      </x:c>
      <x:c r="B17" s="16">
        <x:v>51.15</x:v>
      </x:c>
      <x:c r="C17" s="10">
        <x:v>0.03</x:v>
      </x:c>
      <x:c r="D17" s="1">
        <x:v>38</x:v>
      </x:c>
      <x:c r="E17" s="10">
        <x:v>1.7498288048397266</x:v>
      </x:c>
      <x:c r="F17" s="10">
        <x:f t="shared" si="0"/>
        <x:v>6.299383697423016</x:v>
      </x:c>
      <x:c r="G17" s="10">
        <x:v>15.742735835285803</x:v>
      </x:c>
      <x:c r="H17" s="10">
        <x:v>43.928806541548873</x:v>
      </x:c>
      <x:c r="I17" s="10">
        <x:v>98.815248825025407</x:v>
      </x:c>
      <x:c r="J17" s="10">
        <x:v>363.42655387561649</x:v>
      </x:c>
      <x:c r="K17" s="1" t="str">
        <x:f t="shared" si="1"/>
        <x:v>Fail</x:v>
      </x:c>
      <x:c r="L17" s="1" t="str">
        <x:f t="shared" si="2"/>
        <x:v>Pass</x:v>
      </x:c>
      <x:c r="M17" s="1" t="str">
        <x:f t="shared" si="3"/>
        <x:v>Pass</x:v>
      </x:c>
      <x:c r="N17" s="6" t="str">
        <x:f t="shared" si="4"/>
        <x:v>Fail</x:v>
      </x:c>
    </x:row>
    <x:row r="18" ht="15">
      <x:c r="A18" s="7" t="str">
        <x:v>C Hot summer</x:v>
      </x:c>
      <x:c r="B18" s="17">
        <x:v>51.2</x:v>
      </x:c>
      <x:c r="C18" s="11">
        <x:v>0.03</x:v>
      </x:c>
      <x:c r="D18" s="8">
        <x:v>38</x:v>
      </x:c>
      <x:c r="E18" s="11">
        <x:v>1.7524363721089342</x:v>
      </x:c>
      <x:c r="F18" s="11">
        <x:f t="shared" si="0"/>
        <x:v>6.3087709395921632</x:v>
      </x:c>
      <x:c r="G18" s="11">
        <x:v>15.766199185316596</x:v>
      </x:c>
      <x:c r="H18" s="11">
        <x:v>43.994276551156069</x:v>
      </x:c>
      <x:c r="I18" s="11">
        <x:v>98.8160290045452</x:v>
      </x:c>
      <x:c r="J18" s="11">
        <x:v>363.18729709213966</x:v>
      </x:c>
      <x:c r="K18" s="8" t="str">
        <x:f t="shared" si="1"/>
        <x:v>Pass</x:v>
      </x:c>
      <x:c r="L18" s="8" t="str">
        <x:f t="shared" si="2"/>
        <x:v>Pass</x:v>
      </x:c>
      <x:c r="M18" s="8" t="str">
        <x:f t="shared" si="3"/>
        <x:v>Pass</x:v>
      </x:c>
      <x:c r="N18" s="9" t="str">
        <x:f t="shared" si="4"/>
        <x:v>Pass</x:v>
      </x:c>
    </x:row>
    <x:row r="21" ht="15.75">
      <x:c r="A21" s="46" t="str">
        <x:v>Minimum pressure by case and pump sizing</x:v>
      </x:c>
      <x:c r="B21" s="46"/>
      <x:c r="C21" s="46"/>
      <x:c r="D21" s="46"/>
      <x:c r="E21" s="46"/>
      <x:c r="F21" s="46"/>
    </x:row>
    <x:row r="22" ht="15">
      <x:c r="A22" s="2" t="str">
        <x:v>Item</x:v>
      </x:c>
      <x:c r="B22" s="3" t="s">
        <x:v>36</x:v>
      </x:c>
      <x:c r="C22" s="3" t="str">
        <x:v>Case B</x:v>
      </x:c>
      <x:c r="D22" s="3" t="s">
        <x:v>37</x:v>
      </x:c>
      <x:c r="E22" s="3" t="str">
        <x:v>Comparison / calculation</x:v>
      </x:c>
      <x:c r="F22" s="4" t="str">
        <x:v>Conclusion</x:v>
      </x:c>
    </x:row>
    <x:row r="23">
      <x:c r="A23" s="5" t="str">
        <x:v>Last failing pressure</x:v>
      </x:c>
      <x:c r="B23" s="1">
        <x:v>50.42</x:v>
      </x:c>
      <x:c r="C23" s="1">
        <x:v>53.45</x:v>
      </x:c>
      <x:c r="D23" s="1">
        <x:v>51.15</x:v>
      </x:c>
      <x:c r="E23" s="1" t="str">
        <x:v>0.05 bar boundary</x:v>
      </x:c>
      <x:c r="F23" s="6" t="s">
        <x:v>19</x:v>
      </x:c>
    </x:row>
    <x:row r="24">
      <x:c r="A24" s="5" t="str">
        <x:v>Minimum feasible pressure</x:v>
      </x:c>
      <x:c r="B24" s="1">
        <x:v>50.45</x:v>
      </x:c>
      <x:c r="C24" s="1">
        <x:v>53.5</x:v>
      </x:c>
      <x:c r="D24" s="1">
        <x:v>51.2</x:v>
      </x:c>
      <x:c r="E24" s="1" t="s">
        <x:v>38</x:v>
      </x:c>
      <x:c r="F24" s="6" t="str">
        <x:v>Case B controls</x:v>
      </x:c>
    </x:row>
    <x:row r="25" ht="28.5">
      <x:c r="A25" s="5" t="str">
        <x:v>Controlling reason</x:v>
      </x:c>
      <x:c r="B25" s="1" t="str">
        <x:v>Normal production boundary</x:v>
      </x:c>
      <x:c r="C25" s="1" t="str">
        <x:v>High salinity is jointly limited by production and NaCl</x:v>
      </x:c>
      <x:c r="D25" s="1" t="str">
        <x:v>Hot-summer production boundary</x:v>
      </x:c>
      <x:c r="E25" s="1" t="str">
        <x:v>High salinity has the highest osmotic pressure</x:v>
      </x:c>
      <x:c r="F25" s="6" t="str">
        <x:v>Case B</x:v>
      </x:c>
    </x:row>
    <x:row r="26">
      <x:c r="A26" s="5" t="str">
        <x:v>Design margin</x:v>
      </x:c>
      <x:c r="B26" s="1" t="s">
        <x:v>19</x:v>
      </x:c>
      <x:c r="C26" s="1" t="s">
        <x:v>19</x:v>
      </x:c>
      <x:c r="D26" s="1" t="s">
        <x:v>19</x:v>
      </x:c>
      <x:c r="E26" s="1" t="s">
        <x:v>39</x:v>
      </x:c>
      <x:c r="F26" s="6" t="str">
        <x:v>Rated design pressure = 55.0 bar</x:v>
      </x:c>
    </x:row>
    <x:row r="27">
      <x:c r="A27" s="7" t="str">
        <x:v>Meaning for Normal operation</x:v>
      </x:c>
      <x:c r="B27" s="8" t="str">
        <x:v>Near 50.45 bar</x:v>
      </x:c>
      <x:c r="C27" s="8" t="s">
        <x:v>19</x:v>
      </x:c>
      <x:c r="D27" s="8" t="s">
        <x:v>19</x:v>
      </x:c>
      <x:c r="E27" s="8" t="str">
        <x:v>Equipment rating ≠ operating setpoint for every case</x:v>
      </x:c>
      <x:c r="F27" s="9" t="str">
        <x:v>The Normal case should not operate continuously at 55 bar</x:v>
      </x:c>
    </x:row>
  </x:sheetData>
  <x:mergeCells>
    <x:mergeCell ref="A1:N2"/>
    <x:mergeCell ref="A4:N5"/>
    <x:mergeCell ref="A21:F21"/>
  </x:mergeCells>
  <x:conditionalFormatting sqref="K8:N18">
    <x:cfRule type="expression" dxfId="1" priority="1">
      <x:formula>K8="通过"</x:formula>
    </x:cfRule>
    <x:cfRule type="expression" dxfId="0" priority="2">
      <x:formula>K8="不通过"</x:formula>
    </x:cfRule>
  </x:conditionalFormatting>
  <x:pageMargins left="0.7" right="0.7" top="0.75" bottom="0.75" header="0.3" footer="0.3"/>
  <x:drawing xmlns:r="http://schemas.openxmlformats.org/officeDocument/2006/relationships" r:id="Rabe6bebd90174f00"/>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x:c r="A1" s="52" t="str">
        <x:v>D1-1c: Trajectory Quality Rubric (100 points)</x:v>
      </x:c>
      <x:c r="B1" s="52"/>
      <x:c r="C1" s="52"/>
      <x:c r="D1" s="52"/>
      <x:c r="E1" s="52"/>
      <x:c r="F1" s="52"/>
      <x:c r="G1" s="52"/>
    </x:row>
    <x:row r="2">
      <x:c r="A2" s="52"/>
      <x:c r="B2" s="52"/>
      <x:c r="C2" s="52"/>
      <x:c r="D2" s="52"/>
      <x:c r="E2" s="52"/>
      <x:c r="F2" s="52"/>
      <x:c r="G2" s="52"/>
    </x:row>
    <x:row r="4">
      <x:c r="A4" s="53" t="str">
        <x:v>Trajectory Quality is scored out of 100. The evaluation target is the complete state → plan → action/tool call → observation → update → next action → stop/decision trajectory, not verbatim reproduction of the reference path. Different but reasonable tool-call orders are acceptable if later actions are supported by previous observations and the final engineering decision is complete, coherent, and verifiable. Tool usage efficiency is scored separately and is not included here.</x:v>
      </x:c>
      <x:c r="B4" s="53"/>
      <x:c r="C4" s="53"/>
      <x:c r="D4" s="53"/>
      <x:c r="E4" s="53"/>
      <x:c r="F4" s="53"/>
      <x:c r="G4" s="53"/>
    </x:row>
    <x:row r="5">
      <x:c r="A5" s="53"/>
      <x:c r="B5" s="53"/>
      <x:c r="C5" s="53"/>
      <x:c r="D5" s="53"/>
      <x:c r="E5" s="53"/>
      <x:c r="F5" s="53"/>
      <x:c r="G5" s="53"/>
    </x:row>
    <x:row r="6">
      <x:c r="A6" s="23"/>
      <x:c r="B6" s="23"/>
      <x:c r="C6" s="23"/>
      <x:c r="D6" s="23"/>
      <x:c r="E6" s="23"/>
      <x:c r="F6" s="23"/>
      <x:c r="G6" s="23"/>
    </x:row>
    <x:row r="7" ht="15">
      <x:c r="A7" s="18"/>
      <x:c r="B7" s="19"/>
      <x:c r="C7" s="19"/>
      <x:c r="D7" s="19"/>
      <x:c r="E7" s="19"/>
      <x:c r="F7" s="19"/>
      <x:c r="G7" s="20"/>
    </x:row>
    <x:row r="8" ht="86.0999984741211" customHeight="1">
      <x:c r="A8" s="25" t="str">
        <x:v>Trajectory dimension</x:v>
      </x:c>
      <x:c r="B8" s="26" t="str">
        <x:v>Evaluation focus</x:v>
      </x:c>
      <x:c r="C8" s="26" t="str">
        <x:v>Full-credit evidence</x:v>
      </x:c>
      <x:c r="D8" s="26" t="str">
        <x:v>Partial credit</x:v>
      </x:c>
      <x:c r="E8" s="26" t="str">
        <x:v>Critical failure modes</x:v>
      </x:c>
      <x:c r="F8" s="26" t="str">
        <x:v>Weight</x:v>
      </x:c>
      <x:c r="G8" s="27" t="str">
        <x:v>Score</x:v>
      </x:c>
    </x:row>
    <x:row r="9" ht="84" customHeight="1">
      <x:c r="A9" s="28" t="str">
        <x:v>TQ1 Problem representation and state understanding</x:v>
      </x:c>
      <x:c r="B9" s="1" t="str">
        <x:v>Understand multi-case design-pressure sizing and the distinction between equipment rating and operating setpoint</x:v>
      </x:c>
      <x:c r="C9" s="1" t="str">
        <x:v>Area/A/B are fixed; each case requires its own Pmin; pump rated pressure is controlled by the maximum Pmin; rated pressure ≠ Normal operating setpoint</x:v>
      </x:c>
      <x:c r="D9" s="1" t="str">
        <x:v>Understands pressure search and case comparison but does not clearly distinguish equipment rating from operating setpoint</x:v>
      </x:c>
      <x:c r="E9" s="1" t="str">
        <x:v>Also optimizes Area/A/B; solves only the Normal case; averages the pressures</x:v>
      </x:c>
      <x:c r="F9" s="1">
        <x:v>15</x:v>
      </x:c>
      <x:c r="G9" s="29"/>
    </x:row>
    <x:row r="10" ht="84" customHeight="1">
      <x:c r="A10" s="28" t="str">
        <x:v>TQ2 Planning and decomposition quality</x:v>
      </x:c>
      <x:c r="B10" s="1" t="str">
        <x:v>Design a reasonable boundary-search and aggregation plan for all three cases</x:v>
      </x:c>
      <x:c r="C10" s="1" t="str">
        <x:v>For each case: establish fail/pass bracket → refine boundary → obtain Pmin → take the maximum Pmin → add design margin</x:v>
      </x:c>
      <x:c r="D10" s="1" t="str">
        <x:v>Overall plan is correct, but one case uses only a single point or lacks boundary confirmation</x:v>
      </x:c>
      <x:c r="E10" s="1" t="str">
        <x:v>Blindly scans all pressures point by point, or does not determine independent boundaries for all three cases</x:v>
      </x:c>
      <x:c r="F10" s="1">
        <x:v>15</x:v>
      </x:c>
      <x:c r="G10" s="29"/>
    </x:row>
    <x:row r="11" ht="84" customHeight="1">
      <x:c r="A11" s="30" t="str">
        <x:v>TQ3 Action / tool-call correctness</x:v>
      </x:c>
      <x:c r="B11" s="22" t="str">
        <x:v>Use correct simulate_ro inputs for the current case and pressure</x:v>
      </x:c>
      <x:c r="C11" s="22" t="str">
        <x:v>Only pressure varies during each search; between cases only salinity/temperature change as specified; all constraints and units are handled correctly</x:v>
      </x:c>
      <x:c r="D11" s="22" t="str">
        <x:v>Minor input/unit errors that do not affect the controlling-case decision</x:v>
      </x:c>
      <x:c r="E11" s="22" t="str">
        <x:v>Changes Area/A/B/flow during the search, or confuses bar and MPa</x:v>
      </x:c>
      <x:c r="F11" s="22">
        <x:v>20</x:v>
      </x:c>
      <x:c r="G11" s="31"/>
    </x:row>
    <x:row r="12" ht="84" customHeight="1">
      <x:c r="A12" s="28" t="str">
        <x:v>TQ4 Observation interpretation and state update</x:v>
      </x:c>
      <x:c r="B12" s="1" t="str">
        <x:v>Maintain fail/pass boundaries for each case from the observations</x:v>
      </x:c>
      <x:c r="C12" s="1" t="str">
        <x:v>A: 50.42 fail / 50.45 pass; B: 53.45 fail / 53.50 pass; C: 51.15 fail / 51.20 pass, with the failing constraints correctly identified</x:v>
      </x:c>
      <x:c r="D12" s="1" t="str">
        <x:v>Pmin values are essentially correct but one adjacent failure point or constraint explanation is incomplete</x:v>
      </x:c>
      <x:c r="E12" s="1" t="str">
        <x:v>Records only passing points, does not maintain failure boundaries, or misclassifies water-quality/production status</x:v>
      </x:c>
      <x:c r="F12" s="1">
        <x:v>20</x:v>
      </x:c>
      <x:c r="G12" s="29"/>
    </x:row>
    <x:row r="13" ht="84" customHeight="1">
      <x:c r="A13" s="32" t="str">
        <x:v>TQ5 Adaptive comparison and replanning</x:v>
      </x:c>
      <x:c r="B13" s="15" t="str">
        <x:v>Use each case result to narrow the search and compare the final design envelope</x:v>
      </x:c>
      <x:c r="C13" s="15" t="str">
        <x:v>Each previous result drives the next pressure; once all three Pmin values are known, use MAX to identify Case B as controlling rather than averaging or voting</x:v>
      </x:c>
      <x:c r="D13" s="15" t="str">
        <x:v>Uses bracketing but includes mechanical scanning or unnecessary repetition</x:v>
      </x:c>
      <x:c r="E13" s="15" t="str">
        <x:v>Call sequence is unrelated to results; controlling case is not based on Pmin comparison</x:v>
      </x:c>
      <x:c r="F13" s="24">
        <x:v>20</x:v>
      </x:c>
      <x:c r="G13" s="33"/>
    </x:row>
    <x:row r="14" ht="84" customHeight="1">
      <x:c r="A14" s="34" t="str">
        <x:v>TQ6 Stopping and final engineering decision</x:v>
      </x:c>
      <x:c r="B14" s="35" t="str">
        <x:v>Form the correct final pump-design decision</x:v>
      </x:c>
      <x:c r="C14" s="35" t="str">
        <x:v>Pmin,A≈50.45, Pmin,B≈53.50, Pmin,C≈51.20 bar; Case B controls; +1.50 bar gives 55.0 bar rated pressure; Normal still operates near 50.45 bar</x:v>
      </x:c>
      <x:c r="D14" s="35" t="str">
        <x:v>Controlling case and rated pressure are basically correct but design-margin or operating interpretation is incomplete</x:v>
      </x:c>
      <x:c r="E14" s="35" t="str">
        <x:v>Uses average pressure, treats 55 bar as the continuous setpoint for all cases, or fails to complete all three cases</x:v>
      </x:c>
      <x:c r="F14" s="35">
        <x:v>10</x:v>
      </x:c>
      <x:c r="G14" s="36"/>
    </x:row>
    <x:row r="15" ht="15">
      <x:c r="A15" s="59"/>
      <x:c r="B15" s="60"/>
      <x:c r="C15" s="60"/>
      <x:c r="D15" s="60"/>
      <x:c r="E15" s="60"/>
      <x:c r="F15" s="60"/>
      <x:c r="G15" s="61"/>
    </x:row>
    <x:row r="16" ht="15">
      <x:c r="A16" s="21"/>
      <x:c r="B16" s="1"/>
      <x:c r="C16" s="1"/>
      <x:c r="D16" s="1"/>
      <x:c r="E16" s="37" t="str">
        <x:v>Trajectory Quality total</x:v>
      </x:c>
      <x:c r="F16" s="38" t="n">
        <x:v>100</x:v>
      </x:c>
    </x:row>
    <x:row r="17" ht="15">
      <x:c r="A17" s="54"/>
      <x:c r="B17" s="55"/>
      <x:c r="C17" s="55"/>
      <x:c r="D17" s="55"/>
      <x:c r="E17" s="55"/>
      <x:c r="F17" s="55"/>
      <x:c r="G17" s="56"/>
    </x:row>
    <x:row r="18" ht="15">
      <x:c r="A18" s="62" t="str">
        <x:v>Scoring notes</x:v>
      </x:c>
      <x:c r="B18" s="63"/>
      <x:c r="C18" s="63"/>
      <x:c r="D18" s="63"/>
      <x:c r="E18" s="63"/>
      <x:c r="F18" s="63"/>
      <x:c r="G18" s="64"/>
    </x:row>
    <x:row r="19" ht="28.5">
      <x:c r="A19" s="28" t="str">
        <x:v>Difficulty calibration</x:v>
      </x:c>
      <x:c r="B19" s="1" t="str">
        <x:v>Target scientific-computation budget: about 8–10 calls</x:v>
      </x:c>
      <x:c r="C19" s="1" t="str">
        <x:v>Three case-specific boundary searches plus design-envelope comparison, with trajectory depth comparable to other items</x:v>
      </x:c>
      <x:c r="D19" s="1"/>
      <x:c r="E19" s="1"/>
      <x:c r="F19" s="1"/>
      <x:c r="G19" s="29"/>
    </x:row>
    <x:row r="20" ht="28.5">
      <x:c r="A20" s="39" t="str">
        <x:v>Benchmark rule</x:v>
      </x:c>
      <x:c r="B20" s="40" t="str">
        <x:v>0.05 bar resolution and 1.50 bar margin are defined by this task</x:v>
      </x:c>
      <x:c r="C20" s="40" t="str">
        <x:v>Do not present them as universal industry standards</x:v>
      </x:c>
      <x:c r="D20" s="40"/>
      <x:c r="E20" s="40"/>
      <x:c r="F20" s="40"/>
      <x:c r="G20" s="41"/>
    </x:row>
    <x:row r="22">
      <x:c r="A22" s="57"/>
      <x:c r="B22" s="57"/>
      <x:c r="C22" s="57"/>
      <x:c r="D22" s="57"/>
      <x:c r="E22" s="57"/>
      <x:c r="F22" s="57"/>
      <x:c r="G22" s="57"/>
    </x:row>
    <x:row r="23">
      <x:c r="A23" s="57"/>
      <x:c r="B23" s="57"/>
      <x:c r="C23" s="57"/>
      <x:c r="D23" s="57"/>
      <x:c r="E23" s="57"/>
      <x:c r="F23" s="57"/>
      <x:c r="G23" s="57"/>
    </x:row>
    <x:row r="24">
      <x:c r="A24" s="57"/>
      <x:c r="B24" s="57"/>
      <x:c r="C24" s="57"/>
      <x:c r="D24" s="57"/>
      <x:c r="E24" s="57"/>
      <x:c r="F24" s="57"/>
      <x:c r="G24" s="57"/>
    </x:row>
    <x:row r="26">
      <x:c r="A26" s="58"/>
      <x:c r="B26" s="58"/>
      <x:c r="C26" s="58"/>
      <x:c r="D26" s="58"/>
      <x:c r="E26" s="58"/>
      <x:c r="F26" s="58"/>
      <x:c r="G26" s="58"/>
    </x:row>
    <x:row r="27">
      <x:c r="A27" s="58"/>
      <x:c r="B27" s="58"/>
      <x:c r="C27" s="58"/>
      <x:c r="D27" s="58"/>
      <x:c r="E27" s="58"/>
      <x:c r="F27" s="58"/>
      <x:c r="G27" s="58"/>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x:c r="A1" s="52" t="str">
        <x:v>D1-1c: Tool Usage Efficiency (100 points)</x:v>
      </x:c>
      <x:c r="B1" s="52"/>
      <x:c r="C1" s="52"/>
      <x:c r="D1" s="52"/>
      <x:c r="E1" s="52"/>
      <x:c r="F1" s="52"/>
      <x:c r="G1" s="52"/>
    </x:row>
    <x:row r="2">
      <x:c r="A2" s="52"/>
      <x:c r="B2" s="52"/>
      <x:c r="C2" s="52"/>
      <x:c r="D2" s="52"/>
      <x:c r="E2" s="52"/>
      <x:c r="F2" s="52"/>
      <x:c r="G2" s="52"/>
    </x:row>
    <x:row r="4">
      <x:c r="A4" s="53" t="str">
        <x:v>Tool usage efficiency is scored separately out of 100 and is not included in the Trajectory Quality score. The main scientific tool is simulate_ro. The reference efficient trajectory uses about 10 scientific-computation calls. Call count is secondary; the main criteria are information gain, adaptive selection of the next pressure, timely pruning, and stopping once evidence is sufficient.</x:v>
      </x:c>
      <x:c r="B4" s="53"/>
      <x:c r="C4" s="53"/>
      <x:c r="D4" s="53"/>
      <x:c r="E4" s="53"/>
      <x:c r="F4" s="53"/>
      <x:c r="G4" s="53"/>
    </x:row>
    <x:row r="5">
      <x:c r="A5" s="53"/>
      <x:c r="B5" s="53"/>
      <x:c r="C5" s="53"/>
      <x:c r="D5" s="53"/>
      <x:c r="E5" s="53"/>
      <x:c r="F5" s="53"/>
      <x:c r="G5" s="53"/>
    </x:row>
    <x:row r="6">
      <x:c r="A6" s="53"/>
      <x:c r="B6" s="53"/>
      <x:c r="C6" s="53"/>
      <x:c r="D6" s="53"/>
      <x:c r="E6" s="53"/>
      <x:c r="F6" s="53"/>
      <x:c r="G6" s="53"/>
    </x:row>
    <x:row r="8" ht="15">
      <x:c r="A8" s="25" t="str">
        <x:v>Efficiency dimension</x:v>
      </x:c>
      <x:c r="B8" s="26" t="str">
        <x:v>Evaluation focus</x:v>
      </x:c>
      <x:c r="C8" s="26" t="str">
        <x:v>Full-credit performance</x:v>
      </x:c>
      <x:c r="D8" s="26" t="str">
        <x:v>Moderate performance</x:v>
      </x:c>
      <x:c r="E8" s="26" t="str">
        <x:v>Low performance</x:v>
      </x:c>
      <x:c r="F8" s="26" t="str">
        <x:v>Task-specific evidence</x:v>
      </x:c>
      <x:c r="G8" s="27" t="str">
        <x:v>Points</x:v>
      </x:c>
    </x:row>
    <x:row r="9" ht="81.94999694824219" customHeight="1">
      <x:c r="A9" s="28" t="str">
        <x:v>E1 Tool selection and necessity</x:v>
      </x:c>
      <x:c r="B9" s="1" t="str">
        <x:v>Choose the correct tool and avoid irrelevant tools</x:v>
      </x:c>
      <x:c r="C9" s="1" t="str">
        <x:v>Use simulate_ro for scientific calculations, with each call directly serving the current decision</x:v>
      </x:c>
      <x:c r="D9" s="1" t="str">
        <x:v>A few unnecessary metadata/exploratory calls</x:v>
      </x:c>
      <x:c r="E9" s="1" t="str">
        <x:v>Wrong tools or many irrelevant calls</x:v>
      </x:c>
      <x:c r="F9" s="1" t="str">
        <x:v>simulate_ro alone is sufficient for membrane-feed pressure sizing</x:v>
      </x:c>
      <x:c r="G9" s="29">
        <x:v>20</x:v>
      </x:c>
    </x:row>
    <x:row r="10" ht="81.94999694824219" customHeight="1">
      <x:c r="A10" s="28" t="str">
        <x:v>E2 Information gain and call ordering</x:v>
      </x:c>
      <x:c r="B10" s="1" t="str">
        <x:v>Prioritize high-information calls</x:v>
      </x:c>
      <x:c r="C10" s="1" t="str">
        <x:v>Establish baseline/screening/coarse intervals first, then refine only where uncertainty remains</x:v>
      </x:c>
      <x:c r="D10" s="1" t="str">
        <x:v>Mostly reasonable ordering with some low-information calls</x:v>
      </x:c>
      <x:c r="E10" s="1" t="str">
        <x:v>Starts with dense grid scanning without first structuring the problem</x:v>
      </x:c>
      <x:c r="F10" s="1" t="str">
        <x:v>For each case, create a coarse bracket before refining near the boundary</x:v>
      </x:c>
      <x:c r="G10" s="29">
        <x:v>20</x:v>
      </x:c>
    </x:row>
    <x:row r="11" ht="81.94999694824219" customHeight="1">
      <x:c r="A11" s="28" t="str">
        <x:v>E3 Adaptive iteration</x:v>
      </x:c>
      <x:c r="B11" s="1" t="str">
        <x:v>Make the next call depend on the previous observation</x:v>
      </x:c>
      <x:c r="C11" s="1" t="str">
        <x:v>Dynamically choose the next input from fail/pass status and current uncertainty</x:v>
      </x:c>
      <x:c r="D11" s="1" t="str">
        <x:v>Partly adaptive, mixed with preset enumeration</x:v>
      </x:c>
      <x:c r="E11" s="1" t="str">
        <x:v>Call sequence is largely independent of prior results</x:v>
      </x:c>
      <x:c r="F11" s="1" t="str">
        <x:v>The previous pressure result determines the next pressure rather than a long fixed-step scan</x:v>
      </x:c>
      <x:c r="G11" s="29">
        <x:v>20</x:v>
      </x:c>
    </x:row>
    <x:row r="12" ht="81.94999694824219" customHeight="1">
      <x:c r="A12" s="28" t="str">
        <x:v>E4 Pruning and redundancy control</x:v>
      </x:c>
      <x:c r="B12" s="1" t="str">
        <x:v>Prune resolved branches and avoid redundant calls</x:v>
      </x:c>
      <x:c r="C12" s="1" t="str">
        <x:v>Once one case boundary is confirmed, move to the next case; do not repeat equivalent points</x:v>
      </x:c>
      <x:c r="D12" s="1" t="str">
        <x:v>A small amount of repetition or 1–2 extra tests</x:v>
      </x:c>
      <x:c r="E12" s="1" t="str">
        <x:v>Extensive repeated testing or brute-force enumeration</x:v>
      </x:c>
      <x:c r="F12" s="1" t="str">
        <x:v>Switch cases after the current boundary is established</x:v>
      </x:c>
      <x:c r="G12" s="29">
        <x:v>20</x:v>
      </x:c>
    </x:row>
    <x:row r="13" ht="81.94999694824219" customHeight="1">
      <x:c r="A13" s="39" t="str">
        <x:v>E5 Convergence and stopping</x:v>
      </x:c>
      <x:c r="B13" s="40" t="str">
        <x:v>Converge with a reasonable call budget and stop when evidence is sufficient</x:v>
      </x:c>
      <x:c r="C13" s="40" t="str">
        <x:v>About 9–11 calls with complete evidence and no obvious redundancy</x:v>
      </x:c>
      <x:c r="D13" s="40" t="str">
        <x:v>About 12–14 calls with minor redundancy but still adaptive</x:v>
      </x:c>
      <x:c r="E13" s="40" t="str">
        <x:v>&gt;14 calls with heavy enumeration/repetition, or too few calls to establish key evidence</x:v>
      </x:c>
      <x:c r="F13" s="40" t="str">
        <x:v>Reference trajectory ≈10 calls; other efficient adaptive trajectories can receive full credit</x:v>
      </x:c>
      <x:c r="G13" s="41">
        <x:v>20</x:v>
      </x:c>
    </x:row>
    <x:row r="15" ht="15">
      <x:c r="F15" s="42" t="str">
        <x:v>Tool-efficiency total</x:v>
      </x:c>
      <x:c r="G15" s="43" t="n">
        <x:v>100</x:v>
      </x:c>
    </x:row>
    <x:row r="17">
      <x:c r="A17" s="65"/>
      <x:c r="B17" s="65"/>
      <x:c r="C17" s="65"/>
      <x:c r="D17" s="65"/>
      <x:c r="E17" s="65"/>
      <x:c r="F17" s="65"/>
      <x:c r="G17" s="65"/>
    </x:row>
    <x:row r="18">
      <x:c r="A18" s="65"/>
      <x:c r="B18" s="65"/>
      <x:c r="C18" s="65"/>
      <x:c r="D18" s="65"/>
      <x:c r="E18" s="65"/>
      <x:c r="F18" s="65"/>
      <x:c r="G18" s="65"/>
    </x:row>
    <x:row r="19">
      <x:c r="A19" s="65"/>
      <x:c r="B19" s="65"/>
      <x:c r="C19" s="65"/>
      <x:c r="D19" s="65"/>
      <x:c r="E19" s="65"/>
      <x:c r="F19" s="65"/>
      <x:c r="G19" s="65"/>
    </x:row>
    <x:row r="20">
      <x:c r="A20" s="65"/>
      <x:c r="B20" s="65"/>
      <x:c r="C20" s="65"/>
      <x:c r="D20" s="65"/>
      <x:c r="E20" s="65"/>
      <x:c r="F20" s="65"/>
      <x:c r="G20" s="65"/>
    </x:row>
  </x:sheetData>
  <x:mergeCells>
    <x:mergeCell ref="A1:G2"/>
    <x:mergeCell ref="A4:G6"/>
    <x:mergeCell ref="A17:G20"/>
  </x:mergeCells>
  <x:pageMargins left="0.7" right="0.7" top="0.75" bottom="0.75" header="0.3" footer="0.3"/>
</x:worksheet>
</file>