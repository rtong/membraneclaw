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73b9c111e14e8c" /></Relationships>
</file>

<file path=xl/workbook.xml><?xml version="1.0" encoding="utf-8"?>
<x:workbook xmlns:x="http://schemas.openxmlformats.org/spreadsheetml/2006/main">
  <x:sheets>
    <x:sheet xmlns:r="http://schemas.openxmlformats.org/officeDocument/2006/relationships" name="Question" sheetId="1" r:id="R402f24fd778643c4"/>
    <x:sheet xmlns:r="http://schemas.openxmlformats.org/officeDocument/2006/relationships" name="Gold_Answer" sheetId="2" r:id="R858787cbb6f14f14"/>
    <x:sheet xmlns:r="http://schemas.openxmlformats.org/officeDocument/2006/relationships" name="Trajectory_Rubric" sheetId="3" r:id="R4fce65d8ef444bed"/>
    <x:sheet xmlns:r="http://schemas.openxmlformats.org/officeDocument/2006/relationships" name="Tool_Efficiency" sheetId="4" r:id="Ref12653cc2394a2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E+00"/>
    <x:numFmt numFmtId="201" formatCode="0.000"/>
  </x:numFmts>
  <x:fonts count="7">
    <x:font>
      <x:sz val="11"/>
      <x:name val="Carlito"/>
    </x:font>
    <x:font>
      <x:b/>
      <x:sz val="14"/>
      <x:color rgb="FFFFFFFF"/>
      <x:name val="Carlito"/>
    </x:font>
    <x:font>
      <x:sz val="10"/>
      <x:name val="Carlito"/>
    </x:font>
    <x:font>
      <x:b/>
      <x:sz val="11"/>
      <x:color rgb="FFFFFFFF"/>
      <x:name val="Carlito"/>
    </x:font>
    <x:font>
      <x:b/>
      <x:sz val="11"/>
      <x:color rgb="FF1F1F1F"/>
      <x:name val="Carlito"/>
    </x:font>
    <x:font>
      <x:b/>
      <x:sz val="11"/>
      <x:name val="Carlito"/>
    </x:font>
    <x:font>
      <x:i/>
      <x:sz val="11"/>
      <x:name val="Carlito"/>
    </x:font>
  </x:fonts>
  <x:fills count="8">
    <x:fill>
      <x:patternFill patternType="none"/>
    </x:fill>
    <x:fill>
      <x:patternFill patternType="gray125"/>
    </x:fill>
    <x:fill>
      <x:patternFill patternType="solid">
        <x:fgColor rgb="FF17365D"/>
      </x:patternFill>
    </x:fill>
    <x:fill>
      <x:patternFill patternType="solid">
        <x:fgColor rgb="FFF4F7FA"/>
      </x:patternFill>
    </x:fill>
    <x:fill>
      <x:patternFill patternType="solid">
        <x:fgColor rgb="FFD9EAF7"/>
      </x:patternFill>
    </x:fill>
    <x:fill>
      <x:patternFill patternType="solid">
        <x:fgColor rgb="FFFFF2CC"/>
      </x:patternFill>
    </x:fill>
    <x:fill>
      <x:patternFill patternType="solid">
        <x:fgColor rgb="FFE7E6E6"/>
      </x:patternFill>
    </x:fill>
    <x:fill>
      <x:patternFill patternType="solid">
        <x:fgColor rgb="FFE2F0D9"/>
      </x:patternFill>
    </x:fill>
  </x:fills>
  <x:borders count="2">
    <x:border/>
    <x:border/>
  </x:borders>
  <x:cellStyleXfs count="1">
    <x:xf numFmtId="0" fontId="0" fillId="0" borderId="0"/>
  </x:cellStyleXfs>
  <x:cellXfs count="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4" fillId="4" borderId="0" xfId="0" applyNumberFormat="1" applyFont="1" applyFill="1" applyBorder="1" applyAlignment="1">
      <x:alignment vertical="center" wrapText="1"/>
    </x:xf>
    <x:xf numFmtId="200" fontId="3" fillId="2" borderId="0" xfId="0" applyNumberFormat="1" applyFont="1" applyFill="1" applyBorder="1" applyAlignment="1">
      <x:alignment horizontal="center" vertical="center" wrapText="1"/>
    </x:xf>
    <x:xf numFmtId="200" fontId="5" fillId="7"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3" fillId="2" borderId="1" xfId="0" applyNumberFormat="1" applyFont="1" applyFill="1" applyBorder="1" applyAlignment="1">
      <x:alignment horizontal="center" vertical="center" wrapText="1"/>
    </x:xf>
    <x:xf numFmtId="200" fontId="5" fillId="7" borderId="1"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1" fontId="4" fillId="4" borderId="0" xfId="0" applyNumberFormat="1" applyFont="1" applyFill="1" applyBorder="1" applyAlignment="1">
      <x:alignment vertical="center" wrapText="1"/>
    </x:xf>
    <x:xf numFmtId="201" fontId="3" fillId="2" borderId="0" xfId="0" applyNumberFormat="1" applyFont="1" applyFill="1" applyBorder="1" applyAlignment="1">
      <x:alignment horizontal="center" vertical="center" wrapText="1"/>
    </x:xf>
    <x:xf numFmtId="201" fontId="5" fillId="7" borderId="0"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201" fontId="4" fillId="4" borderId="1" xfId="0" applyNumberFormat="1" applyFont="1" applyFill="1" applyBorder="1" applyAlignment="1">
      <x:alignment vertical="center" wrapText="1"/>
    </x:xf>
    <x:xf numFmtId="201" fontId="3" fillId="2" borderId="1" xfId="0" applyNumberFormat="1" applyFont="1" applyFill="1" applyBorder="1" applyAlignment="1">
      <x:alignment horizontal="center" vertical="center" wrapText="1"/>
    </x:xf>
    <x:xf numFmtId="201" fontId="5" fillId="7" borderId="1" xfId="0" applyNumberFormat="1" applyFont="1" applyFill="1" applyBorder="1" applyAlignment="1">
      <x:alignment vertical="center"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7" borderId="0" xfId="0" applyNumberFormat="1" applyFont="1" applyFill="1" applyBorder="1" applyAlignment="1">
      <x:alignment vertical="center" wrapText="1"/>
    </x:xf>
    <x:xf numFmtId="0" fontId="0" fillId="7"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0a68385b76424a" /><Relationship Type="http://schemas.openxmlformats.org/officeDocument/2006/relationships/theme" Target="/xl/theme/theme1.xml" Id="R262f7f0b51884577" /><Relationship Type="http://schemas.openxmlformats.org/officeDocument/2006/relationships/sharedStrings" Target="/xl/sharedStrings.xml" Id="Rfdc4ae0cbc7a48d4" /><Relationship Type="http://schemas.openxmlformats.org/officeDocument/2006/relationships/worksheet" Target="/xl/worksheets/sheet1.xml" Id="R402f24fd778643c4" /><Relationship Type="http://schemas.openxmlformats.org/officeDocument/2006/relationships/worksheet" Target="/xl/worksheets/sheet2.xml" Id="R858787cbb6f14f14" /><Relationship Type="http://schemas.openxmlformats.org/officeDocument/2006/relationships/worksheet" Target="/xl/worksheets/sheet3.xml" Id="R4fce65d8ef444bed" /><Relationship Type="http://schemas.openxmlformats.org/officeDocument/2006/relationships/worksheet" Target="/xl/worksheets/sheet4.xml" Id="Ref12653cc2394a2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7" hidden="0" customWidth="1"/>
    <x:col min="2" max="2" width="16" hidden="0" customWidth="1"/>
    <x:col min="3" max="3" width="14" hidden="0" customWidth="1"/>
    <x:col min="4" max="4" width="22" hidden="0" customWidth="1"/>
    <x:col min="5" max="5" width="4" hidden="0" customWidth="1"/>
    <x:col min="6" max="6" width="24" hidden="0" customWidth="1"/>
    <x:col min="7" max="7" width="20" hidden="0" customWidth="1"/>
    <x:col min="8" max="8" width="22" hidden="0" customWidth="1"/>
  </x:cols>
  <x:sheetData>
    <x:row r="1" ht="28" customHeight="1">
      <x:c r="A1" s="6" t="str">
        <x:v>D1-1b: Supplier Membrane Acceptance</x:v>
      </x:c>
      <x:c r="B1" s="6"/>
      <x:c r="C1" s="6"/>
      <x:c r="D1" s="6"/>
      <x:c r="E1" s="6"/>
      <x:c r="F1" s="6"/>
      <x:c r="G1" s="6"/>
      <x:c r="H1" s="6"/>
    </x:row>
    <x:row r="3" ht="30" customHeight="1">
      <x:c r="A3" s="15" t="str">
        <x:v>An SWRO project is in final supplier technical acceptance. Membrane area, pressure, and rack geometry are fixed, so all four membrane models must be compared under identical hydraulic conditions. After nominal screening, apply a moderate high-salinity stress test to the shortlist. If this stress condition does not separate the finalists, use low temperature as the decisive qualification test and perform the high-temperature final check only on the remaining membrane.</x:v>
      </x:c>
      <x:c r="B3" s="15"/>
      <x:c r="C3" s="15"/>
      <x:c r="D3" s="15"/>
      <x:c r="E3" s="15"/>
      <x:c r="F3" s="15"/>
      <x:c r="G3" s="15"/>
      <x:c r="H3" s="15"/>
    </x:row>
    <x:row r="4" ht="30" customHeight="1">
      <x:c r="A4" s="15"/>
      <x:c r="B4" s="15"/>
      <x:c r="C4" s="15"/>
      <x:c r="D4" s="15"/>
      <x:c r="E4" s="15"/>
      <x:c r="F4" s="15"/>
      <x:c r="G4" s="15"/>
      <x:c r="H4" s="15"/>
    </x:row>
    <x:row r="5" ht="30" customHeight="1">
      <x:c r="A5" s="15"/>
      <x:c r="B5" s="15"/>
      <x:c r="C5" s="15"/>
      <x:c r="D5" s="15"/>
      <x:c r="E5" s="15"/>
      <x:c r="F5" s="15"/>
      <x:c r="G5" s="15"/>
      <x:c r="H5" s="15"/>
    </x:row>
    <x:row r="7">
      <x:c r="A7" s="23" t="str">
        <x:v>Fixed parameter</x:v>
      </x:c>
      <x:c r="B7" s="23" t="str">
        <x:v>Value</x:v>
      </x:c>
      <x:c r="C7" s="23" t="str">
        <x:v>Unit</x:v>
      </x:c>
      <x:c r="D7" s="23" t="str">
        <x:v>Status</x:v>
      </x:c>
      <x:c r="F7" s="23" t="str">
        <x:v>Design / stress case</x:v>
      </x:c>
      <x:c r="G7" s="23" t="str">
        <x:v>NaCl mass fraction</x:v>
      </x:c>
      <x:c r="H7" s="23" t="str">
        <x:v>Temperature (°C)</x:v>
      </x:c>
    </x:row>
    <x:row r="8">
      <x:c r="A8" s="38" t="str">
        <x:v>Feed mass flow</x:v>
      </x:c>
      <x:c r="B8" s="38" t="n">
        <x:v>4.073</x:v>
      </x:c>
      <x:c r="C8" s="38" t="str">
        <x:v>kg/s</x:v>
      </x:c>
      <x:c r="D8" s="38" t="str">
        <x:v>Fixed</x:v>
      </x:c>
      <x:c r="E8" s="38"/>
      <x:c r="F8" s="38" t="str">
        <x:v>Nominal</x:v>
      </x:c>
      <x:c r="G8" s="38" t="n">
        <x:v>0.03</x:v>
      </x:c>
      <x:c r="H8" s="38" t="n">
        <x:v>32</x:v>
      </x:c>
    </x:row>
    <x:row r="9">
      <x:c r="A9" s="38" t="str">
        <x:v>Membrane area</x:v>
      </x:c>
      <x:c r="B9" s="38" t="n">
        <x:v>400</x:v>
      </x:c>
      <x:c r="C9" s="38" t="str">
        <x:v>m²</x:v>
      </x:c>
      <x:c r="D9" s="38" t="str">
        <x:v>Fixed</x:v>
      </x:c>
      <x:c r="E9" s="38"/>
      <x:c r="F9" s="38" t="str">
        <x:v>High-salinity stress</x:v>
      </x:c>
      <x:c r="G9" s="38" t="n">
        <x:v>0.0315</x:v>
      </x:c>
      <x:c r="H9" s="38" t="n">
        <x:v>32</x:v>
      </x:c>
    </x:row>
    <x:row r="10">
      <x:c r="A10" s="38" t="str">
        <x:v>Feed pressure</x:v>
      </x:c>
      <x:c r="B10" s="38" t="n">
        <x:v>52</x:v>
      </x:c>
      <x:c r="C10" s="38" t="str">
        <x:v>bar</x:v>
      </x:c>
      <x:c r="D10" s="38" t="str">
        <x:v>Fixed</x:v>
      </x:c>
      <x:c r="E10" s="38"/>
      <x:c r="F10" s="38" t="str">
        <x:v>Low-temperature verify</x:v>
      </x:c>
      <x:c r="G10" s="38" t="n">
        <x:v>0.03</x:v>
      </x:c>
      <x:c r="H10" s="38" t="n">
        <x:v>25</x:v>
      </x:c>
    </x:row>
    <x:row r="11">
      <x:c r="A11" s="38" t="str">
        <x:v>Permeate pressure</x:v>
      </x:c>
      <x:c r="B11" s="38" t="n">
        <x:v>1.013</x:v>
      </x:c>
      <x:c r="C11" s="38" t="str">
        <x:v>bar</x:v>
      </x:c>
      <x:c r="D11" s="38" t="str">
        <x:v>Fixed</x:v>
      </x:c>
      <x:c r="E11" s="38"/>
      <x:c r="F11" s="38" t="str">
        <x:v>High-temperature verify</x:v>
      </x:c>
      <x:c r="G11" s="38" t="n">
        <x:v>0.03</x:v>
      </x:c>
      <x:c r="H11" s="38" t="n">
        <x:v>35</x:v>
      </x:c>
    </x:row>
    <x:row r="12">
      <x:c r="A12" s="38" t="str">
        <x:v>Pressure drop</x:v>
      </x:c>
      <x:c r="B12" s="38" t="n">
        <x:v>0.653</x:v>
      </x:c>
      <x:c r="C12" s="38" t="str">
        <x:v>bar</x:v>
      </x:c>
      <x:c r="D12" s="38" t="str">
        <x:v>Fixed</x:v>
      </x:c>
      <x:c r="E12" s="38"/>
      <x:c r="F12" s="38"/>
      <x:c r="G12" s="38"/>
      <x:c r="H12" s="38"/>
    </x:row>
    <x:row r="13">
      <x:c r="A13" s="38" t="str">
        <x:v>Channel height</x:v>
      </x:c>
      <x:c r="B13" s="38" t="n">
        <x:v>0.002</x:v>
      </x:c>
      <x:c r="C13" s="38" t="str">
        <x:v>m</x:v>
      </x:c>
      <x:c r="D13" s="38" t="str">
        <x:v>Fixed</x:v>
      </x:c>
      <x:c r="E13" s="38"/>
      <x:c r="F13" s="23" t="str">
        <x:v>Mandatory constraint</x:v>
      </x:c>
      <x:c r="G13" s="23" t="str">
        <x:v>Limit</x:v>
      </x:c>
      <x:c r="H13" s="23" t="str">
        <x:v>Applies to</x:v>
      </x:c>
    </x:row>
    <x:row r="14">
      <x:c r="A14" s="38" t="str">
        <x:v>Spacer porosity</x:v>
      </x:c>
      <x:c r="B14" s="38" t="n">
        <x:v>0.75</x:v>
      </x:c>
      <x:c r="C14" s="38" t="str">
        <x:v>-</x:v>
      </x:c>
      <x:c r="D14" s="38" t="str">
        <x:v>Fixed</x:v>
      </x:c>
      <x:c r="E14" s="38"/>
      <x:c r="F14" s="38" t="str">
        <x:v>Qp</x:v>
      </x:c>
      <x:c r="G14" s="38" t="str">
        <x:v>≥ 6.10 m³/h</x:v>
      </x:c>
      <x:c r="H14" s="38" t="str">
        <x:v>All mandatory cases</x:v>
      </x:c>
    </x:row>
    <x:row r="15">
      <x:c r="A15" s="38" t="str">
        <x:v>Module length</x:v>
      </x:c>
      <x:c r="B15" s="38" t="n">
        <x:v>20</x:v>
      </x:c>
      <x:c r="C15" s="38" t="str">
        <x:v>m</x:v>
      </x:c>
      <x:c r="D15" s="38" t="str">
        <x:v>Fixed</x:v>
      </x:c>
      <x:c r="E15" s="38"/>
      <x:c r="F15" s="38" t="str">
        <x:v>Recovery</x:v>
      </x:c>
      <x:c r="G15" s="38" t="str">
        <x:v>≤ 48.0%</x:v>
      </x:c>
      <x:c r="H15" s="38" t="str">
        <x:v>All mandatory cases</x:v>
      </x:c>
    </x:row>
    <x:row r="16">
      <x:c r="A16" s="38"/>
      <x:c r="B16" s="38"/>
      <x:c r="C16" s="38"/>
      <x:c r="D16" s="38"/>
      <x:c r="E16" s="38"/>
      <x:c r="F16" s="38" t="str">
        <x:v>Flux</x:v>
      </x:c>
      <x:c r="G16" s="38" t="str">
        <x:v>≤ 18.0 LMH</x:v>
      </x:c>
      <x:c r="H16" s="38" t="str">
        <x:v>All mandatory cases</x:v>
      </x:c>
    </x:row>
    <x:row r="17">
      <x:c r="A17" s="31" t="str">
        <x:v>Candidate membranes</x:v>
      </x:c>
      <x:c r="B17" s="31"/>
      <x:c r="C17" s="31"/>
      <x:c r="D17" s="31"/>
      <x:c r="E17" s="38"/>
      <x:c r="F17" s="38" t="str">
        <x:v>Rejection</x:v>
      </x:c>
      <x:c r="G17" s="38" t="str">
        <x:v>≥ 98.7%</x:v>
      </x:c>
      <x:c r="H17" s="38" t="str">
        <x:v>All mandatory cases</x:v>
      </x:c>
    </x:row>
    <x:row r="18">
      <x:c r="A18" s="23" t="str">
        <x:v>Membrane</x:v>
      </x:c>
      <x:c r="B18" s="23" t="str">
        <x:v>A_comp</x:v>
      </x:c>
      <x:c r="C18" s="23" t="str">
        <x:v>B_comp</x:v>
      </x:c>
      <x:c r="D18" s="23" t="str">
        <x:v>Design intent</x:v>
      </x:c>
      <x:c r="E18" s="38"/>
      <x:c r="F18" s="38" t="str">
        <x:v>Permeate NaCl</x:v>
      </x:c>
      <x:c r="G18" s="38" t="str">
        <x:v>≤ 400 mg/L</x:v>
      </x:c>
      <x:c r="H18" s="38" t="str">
        <x:v>All mandatory cases</x:v>
      </x:c>
    </x:row>
    <x:row r="19">
      <x:c r="A19" s="38" t="str">
        <x:v>M1 High-flux</x:v>
      </x:c>
      <x:c r="B19" s="38" t="n">
        <x:v>5e-12</x:v>
      </x:c>
      <x:c r="C19" s="38" t="n">
        <x:v>5e-8</x:v>
      </x:c>
      <x:c r="D19" s="38" t="str">
        <x:v>High A / high B</x:v>
      </x:c>
      <x:c r="E19" s="38"/>
      <x:c r="F19" s="38"/>
      <x:c r="G19" s="38"/>
      <x:c r="H19" s="38"/>
    </x:row>
    <x:row r="20">
      <x:c r="A20" s="38" t="str">
        <x:v>M2 High-productivity</x:v>
      </x:c>
      <x:c r="B20" s="38" t="n">
        <x:v>4.5e-12</x:v>
      </x:c>
      <x:c r="C20" s="38" t="n">
        <x:v>3.6e-8</x:v>
      </x:c>
      <x:c r="D20" s="38" t="str">
        <x:v>Higher A / medium-high B</x:v>
      </x:c>
      <x:c r="E20" s="38"/>
      <x:c r="F20" s="38"/>
      <x:c r="G20" s="38"/>
      <x:c r="H20" s="38"/>
    </x:row>
    <x:row r="21">
      <x:c r="A21" s="38" t="str">
        <x:v>M3 Balanced high-rejection</x:v>
      </x:c>
      <x:c r="B21" s="38" t="n">
        <x:v>4.35e-12</x:v>
      </x:c>
      <x:c r="C21" s="38" t="n">
        <x:v>2.8e-8</x:v>
      </x:c>
      <x:c r="D21" s="38" t="str">
        <x:v>Medium-high A / low B</x:v>
      </x:c>
      <x:c r="E21" s="38"/>
      <x:c r="F21" s="38"/>
      <x:c r="G21" s="38"/>
      <x:c r="H21" s="38"/>
    </x:row>
    <x:row r="22">
      <x:c r="A22" s="38" t="str">
        <x:v>M4 High-rejection</x:v>
      </x:c>
      <x:c r="B22" s="38" t="n">
        <x:v>3.3e-12</x:v>
      </x:c>
      <x:c r="C22" s="38" t="n">
        <x:v>2.4e-8</x:v>
      </x:c>
      <x:c r="D22" s="38" t="str">
        <x:v>Low A / very low B</x:v>
      </x:c>
      <x:c r="E22" s="38"/>
      <x:c r="F22" s="38"/>
      <x:c r="G22" s="38"/>
      <x:c r="H22" s="38"/>
    </x:row>
    <x:row r="23">
      <x:c r="A23" s="38"/>
      <x:c r="B23" s="38"/>
      <x:c r="C23" s="38"/>
      <x:c r="D23" s="38"/>
      <x:c r="E23" s="38"/>
      <x:c r="F23" s="38"/>
      <x:c r="G23" s="38"/>
      <x:c r="H23" s="38"/>
    </x:row>
    <x:row r="24">
      <x:c r="A24" s="31" t="str">
        <x:v>Required tasks</x:v>
      </x:c>
      <x:c r="B24" s="31"/>
      <x:c r="C24" s="31"/>
      <x:c r="D24" s="31"/>
      <x:c r="E24" s="31"/>
      <x:c r="F24" s="31"/>
      <x:c r="G24" s="31"/>
      <x:c r="H24" s="31"/>
    </x:row>
    <x:row r="25" ht="34" customHeight="1">
      <x:c r="A25" s="38" t="str">
        <x:v>1. Identify this as a membrane-performance parameter selection problem. Explain the A/B trade-off and the typical risks of high-A/high-B versus low-A/low-B candidates.</x:v>
      </x:c>
      <x:c r="B25" s="38"/>
      <x:c r="C25" s="38"/>
      <x:c r="D25" s="38"/>
      <x:c r="E25" s="38"/>
      <x:c r="F25" s="38"/>
      <x:c r="G25" s="38"/>
      <x:c r="H25" s="38"/>
    </x:row>
    <x:row r="26" ht="34" customHeight="1">
      <x:c r="A26" s="38" t="str">
        <x:v>2. Screen all four membranes at the Nominal condition. Only candidates that satisfy every hard constraint may enter the shortlist.</x:v>
      </x:c>
      <x:c r="B26" s="38"/>
      <x:c r="C26" s="38"/>
      <x:c r="D26" s="38"/>
      <x:c r="E26" s="38"/>
      <x:c r="F26" s="38"/>
      <x:c r="G26" s="38"/>
      <x:c r="H26" s="38"/>
    </x:row>
    <x:row r="27" ht="34" customHeight="1">
      <x:c r="A27" s="38" t="str">
        <x:v>3. Apply the High-salinity stress test only to the shortlist. Eliminate a membrane immediately when a mandatory constraint fails.</x:v>
      </x:c>
      <x:c r="B27" s="38"/>
      <x:c r="C27" s="38"/>
      <x:c r="D27" s="38"/>
      <x:c r="E27" s="38"/>
      <x:c r="F27" s="38"/>
      <x:c r="G27" s="38"/>
      <x:c r="H27" s="38"/>
    </x:row>
    <x:row r="28" ht="34" customHeight="1">
      <x:c r="A28" s="38" t="str">
        <x:v>4. Continue with low- and high-temperature verification only as needed to resolve the remaining candidates. Do not spend tool calls on eliminated branches.</x:v>
      </x:c>
      <x:c r="B28" s="38"/>
      <x:c r="C28" s="38"/>
      <x:c r="D28" s="38"/>
      <x:c r="E28" s="38"/>
      <x:c r="F28" s="38"/>
      <x:c r="G28" s="38"/>
      <x:c r="H28" s="38"/>
    </x:row>
    <x:row r="29" ht="34" customHeight="1">
      <x:c r="A29" s="38" t="str">
        <x:v>5. Recommend the final membrane only after all mandatory evidence is complete, and explain why the decision is not simply 'highest A' or 'lowest B'.</x:v>
      </x:c>
      <x:c r="B29" s="38"/>
      <x:c r="C29" s="38"/>
      <x:c r="D29" s="38"/>
      <x:c r="E29" s="38"/>
      <x:c r="F29" s="38"/>
      <x:c r="G29" s="38"/>
      <x:c r="H29" s="38"/>
    </x:row>
    <x:row r="30" ht="34" customHeight="1">
      <x:c r="A30" s="38"/>
      <x:c r="B30" s="38"/>
      <x:c r="C30" s="38"/>
      <x:c r="D30" s="38"/>
      <x:c r="E30" s="38"/>
      <x:c r="F30" s="38"/>
      <x:c r="G30" s="38"/>
      <x:c r="H30" s="38"/>
    </x:row>
    <x:row r="31">
      <x:c r="A31" s="41" t="str">
        <x:v>Multi-round principle: Nominal screening → shortlist → high-salinity stress → targeted temperature verification. Equivalent adaptive orders are acceptable if pruning is justified and all mandatory evidence is complete.</x:v>
      </x:c>
      <x:c r="B31" s="41"/>
      <x:c r="C31" s="41"/>
      <x:c r="D31" s="41"/>
      <x:c r="E31" s="41"/>
      <x:c r="F31" s="41"/>
      <x:c r="G31" s="41"/>
      <x:c r="H31" s="41"/>
    </x:row>
    <x:row r="32">
      <x:c r="A32" s="41"/>
      <x:c r="B32" s="41"/>
      <x:c r="C32" s="41"/>
      <x:c r="D32" s="41"/>
      <x:c r="E32" s="41"/>
      <x:c r="F32" s="41"/>
      <x:c r="G32" s="41"/>
      <x:c r="H32" s="41"/>
    </x:row>
    <x:row r="33">
      <x:c r="A33" s="38"/>
      <x:c r="B33" s="38"/>
      <x:c r="C33" s="38"/>
      <x:c r="D33" s="38"/>
      <x:c r="E33" s="38"/>
      <x:c r="F33" s="38"/>
      <x:c r="G33" s="38"/>
      <x:c r="H33" s="38"/>
    </x:row>
    <x:row r="34">
      <x:c r="A34" s="45" t="str">
        <x:v>Item difficulty: Harder. Reference efficient trajectory: ~9 simulate_ro calls.</x:v>
      </x:c>
      <x:c r="B34" s="45"/>
      <x:c r="C34" s="45"/>
      <x:c r="D34" s="45"/>
      <x:c r="E34" s="45"/>
      <x:c r="F34" s="45"/>
      <x:c r="G34" s="45"/>
      <x:c r="H34" s="45"/>
    </x:row>
  </x:sheetData>
  <x:mergeCells>
    <x:mergeCell ref="A1:H1"/>
    <x:mergeCell ref="A3:H5"/>
    <x:mergeCell ref="A17:D17"/>
    <x:mergeCell ref="A24:H24"/>
    <x:mergeCell ref="A25:H25"/>
    <x:mergeCell ref="A26:H26"/>
    <x:mergeCell ref="A27:H27"/>
    <x:mergeCell ref="A28:H28"/>
    <x:mergeCell ref="A29:H29"/>
    <x:mergeCell ref="A31:H32"/>
    <x:mergeCell ref="A34:H34"/>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4" hidden="0" customWidth="1"/>
    <x:col min="4" max="4" width="23" hidden="0" customWidth="1"/>
    <x:col min="5" max="5" width="17" hidden="0" customWidth="1"/>
    <x:col min="6" max="6" width="14" hidden="0" customWidth="1"/>
    <x:col min="7" max="7" width="12" hidden="0" customWidth="1"/>
    <x:col min="8" max="8" width="14" hidden="0" customWidth="1"/>
    <x:col min="9" max="9" width="14" hidden="0" customWidth="1"/>
    <x:col min="10" max="10" width="14" hidden="0" customWidth="1"/>
    <x:col min="11" max="11" width="12" hidden="0" customWidth="1"/>
    <x:col min="12" max="12" width="12" hidden="0" customWidth="1"/>
    <x:col min="13" max="13" width="12" hidden="0" customWidth="1"/>
    <x:col min="14" max="14" width="12" hidden="0" customWidth="1"/>
  </x:cols>
  <x:sheetData>
    <x:row r="1">
      <x:c r="A1" s="6" t="str">
        <x:v>D1-1b Gold Answer — Screening → Shortlist → Stress Test</x:v>
      </x:c>
      <x:c r="B1" s="6"/>
      <x:c r="C1" s="6"/>
      <x:c r="D1" s="6"/>
      <x:c r="E1" s="6"/>
      <x:c r="F1" s="6"/>
      <x:c r="G1" s="6"/>
      <x:c r="H1" s="6"/>
      <x:c r="I1" s="6"/>
      <x:c r="J1" s="6"/>
      <x:c r="K1" s="6"/>
      <x:c r="L1" s="6"/>
      <x:c r="M1" s="6"/>
      <x:c r="N1" s="6"/>
    </x:row>
    <x:row r="3">
      <x:c r="A3" s="50" t="str">
        <x:v>M2 and M3 pass nominal screening, and both remain feasible at 0.0315 salinity. At 25°C, M2 fails because recovery exceeds 48%, while M3 passes. M3 then passes the 35°C final check and is recommended.</x:v>
      </x:c>
      <x:c r="B3" s="50"/>
      <x:c r="C3" s="50"/>
      <x:c r="D3" s="50"/>
      <x:c r="E3" s="50"/>
      <x:c r="F3" s="50"/>
      <x:c r="G3" s="50"/>
      <x:c r="H3" s="50"/>
      <x:c r="I3" s="50"/>
      <x:c r="J3" s="50"/>
      <x:c r="K3" s="50"/>
      <x:c r="L3" s="50"/>
      <x:c r="M3" s="50"/>
      <x:c r="N3" s="50"/>
    </x:row>
    <x:row r="4">
      <x:c r="A4" s="50"/>
      <x:c r="B4" s="50"/>
      <x:c r="C4" s="50"/>
      <x:c r="D4" s="50"/>
      <x:c r="E4" s="50"/>
      <x:c r="F4" s="50"/>
      <x:c r="G4" s="50"/>
      <x:c r="H4" s="50"/>
      <x:c r="I4" s="50"/>
      <x:c r="J4" s="50"/>
      <x:c r="K4" s="50"/>
      <x:c r="L4" s="50"/>
      <x:c r="M4" s="50"/>
      <x:c r="N4" s="50"/>
    </x:row>
    <x:row r="6">
      <x:c r="A6" s="31" t="str">
        <x:v>Stage 1: Nominal screening (4 calls)</x:v>
      </x:c>
      <x:c r="B6" s="31"/>
      <x:c r="C6" s="31"/>
      <x:c r="D6" s="31"/>
      <x:c r="E6" s="31"/>
      <x:c r="F6" s="31"/>
      <x:c r="G6" s="31"/>
      <x:c r="H6" s="31"/>
      <x:c r="I6" s="31"/>
      <x:c r="J6" s="31"/>
      <x:c r="K6" s="31"/>
      <x:c r="L6" s="31"/>
      <x:c r="M6" s="31"/>
      <x:c r="N6" s="31"/>
    </x:row>
    <x:row r="7">
      <x:c r="A7" s="23" t="str">
        <x:v>Membrane</x:v>
      </x:c>
      <x:c r="B7" s="23" t="str">
        <x:v>A</x:v>
      </x:c>
      <x:c r="C7" s="23" t="str">
        <x:v>B</x:v>
      </x:c>
      <x:c r="D7" s="23" t="str">
        <x:v>Case</x:v>
      </x:c>
      <x:c r="E7" s="23" t="str">
        <x:v>Permeate kg/s</x:v>
      </x:c>
      <x:c r="F7" s="23" t="str">
        <x:v>Qp m³/h</x:v>
      </x:c>
      <x:c r="G7" s="23" t="str">
        <x:v>Flux</x:v>
      </x:c>
      <x:c r="H7" s="23" t="str">
        <x:v>Recovery %</x:v>
      </x:c>
      <x:c r="I7" s="23" t="str">
        <x:v>Rejection %</x:v>
      </x:c>
      <x:c r="J7" s="23" t="str">
        <x:v>NaCl mg/L</x:v>
      </x:c>
      <x:c r="K7" s="23" t="str">
        <x:v>Production</x:v>
      </x:c>
      <x:c r="L7" s="23" t="str">
        <x:v>Recovery</x:v>
      </x:c>
      <x:c r="M7" s="23" t="str">
        <x:v>Quality</x:v>
      </x:c>
      <x:c r="N7" s="23" t="str">
        <x:v>Overall</x:v>
      </x:c>
    </x:row>
    <x:row r="8">
      <x:c r="A8" s="38" t="str">
        <x:v>M1</x:v>
      </x:c>
      <x:c r="B8" s="62" t="n">
        <x:v>5e-12</x:v>
      </x:c>
      <x:c r="C8" s="62" t="n">
        <x:v>5e-8</x:v>
      </x:c>
      <x:c r="D8" s="38" t="str">
        <x:v>Nominal</x:v>
      </x:c>
      <x:c r="E8" s="70" t="n">
        <x:v>1.9676687252854945</x:v>
      </x:c>
      <x:c r="F8" s="70" t="n">
        <x:f>E8*3.6</x:f>
        <x:v>7.0836074110277805</x:v>
      </x:c>
      <x:c r="G8" s="70" t="n">
        <x:v>17.700163126495372</x:v>
      </x:c>
      <x:c r="H8" s="70" t="n">
        <x:v>49.3924715211225</x:v>
      </x:c>
      <x:c r="I8" s="70" t="n">
        <x:v>98.36969333719445</x:v>
      </x:c>
      <x:c r="J8" s="70" t="n">
        <x:v>500.050359103307</x:v>
      </x:c>
      <x:c r="K8" s="38" t="str">
        <x:f>IF(F8&gt;=6.1,"Pass","Fail")</x:f>
        <x:v>Pass</x:v>
      </x:c>
      <x:c r="L8" s="38" t="str">
        <x:f>IF(H8&lt;=48.0,"Pass","Fail")</x:f>
        <x:v>Fail</x:v>
      </x:c>
      <x:c r="M8" s="38" t="str">
        <x:f>IF(AND(G8&lt;=18.0,I8&gt;=98.7,J8&lt;=400),"Pass","Fail")</x:f>
        <x:v>Fail</x:v>
      </x:c>
      <x:c r="N8" s="38" t="str">
        <x:f>IF(AND(K8="Pass",L8="Pass",M8="Pass"),"Pass","Fail")</x:f>
        <x:v>Fail</x:v>
      </x:c>
    </x:row>
    <x:row r="9">
      <x:c r="A9" s="38" t="str">
        <x:v>M2</x:v>
      </x:c>
      <x:c r="B9" s="62" t="n">
        <x:v>4.5e-12</x:v>
      </x:c>
      <x:c r="C9" s="62" t="n">
        <x:v>3.6e-8</x:v>
      </x:c>
      <x:c r="D9" s="38" t="str">
        <x:v>Nominal</x:v>
      </x:c>
      <x:c r="E9" s="70" t="n">
        <x:v>1.8790336263419631</x:v>
      </x:c>
      <x:c r="F9" s="70" t="n">
        <x:f>E9*3.6</x:f>
        <x:v>6.764521054831067</x:v>
      </x:c>
      <x:c r="G9" s="70" t="n">
        <x:v>16.905008317413035</x:v>
      </x:c>
      <x:c r="H9" s="70" t="n">
        <x:v>47.17213169199223</x:v>
      </x:c>
      <x:c r="I9" s="70" t="n">
        <x:v>98.78665272598445</x:v>
      </x:c>
      <x:c r="J9" s="70" t="n">
        <x:v>372.1960276929393</x:v>
      </x:c>
      <x:c r="K9" s="38" t="str">
        <x:f>IF(F9&gt;=6.1,"Pass","Fail")</x:f>
        <x:v>Pass</x:v>
      </x:c>
      <x:c r="L9" s="38" t="str">
        <x:f>IF(H9&lt;=48.0,"Pass","Fail")</x:f>
        <x:v>Pass</x:v>
      </x:c>
      <x:c r="M9" s="38" t="str">
        <x:f>IF(AND(G9&lt;=18.0,I9&gt;=98.7,J9&lt;=400),"Pass","Fail")</x:f>
        <x:v>Pass</x:v>
      </x:c>
      <x:c r="N9" s="38" t="str">
        <x:f>IF(AND(K9="Pass",L9="Pass",M9="Pass"),"Pass","Fail")</x:f>
        <x:v>Pass</x:v>
      </x:c>
    </x:row>
    <x:row r="10">
      <x:c r="A10" s="38" t="str">
        <x:v>M3</x:v>
      </x:c>
      <x:c r="B10" s="62" t="n">
        <x:v>4.35e-12</x:v>
      </x:c>
      <x:c r="C10" s="62" t="n">
        <x:v>2.8e-8</x:v>
      </x:c>
      <x:c r="D10" s="38" t="str">
        <x:v>Nominal</x:v>
      </x:c>
      <x:c r="E10" s="70" t="n">
        <x:v>1.8474551756896311</x:v>
      </x:c>
      <x:c r="F10" s="70" t="n">
        <x:f>E10*3.6</x:f>
        <x:v>6.650838632482672</x:v>
      </x:c>
      <x:c r="G10" s="70" t="n">
        <x:v>16.622219523946235</x:v>
      </x:c>
      <x:c r="H10" s="70" t="n">
        <x:v>46.38215051880943</x:v>
      </x:c>
      <x:c r="I10" s="70" t="n">
        <x:v>99.04384390143302</x:v>
      </x:c>
      <x:c r="J10" s="70" t="n">
        <x:v>293.3198370880489</x:v>
      </x:c>
      <x:c r="K10" s="38" t="str">
        <x:f>IF(F10&gt;=6.1,"Pass","Fail")</x:f>
        <x:v>Pass</x:v>
      </x:c>
      <x:c r="L10" s="38" t="str">
        <x:f>IF(H10&lt;=48.0,"Pass","Fail")</x:f>
        <x:v>Pass</x:v>
      </x:c>
      <x:c r="M10" s="38" t="str">
        <x:f>IF(AND(G10&lt;=18.0,I10&gt;=98.7,J10&lt;=400),"Pass","Fail")</x:f>
        <x:v>Pass</x:v>
      </x:c>
      <x:c r="N10" s="38" t="str">
        <x:f>IF(AND(K10="Pass",L10="Pass",M10="Pass"),"Pass","Fail")</x:f>
        <x:v>Pass</x:v>
      </x:c>
    </x:row>
    <x:row r="11">
      <x:c r="A11" s="38" t="str">
        <x:v>M4</x:v>
      </x:c>
      <x:c r="B11" s="62" t="n">
        <x:v>3.3e-12</x:v>
      </x:c>
      <x:c r="C11" s="62" t="n">
        <x:v>2.4e-8</x:v>
      </x:c>
      <x:c r="D11" s="38" t="str">
        <x:v>Nominal</x:v>
      </x:c>
      <x:c r="E11" s="70" t="n">
        <x:v>1.6642722844347768</x:v>
      </x:c>
      <x:c r="F11" s="70" t="n">
        <x:f>E11*3.6</x:f>
        <x:v>5.991380223965197</x:v>
      </x:c>
      <x:c r="G11" s="70" t="n">
        <x:v>14.974466952436693</x:v>
      </x:c>
      <x:c r="H11" s="70" t="n">
        <x:v>41.78403525493836</x:v>
      </x:c>
      <x:c r="I11" s="70" t="n">
        <x:v>99.13306210837229</x:v>
      </x:c>
      <x:c r="J11" s="70" t="n">
        <x:v>265.955911819047</x:v>
      </x:c>
      <x:c r="K11" s="38" t="str">
        <x:f>IF(F11&gt;=6.1,"Pass","Fail")</x:f>
        <x:v>Fail</x:v>
      </x:c>
      <x:c r="L11" s="38" t="str">
        <x:f>IF(H11&lt;=48.0,"Pass","Fail")</x:f>
        <x:v>Pass</x:v>
      </x:c>
      <x:c r="M11" s="38" t="str">
        <x:f>IF(AND(G11&lt;=18.0,I11&gt;=98.7,J11&lt;=400),"Pass","Fail")</x:f>
        <x:v>Pass</x:v>
      </x:c>
      <x:c r="N11" s="38" t="str">
        <x:f>IF(AND(K11="Pass",L11="Pass",M11="Pass"),"Pass","Fail")</x:f>
        <x:v>Fail</x:v>
      </x:c>
    </x:row>
    <x:row r="12">
      <x:c r="A12" s="38"/>
      <x:c r="B12" s="62"/>
      <x:c r="C12" s="62"/>
      <x:c r="D12" s="38"/>
      <x:c r="E12" s="70"/>
      <x:c r="F12" s="70"/>
      <x:c r="G12" s="70"/>
      <x:c r="H12" s="70"/>
      <x:c r="I12" s="70"/>
      <x:c r="J12" s="70"/>
      <x:c r="K12" s="38"/>
      <x:c r="L12" s="38"/>
      <x:c r="M12" s="38"/>
      <x:c r="N12" s="38"/>
    </x:row>
    <x:row r="13">
      <x:c r="A13" s="31" t="str">
        <x:v>Stage 2: High-salinity stress (2 calls)</x:v>
      </x:c>
      <x:c r="B13" s="63"/>
      <x:c r="C13" s="63"/>
      <x:c r="D13" s="31"/>
      <x:c r="E13" s="71"/>
      <x:c r="F13" s="71"/>
      <x:c r="G13" s="71"/>
      <x:c r="H13" s="71"/>
      <x:c r="I13" s="71"/>
      <x:c r="J13" s="71"/>
      <x:c r="K13" s="31"/>
      <x:c r="L13" s="31"/>
      <x:c r="M13" s="31"/>
      <x:c r="N13" s="31"/>
    </x:row>
    <x:row r="14">
      <x:c r="A14" s="23" t="str">
        <x:v>Membrane</x:v>
      </x:c>
      <x:c r="B14" s="64" t="str">
        <x:v>A</x:v>
      </x:c>
      <x:c r="C14" s="64" t="str">
        <x:v>B</x:v>
      </x:c>
      <x:c r="D14" s="23" t="str">
        <x:v>Case</x:v>
      </x:c>
      <x:c r="E14" s="72" t="str">
        <x:v>Permeate kg/s</x:v>
      </x:c>
      <x:c r="F14" s="72" t="str">
        <x:v>Qp m³/h</x:v>
      </x:c>
      <x:c r="G14" s="72" t="str">
        <x:v>Flux</x:v>
      </x:c>
      <x:c r="H14" s="72" t="str">
        <x:v>Recovery %</x:v>
      </x:c>
      <x:c r="I14" s="72" t="str">
        <x:v>Rejection %</x:v>
      </x:c>
      <x:c r="J14" s="72" t="str">
        <x:v>NaCl mg/L</x:v>
      </x:c>
      <x:c r="K14" s="23" t="str">
        <x:v>Production</x:v>
      </x:c>
      <x:c r="L14" s="23" t="str">
        <x:v>Recovery</x:v>
      </x:c>
      <x:c r="M14" s="23" t="str">
        <x:v>Quality</x:v>
      </x:c>
      <x:c r="N14" s="23" t="str">
        <x:v>Overall</x:v>
      </x:c>
    </x:row>
    <x:row r="15">
      <x:c r="A15" s="38" t="str">
        <x:v>M2</x:v>
      </x:c>
      <x:c r="B15" s="62" t="n">
        <x:v>4.5e-12</x:v>
      </x:c>
      <x:c r="C15" s="62" t="n">
        <x:v>3.6e-8</x:v>
      </x:c>
      <x:c r="D15" s="38" t="str">
        <x:v>High salinity</x:v>
      </x:c>
      <x:c r="E15" s="70" t="n">
        <x:v>1.773556295829272</x:v>
      </x:c>
      <x:c r="F15" s="70" t="n">
        <x:f>E15*3.6</x:f>
        <x:v>6.384802664985379</x:v>
      </x:c>
      <x:c r="G15" s="70" t="n">
        <x:v>15.955622779571984</x:v>
      </x:c>
      <x:c r="H15" s="70" t="n">
        <x:v>44.57285371813418</x:v>
      </x:c>
      <x:c r="I15" s="70" t="n">
        <x:v>98.75964215412817</x:v>
      </x:c>
      <x:c r="J15" s="70" t="n">
        <x:v>399.94237732529103</x:v>
      </x:c>
      <x:c r="K15" s="38" t="str">
        <x:f>IF(F15&gt;=6.1,"Pass","Fail")</x:f>
        <x:v>Pass</x:v>
      </x:c>
      <x:c r="L15" s="38" t="str">
        <x:f>IF(H15&lt;=48.0,"Pass","Fail")</x:f>
        <x:v>Pass</x:v>
      </x:c>
      <x:c r="M15" s="38" t="str">
        <x:f>IF(AND(G15&lt;=18.0,I15&gt;=98.7,J15&lt;=400),"Pass","Fail")</x:f>
        <x:v>Pass</x:v>
      </x:c>
      <x:c r="N15" s="38" t="str">
        <x:f>IF(AND(K15="Pass",L15="Pass",M15="Pass"),"Pass","Fail")</x:f>
        <x:v>Pass</x:v>
      </x:c>
    </x:row>
    <x:row r="16">
      <x:c r="A16" s="38" t="str">
        <x:v>M3</x:v>
      </x:c>
      <x:c r="B16" s="62" t="n">
        <x:v>4.35e-12</x:v>
      </x:c>
      <x:c r="C16" s="62" t="n">
        <x:v>2.8e-8</x:v>
      </x:c>
      <x:c r="D16" s="38" t="str">
        <x:v>High salinity</x:v>
      </x:c>
      <x:c r="E16" s="70" t="n">
        <x:v>1.7426911042284972</x:v>
      </x:c>
      <x:c r="F16" s="70" t="n">
        <x:f>E16*3.6</x:f>
        <x:v>6.27368797522259</x:v>
      </x:c>
      <x:c r="G16" s="70" t="n">
        <x:v>15.679271339867729</x:v>
      </x:c>
      <x:c r="H16" s="70" t="n">
        <x:v>43.79996139858595</x:v>
      </x:c>
      <x:c r="I16" s="70" t="n">
        <x:v>99.02154469832868</x:v>
      </x:c>
      <x:c r="J16" s="70" t="n">
        <x:v>315.5144602850318</x:v>
      </x:c>
      <x:c r="K16" s="38" t="str">
        <x:f>IF(F16&gt;=6.1,"Pass","Fail")</x:f>
        <x:v>Pass</x:v>
      </x:c>
      <x:c r="L16" s="38" t="str">
        <x:f>IF(H16&lt;=48.0,"Pass","Fail")</x:f>
        <x:v>Pass</x:v>
      </x:c>
      <x:c r="M16" s="38" t="str">
        <x:f>IF(AND(G16&lt;=18.0,I16&gt;=98.7,J16&lt;=400),"Pass","Fail")</x:f>
        <x:v>Pass</x:v>
      </x:c>
      <x:c r="N16" s="38" t="str">
        <x:f>IF(AND(K16="Pass",L16="Pass",M16="Pass"),"Pass","Fail")</x:f>
        <x:v>Pass</x:v>
      </x:c>
    </x:row>
    <x:row r="17">
      <x:c r="A17" s="38"/>
      <x:c r="B17" s="62"/>
      <x:c r="C17" s="62"/>
      <x:c r="D17" s="38"/>
      <x:c r="E17" s="70"/>
      <x:c r="F17" s="70"/>
      <x:c r="G17" s="70"/>
      <x:c r="H17" s="70"/>
      <x:c r="I17" s="70"/>
      <x:c r="J17" s="70"/>
      <x:c r="K17" s="38"/>
      <x:c r="L17" s="38"/>
      <x:c r="M17" s="38"/>
      <x:c r="N17" s="38"/>
    </x:row>
    <x:row r="18">
      <x:c r="A18" s="31" t="str">
        <x:v>Stage 3: Targeted temperature verification (3 calls)</x:v>
      </x:c>
      <x:c r="B18" s="63"/>
      <x:c r="C18" s="63"/>
      <x:c r="D18" s="31"/>
      <x:c r="E18" s="71"/>
      <x:c r="F18" s="71"/>
      <x:c r="G18" s="71"/>
      <x:c r="H18" s="71"/>
      <x:c r="I18" s="71"/>
      <x:c r="J18" s="71"/>
      <x:c r="K18" s="31"/>
      <x:c r="L18" s="31"/>
      <x:c r="M18" s="31"/>
      <x:c r="N18" s="31"/>
    </x:row>
    <x:row r="19">
      <x:c r="A19" s="23" t="str">
        <x:v>Membrane</x:v>
      </x:c>
      <x:c r="B19" s="64" t="str">
        <x:v>A</x:v>
      </x:c>
      <x:c r="C19" s="64" t="str">
        <x:v>B</x:v>
      </x:c>
      <x:c r="D19" s="23" t="str">
        <x:v>Case</x:v>
      </x:c>
      <x:c r="E19" s="72" t="str">
        <x:v>Permeate kg/s</x:v>
      </x:c>
      <x:c r="F19" s="72" t="str">
        <x:v>Qp m³/h</x:v>
      </x:c>
      <x:c r="G19" s="72" t="str">
        <x:v>Flux</x:v>
      </x:c>
      <x:c r="H19" s="72" t="str">
        <x:v>Recovery %</x:v>
      </x:c>
      <x:c r="I19" s="72" t="str">
        <x:v>Rejection %</x:v>
      </x:c>
      <x:c r="J19" s="72" t="str">
        <x:v>NaCl mg/L</x:v>
      </x:c>
      <x:c r="K19" s="23" t="str">
        <x:v>Production</x:v>
      </x:c>
      <x:c r="L19" s="23" t="str">
        <x:v>Recovery</x:v>
      </x:c>
      <x:c r="M19" s="23" t="str">
        <x:v>Quality</x:v>
      </x:c>
      <x:c r="N19" s="23" t="str">
        <x:v>Overall</x:v>
      </x:c>
    </x:row>
    <x:row r="20">
      <x:c r="A20" s="38" t="str">
        <x:v>M2</x:v>
      </x:c>
      <x:c r="B20" s="62" t="n">
        <x:v>4.5e-12</x:v>
      </x:c>
      <x:c r="C20" s="62" t="n">
        <x:v>3.6e-8</x:v>
      </x:c>
      <x:c r="D20" s="38" t="str">
        <x:v>25°C low-temperature</x:v>
      </x:c>
      <x:c r="E20" s="70" t="n">
        <x:v>1.9244242696051177</x:v>
      </x:c>
      <x:c r="F20" s="70" t="n">
        <x:f>E20*3.6</x:f>
        <x:v>6.9279273705784234</x:v>
      </x:c>
      <x:c r="G20" s="70" t="n">
        <x:v>17.31342271574865</x:v>
      </x:c>
      <x:c r="H20" s="70" t="n">
        <x:v>48.31174678436678</x:v>
      </x:c>
      <x:c r="I20" s="70" t="n">
        <x:v>98.79619014012206</x:v>
      </x:c>
      <x:c r="J20" s="70" t="n">
        <x:v>369.271232522954</x:v>
      </x:c>
      <x:c r="K20" s="38" t="str">
        <x:f>IF(F20&gt;=6.1,"Pass","Fail")</x:f>
        <x:v>Pass</x:v>
      </x:c>
      <x:c r="L20" s="38" t="str">
        <x:f>IF(H20&lt;=48.0,"Pass","Fail")</x:f>
        <x:v>Fail</x:v>
      </x:c>
      <x:c r="M20" s="38" t="str">
        <x:f>IF(AND(G20&lt;=18.0,I20&gt;=98.7,J20&lt;=400),"Pass","Fail")</x:f>
        <x:v>Pass</x:v>
      </x:c>
      <x:c r="N20" s="38" t="str">
        <x:f>IF(AND(K20="Pass",L20="Pass",M20="Pass"),"Pass","Fail")</x:f>
        <x:v>Fail</x:v>
      </x:c>
    </x:row>
    <x:row r="21">
      <x:c r="A21" s="38" t="str">
        <x:v>M3</x:v>
      </x:c>
      <x:c r="B21" s="62" t="n">
        <x:v>4.35e-12</x:v>
      </x:c>
      <x:c r="C21" s="62" t="n">
        <x:v>2.8e-8</x:v>
      </x:c>
      <x:c r="D21" s="38" t="str">
        <x:v>25°C low-temperature</x:v>
      </x:c>
      <x:c r="E21" s="70" t="n">
        <x:v>1.892543112768839</x:v>
      </x:c>
      <x:c r="F21" s="70" t="n">
        <x:f>E21*3.6</x:f>
        <x:v>6.813155205967821</x:v>
      </x:c>
      <x:c r="G21" s="70" t="n">
        <x:v>17.027933218399074</x:v>
      </x:c>
      <x:c r="H21" s="70" t="n">
        <x:v>47.51421431351527</x:v>
      </x:c>
      <x:c r="I21" s="70" t="n">
        <x:v>99.05174727928785</x:v>
      </x:c>
      <x:c r="J21" s="70" t="n">
        <x:v>290.89585489760395</x:v>
      </x:c>
      <x:c r="K21" s="38" t="str">
        <x:f>IF(F21&gt;=6.1,"Pass","Fail")</x:f>
        <x:v>Pass</x:v>
      </x:c>
      <x:c r="L21" s="38" t="str">
        <x:f>IF(H21&lt;=48.0,"Pass","Fail")</x:f>
        <x:v>Pass</x:v>
      </x:c>
      <x:c r="M21" s="38" t="str">
        <x:f>IF(AND(G21&lt;=18.0,I21&gt;=98.7,J21&lt;=400),"Pass","Fail")</x:f>
        <x:v>Pass</x:v>
      </x:c>
      <x:c r="N21" s="38" t="str">
        <x:f>IF(AND(K21="Pass",L21="Pass",M21="Pass"),"Pass","Fail")</x:f>
        <x:v>Pass</x:v>
      </x:c>
    </x:row>
    <x:row r="22">
      <x:c r="A22" s="38" t="str">
        <x:v>M3</x:v>
      </x:c>
      <x:c r="B22" s="62" t="n">
        <x:v>4.35e-12</x:v>
      </x:c>
      <x:c r="C22" s="62" t="n">
        <x:v>2.8e-8</x:v>
      </x:c>
      <x:c r="D22" s="38" t="str">
        <x:v>35°C high-temperature</x:v>
      </x:c>
      <x:c r="E22" s="70" t="n">
        <x:v>1.828223514803658</x:v>
      </x:c>
      <x:c r="F22" s="70" t="n">
        <x:f>E22*3.6</x:f>
        <x:v>6.581604653293169</x:v>
      </x:c>
      <x:c r="G22" s="70" t="n">
        <x:v>16.449166938359838</x:v>
      </x:c>
      <x:c r="H22" s="70" t="n">
        <x:v>45.89928205146083</x:v>
      </x:c>
      <x:c r="I22" s="70" t="n">
        <x:v>99.04019642553173</x:v>
      </x:c>
      <x:c r="J22" s="70" t="n">
        <x:v>294.4385224146619</x:v>
      </x:c>
      <x:c r="K22" s="38" t="str">
        <x:f>IF(F22&gt;=6.1,"Pass","Fail")</x:f>
        <x:v>Pass</x:v>
      </x:c>
      <x:c r="L22" s="38" t="str">
        <x:f>IF(H22&lt;=48.0,"Pass","Fail")</x:f>
        <x:v>Pass</x:v>
      </x:c>
      <x:c r="M22" s="38" t="str">
        <x:f>IF(AND(G22&lt;=18.0,I22&gt;=98.7,J22&lt;=400),"Pass","Fail")</x:f>
        <x:v>Pass</x:v>
      </x:c>
      <x:c r="N22" s="38" t="str">
        <x:f>IF(AND(K22="Pass",L22="Pass",M22="Pass"),"Pass","Fail")</x:f>
        <x:v>Pass</x:v>
      </x:c>
    </x:row>
    <x:row r="23">
      <x:c r="A23" s="38"/>
      <x:c r="B23" s="62"/>
      <x:c r="C23" s="62"/>
      <x:c r="D23" s="38"/>
      <x:c r="E23" s="70"/>
      <x:c r="F23" s="70"/>
      <x:c r="G23" s="70"/>
      <x:c r="H23" s="70"/>
      <x:c r="I23" s="70"/>
      <x:c r="J23" s="70"/>
      <x:c r="K23" s="38"/>
      <x:c r="L23" s="38"/>
      <x:c r="M23" s="38"/>
      <x:c r="N23" s="38"/>
    </x:row>
    <x:row r="24">
      <x:c r="A24" s="23" t="str">
        <x:v>Node</x:v>
      </x:c>
      <x:c r="B24" s="64" t="str">
        <x:v>Candidate/result</x:v>
      </x:c>
      <x:c r="C24" s="64" t="str">
        <x:v>Key evidence</x:v>
      </x:c>
      <x:c r="D24" s="23" t="str">
        <x:v>Keep?</x:v>
      </x:c>
      <x:c r="E24" s="72" t="str">
        <x:v>Reason</x:v>
      </x:c>
      <x:c r="F24" s="72" t="str">
        <x:v>Next action</x:v>
      </x:c>
      <x:c r="G24" s="70"/>
      <x:c r="H24" s="70"/>
      <x:c r="I24" s="70"/>
      <x:c r="J24" s="70"/>
      <x:c r="K24" s="38"/>
      <x:c r="L24" s="38"/>
      <x:c r="M24" s="38"/>
      <x:c r="N24" s="38"/>
    </x:row>
    <x:row r="25">
      <x:c r="A25" s="38" t="str">
        <x:v>Nominal</x:v>
      </x:c>
      <x:c r="B25" s="62" t="str">
        <x:v>M1/M4 eliminated</x:v>
      </x:c>
      <x:c r="C25" s="62" t="str">
        <x:v>M1: recovery/quality fail; M4: low production</x:v>
      </x:c>
      <x:c r="D25" s="38" t="str">
        <x:v>No</x:v>
      </x:c>
      <x:c r="E25" s="70" t="str">
        <x:v>Hard constraints fail</x:v>
      </x:c>
      <x:c r="F25" s="70" t="str">
        <x:v>Stop both</x:v>
      </x:c>
      <x:c r="G25" s="70"/>
      <x:c r="H25" s="70"/>
      <x:c r="I25" s="70"/>
      <x:c r="J25" s="70"/>
      <x:c r="K25" s="38"/>
      <x:c r="L25" s="38"/>
      <x:c r="M25" s="38"/>
      <x:c r="N25" s="38"/>
    </x:row>
    <x:row r="26">
      <x:c r="A26" s="38" t="str">
        <x:v>Nominal</x:v>
      </x:c>
      <x:c r="B26" s="62" t="str">
        <x:v>M2/M3 retained</x:v>
      </x:c>
      <x:c r="C26" s="62" t="str">
        <x:v>Both pass nominal screening</x:v>
      </x:c>
      <x:c r="D26" s="38" t="str">
        <x:v>Yes</x:v>
      </x:c>
      <x:c r="E26" s="70" t="str">
        <x:v>Enter 0.0315 salinity stress</x:v>
      </x:c>
      <x:c r="F26" s="70" t="str">
        <x:v>Test M2/M3</x:v>
      </x:c>
      <x:c r="G26" s="70"/>
      <x:c r="H26" s="70"/>
      <x:c r="I26" s="70"/>
      <x:c r="J26" s="70"/>
      <x:c r="K26" s="38"/>
      <x:c r="L26" s="38"/>
      <x:c r="M26" s="38"/>
      <x:c r="N26" s="38"/>
    </x:row>
    <x:row r="27">
      <x:c r="A27" s="38" t="str">
        <x:v>High salinity</x:v>
      </x:c>
      <x:c r="B27" s="62" t="str">
        <x:v>M2/M3 both pass</x:v>
      </x:c>
      <x:c r="C27" s="62" t="str">
        <x:v>M2 NaCl ≈ 399.94; M3 ≈ 315.51</x:v>
      </x:c>
      <x:c r="D27" s="38" t="str">
        <x:v>Yes</x:v>
      </x:c>
      <x:c r="E27" s="70" t="str">
        <x:v>Stress does not discriminate</x:v>
      </x:c>
      <x:c r="F27" s="70" t="str">
        <x:v>Move to low-temperature test</x:v>
      </x:c>
      <x:c r="G27" s="70"/>
      <x:c r="H27" s="70"/>
      <x:c r="I27" s="70"/>
      <x:c r="J27" s="70"/>
      <x:c r="K27" s="38"/>
      <x:c r="L27" s="38"/>
      <x:c r="M27" s="38"/>
      <x:c r="N27" s="38"/>
    </x:row>
    <x:row r="28">
      <x:c r="A28" s="38" t="str">
        <x:v>25°C</x:v>
      </x:c>
      <x:c r="B28" s="62" t="str">
        <x:v>M2 eliminated; M3 passes</x:v>
      </x:c>
      <x:c r="C28" s="62" t="str">
        <x:v>M2 recovery ≈ 48.31% &gt; 48; M3 ≈ 47.51%</x:v>
      </x:c>
      <x:c r="D28" s="38" t="str">
        <x:v>M3</x:v>
      </x:c>
      <x:c r="E28" s="70" t="str">
        <x:v>Cold condition is decisive</x:v>
      </x:c>
      <x:c r="F28" s="70" t="str">
        <x:v>Stop M2</x:v>
      </x:c>
      <x:c r="G28" s="70"/>
      <x:c r="H28" s="70"/>
      <x:c r="I28" s="70"/>
      <x:c r="J28" s="70"/>
      <x:c r="K28" s="38"/>
      <x:c r="L28" s="38"/>
      <x:c r="M28" s="38"/>
      <x:c r="N28" s="38"/>
    </x:row>
    <x:row r="29">
      <x:c r="A29" s="38" t="str">
        <x:v>35°C final</x:v>
      </x:c>
      <x:c r="B29" s="62" t="str">
        <x:v>M3 passes</x:v>
      </x:c>
      <x:c r="C29" s="62" t="str">
        <x:v>Qp ≈ 6.582; recovery ≈ 45.90%; quality passes</x:v>
      </x:c>
      <x:c r="D29" s="38" t="str">
        <x:v>M3</x:v>
      </x:c>
      <x:c r="E29" s="70" t="str">
        <x:v>Only fully qualified candidate</x:v>
      </x:c>
      <x:c r="F29" s="70" t="str">
        <x:v>Recommend M3</x:v>
      </x:c>
      <x:c r="G29" s="70"/>
      <x:c r="H29" s="70"/>
      <x:c r="I29" s="70"/>
      <x:c r="J29" s="70"/>
      <x:c r="K29" s="38"/>
      <x:c r="L29" s="38"/>
      <x:c r="M29" s="38"/>
      <x:c r="N29" s="38"/>
    </x:row>
    <x:row r="30">
      <x:c r="A30" s="38"/>
      <x:c r="B30" s="62"/>
      <x:c r="C30" s="62"/>
      <x:c r="D30" s="38"/>
      <x:c r="E30" s="70"/>
      <x:c r="F30" s="70"/>
      <x:c r="G30" s="70"/>
      <x:c r="H30" s="70"/>
      <x:c r="I30" s="70"/>
      <x:c r="J30" s="70"/>
      <x:c r="K30" s="38"/>
      <x:c r="L30" s="38"/>
      <x:c r="M30" s="38"/>
      <x:c r="N30" s="38"/>
    </x:row>
    <x:row r="31">
      <x:c r="A31" s="57" t="str">
        <x:v>Final recommendation: M3. The selection reflects the permeability–selectivity trade-off across all mandatory cases, not a simple preference for the highest A or lowest B.</x:v>
      </x:c>
      <x:c r="B31" s="65"/>
      <x:c r="C31" s="65"/>
      <x:c r="D31" s="57"/>
      <x:c r="E31" s="73"/>
      <x:c r="F31" s="73"/>
      <x:c r="G31" s="73"/>
      <x:c r="H31" s="73"/>
      <x:c r="I31" s="73"/>
      <x:c r="J31" s="73"/>
      <x:c r="K31" s="57"/>
      <x:c r="L31" s="57"/>
      <x:c r="M31" s="57"/>
      <x:c r="N31" s="57"/>
    </x:row>
    <x:row r="32">
      <x:c r="A32" s="57"/>
      <x:c r="B32" s="57"/>
      <x:c r="C32" s="57"/>
      <x:c r="D32" s="57"/>
      <x:c r="E32" s="57"/>
      <x:c r="F32" s="57"/>
      <x:c r="G32" s="57"/>
      <x:c r="H32" s="57"/>
      <x:c r="I32" s="57"/>
      <x:c r="J32" s="57"/>
      <x:c r="K32" s="57"/>
      <x:c r="L32" s="57"/>
      <x:c r="M32" s="57"/>
      <x:c r="N32" s="57"/>
    </x:row>
  </x:sheetData>
  <x:mergeCells>
    <x:mergeCell ref="A1:N1"/>
    <x:mergeCell ref="A3:N4"/>
    <x:mergeCell ref="A6:N6"/>
    <x:mergeCell ref="A13:N13"/>
    <x:mergeCell ref="A18:N18"/>
    <x:mergeCell ref="A31:N32"/>
  </x:mergeCells>
  <x:pageMargins left="0.7" right="0.7" top="0.75" bottom="0.75" header="0.3" footer="0.3"/>
</x:worksheet>
</file>

<file path=xl/worksheets/sheet3.xml><?xml version="1.0" encoding="utf-8"?>
<x:worksheet xmlns:x="http://schemas.openxmlformats.org/spreadsheetml/2006/main">
  <x:sheetFormatPr defaultRowHeight="15"/>
  <x:cols>
    <x:col min="1" max="1" width="23" hidden="0" customWidth="1"/>
    <x:col min="2" max="2" width="28" hidden="0" customWidth="1"/>
    <x:col min="3" max="3" width="48" hidden="0" customWidth="1"/>
    <x:col min="4" max="4" width="38" hidden="0" customWidth="1"/>
    <x:col min="5" max="5" width="38" hidden="0" customWidth="1"/>
    <x:col min="6" max="6" width="10" hidden="0" customWidth="1"/>
    <x:col min="7" max="7" width="10" hidden="0" customWidth="1"/>
  </x:cols>
  <x:sheetData>
    <x:row r="1">
      <x:c r="A1" s="6" t="str">
        <x:v>D1-1b: Trajectory Quality (100 points)</x:v>
      </x:c>
      <x:c r="B1" s="6"/>
      <x:c r="C1" s="6"/>
      <x:c r="D1" s="6"/>
      <x:c r="E1" s="6"/>
      <x:c r="F1" s="6"/>
      <x:c r="G1" s="6"/>
    </x:row>
    <x:row r="3">
      <x:c r="A3" s="78" t="str">
        <x:v>Evaluate the full state → plan → tool call → observation → shortlist update → next action → stopping/decision trajectory. Exact replication of the reference path is not required. Alternative orders receive full credit when they are evidence-driven, correctly pruned, and complete.</x:v>
      </x:c>
      <x:c r="B3" s="78"/>
      <x:c r="C3" s="78"/>
      <x:c r="D3" s="78"/>
      <x:c r="E3" s="78"/>
      <x:c r="F3" s="78"/>
      <x:c r="G3" s="78"/>
    </x:row>
    <x:row r="4">
      <x:c r="A4" s="78"/>
      <x:c r="B4" s="78"/>
      <x:c r="C4" s="78"/>
      <x:c r="D4" s="78"/>
      <x:c r="E4" s="78"/>
      <x:c r="F4" s="78"/>
      <x:c r="G4" s="78"/>
    </x:row>
    <x:row r="6">
      <x:c r="A6" s="23" t="str">
        <x:v>Dimension</x:v>
      </x:c>
      <x:c r="B6" s="23" t="str">
        <x:v>Focus</x:v>
      </x:c>
      <x:c r="C6" s="23" t="str">
        <x:v>Full-credit evidence</x:v>
      </x:c>
      <x:c r="D6" s="23" t="str">
        <x:v>Partial credit</x:v>
      </x:c>
      <x:c r="E6" s="23" t="str">
        <x:v>Critical failure</x:v>
      </x:c>
      <x:c r="F6" s="23" t="str">
        <x:v>Weight</x:v>
      </x:c>
      <x:c r="G6" s="23" t="str">
        <x:v>Score</x:v>
      </x:c>
    </x:row>
    <x:row r="7" ht="48" customHeight="1">
      <x:c r="A7" s="38" t="str">
        <x:v>TQ1 Problem representation</x:v>
      </x:c>
      <x:c r="B7" s="38" t="str">
        <x:v>Correctly identify A/B as membrane-selection variables and recognize the permeability–selectivity trade-off.</x:v>
      </x:c>
      <x:c r="C7" s="38" t="str">
        <x:v>A primarily affects water permeability/productivity; B mainly affects salt passage. Every candidate must satisfy all mandatory cases.</x:v>
      </x:c>
      <x:c r="D7" s="38" t="str">
        <x:v>Trade-off is understood but one constraint or multi-case requirement is underdeveloped.</x:v>
      </x:c>
      <x:c r="E7" s="38" t="str">
        <x:v>Ranks membranes only by highest A or lowest B; changes fixed area/pressure between candidates.</x:v>
      </x:c>
      <x:c r="F7" s="38" t="n">
        <x:v>15</x:v>
      </x:c>
      <x:c r="G7" s="38"/>
    </x:row>
    <x:row r="8" ht="48" customHeight="1">
      <x:c r="A8" s="38" t="str">
        <x:v>TQ2 Planning and decomposition</x:v>
      </x:c>
      <x:c r="B8" s="38" t="str">
        <x:v>Build a screening → shortlist → stress → verification workflow.</x:v>
      </x:c>
      <x:c r="C8" s="38" t="str">
        <x:v>Nominal screen all 4; prune; stress only shortlist; continue targeted verification until M3 is fully qualified.</x:v>
      </x:c>
      <x:c r="D8" s="38" t="str">
        <x:v>Overall plan is reasonable but pruning or one final check is missing.</x:v>
      </x:c>
      <x:c r="E8" s="38" t="str">
        <x:v>Brute-force all membrane×case combinations or select from nominal results only.</x:v>
      </x:c>
      <x:c r="F8" s="38" t="n">
        <x:v>15</x:v>
      </x:c>
      <x:c r="G8" s="38"/>
    </x:row>
    <x:row r="9" ht="48" customHeight="1">
      <x:c r="A9" s="38" t="str">
        <x:v>TQ3 Tool-call correctness</x:v>
      </x:c>
      <x:c r="B9" s="38" t="str">
        <x:v>Use simulate_ro fairly and consistently.</x:v>
      </x:c>
      <x:c r="C9" s="38" t="str">
        <x:v>All hydraulic inputs remain fixed across membranes; only A/B and specified case salinity/temperature vary; outputs are read with correct units.</x:v>
      </x:c>
      <x:c r="D9" s="38" t="str">
        <x:v>Minor input/unit issue that does not alter elimination logic.</x:v>
      </x:c>
      <x:c r="E9" s="38" t="str">
        <x:v>Changes pressure/area across membranes or misreads units/thresholds.</x:v>
      </x:c>
      <x:c r="F9" s="38" t="n">
        <x:v>20</x:v>
      </x:c>
      <x:c r="G9" s="38"/>
    </x:row>
    <x:row r="10" ht="48" customHeight="1">
      <x:c r="A10" s="38" t="str">
        <x:v>TQ4 Observation and state update</x:v>
      </x:c>
      <x:c r="B10" s="38" t="str">
        <x:v>Maintain the shortlist correctly after every call.</x:v>
      </x:c>
      <x:c r="C10" s="38" t="str">
        <x:v>M2 and M3 pass nominal screening, and both remain feasible at 0.0315 salinity. At 25°C, M2 fails because recovery exceeds 48%, while M3 passes. M3 then passes the 35°C final check and is recommended.</x:v>
      </x:c>
      <x:c r="D10" s="38" t="str">
        <x:v>Final shortlist is correct but one elimination reason is incomplete.</x:v>
      </x:c>
      <x:c r="E10" s="38" t="str">
        <x:v>Keeps a failed membrane or eliminates a feasible membrane.</x:v>
      </x:c>
      <x:c r="F10" s="38" t="n">
        <x:v>20</x:v>
      </x:c>
      <x:c r="G10" s="38"/>
    </x:row>
    <x:row r="11" ht="48" customHeight="1">
      <x:c r="A11" s="38" t="str">
        <x:v>TQ5 Adaptive comparison and replanning</x:v>
      </x:c>
      <x:c r="B11" s="38" t="str">
        <x:v>Use each result to choose the next informative call.</x:v>
      </x:c>
      <x:c r="C11" s="38" t="str">
        <x:v>Calls are pruned adaptively; reference trajectory is about 9 simulate_ro calls.</x:v>
      </x:c>
      <x:c r="D11" s="38" t="str">
        <x:v>Some redundant calls but the sequence remains mostly evidence-driven.</x:v>
      </x:c>
      <x:c r="E11" s="38" t="str">
        <x:v>Continues testing eliminated branches or uses a fixed full grid independent of observations.</x:v>
      </x:c>
      <x:c r="F11" s="38" t="n">
        <x:v>20</x:v>
      </x:c>
      <x:c r="G11" s="38"/>
    </x:row>
    <x:row r="12" ht="48" customHeight="1">
      <x:c r="A12" s="38" t="str">
        <x:v>TQ6 Stopping and engineering decision</x:v>
      </x:c>
      <x:c r="B12" s="38" t="str">
        <x:v>Stop only after mandatory evidence is sufficient.</x:v>
      </x:c>
      <x:c r="C12" s="38" t="str">
        <x:v>Recommend M3 only after all required cases are verified; explain the A/B balance and the controlling failure modes of alternatives.</x:v>
      </x:c>
      <x:c r="D12" s="38" t="str">
        <x:v>Correct recommendation but incomplete final explanation or one missing verification.</x:v>
      </x:c>
      <x:c r="E12" s="38" t="str">
        <x:v>Wrong membrane or premature stopping.</x:v>
      </x:c>
      <x:c r="F12" s="38" t="n">
        <x:v>10</x:v>
      </x:c>
      <x:c r="G12" s="38"/>
    </x:row>
    <x:row r="13">
      <x:c r="A13" s="38"/>
      <x:c r="B13" s="38"/>
      <x:c r="C13" s="38"/>
      <x:c r="D13" s="38"/>
      <x:c r="E13" s="38"/>
      <x:c r="F13" s="57" t="str">
        <x:v>Total</x:v>
      </x:c>
      <x:c r="G13" s="57" t="n">
        <x:f>SUM(F7:F12)</x:f>
        <x:v>100</x:v>
      </x:c>
    </x:row>
  </x:sheetData>
  <x:mergeCells>
    <x:mergeCell ref="A1:G1"/>
    <x:mergeCell ref="A3:G4"/>
  </x:mergeCells>
  <x:pageMargins left="0.7" right="0.7" top="0.75" bottom="0.75" header="0.3" footer="0.3"/>
</x:worksheet>
</file>

<file path=xl/worksheets/sheet4.xml><?xml version="1.0" encoding="utf-8"?>
<x:worksheet xmlns:x="http://schemas.openxmlformats.org/spreadsheetml/2006/main">
  <x:sheetFormatPr defaultRowHeight="15"/>
  <x:cols>
    <x:col min="1" max="1" width="23" hidden="0" customWidth="1"/>
    <x:col min="2" max="2" width="28" hidden="0" customWidth="1"/>
    <x:col min="3" max="3" width="42" hidden="0" customWidth="1"/>
    <x:col min="4" max="4" width="34" hidden="0" customWidth="1"/>
    <x:col min="5" max="5" width="34" hidden="0" customWidth="1"/>
    <x:col min="6" max="6" width="42" hidden="0" customWidth="1"/>
    <x:col min="7" max="7" width="10" hidden="0" customWidth="1"/>
  </x:cols>
  <x:sheetData>
    <x:row r="1">
      <x:c r="A1" s="6" t="str">
        <x:v>D1-1b: Tool Usage Efficiency (100 points)</x:v>
      </x:c>
      <x:c r="B1" s="6"/>
      <x:c r="C1" s="6"/>
      <x:c r="D1" s="6"/>
      <x:c r="E1" s="6"/>
      <x:c r="F1" s="6"/>
      <x:c r="G1" s="6"/>
    </x:row>
    <x:row r="3">
      <x:c r="A3" s="78" t="str">
        <x:v>The main scientific tool is simulate_ro. The reference efficient trajectory uses about 9 calls. Count is secondary to information gain, adaptive branching, pruning, and stopping once sufficient evidence is obtained.</x:v>
      </x:c>
      <x:c r="B3" s="78"/>
      <x:c r="C3" s="78"/>
      <x:c r="D3" s="78"/>
      <x:c r="E3" s="78"/>
      <x:c r="F3" s="78"/>
      <x:c r="G3" s="78"/>
    </x:row>
    <x:row r="4">
      <x:c r="A4" s="78"/>
      <x:c r="B4" s="78"/>
      <x:c r="C4" s="78"/>
      <x:c r="D4" s="78"/>
      <x:c r="E4" s="78"/>
      <x:c r="F4" s="78"/>
      <x:c r="G4" s="78"/>
    </x:row>
    <x:row r="6">
      <x:c r="A6" s="23" t="str">
        <x:v>Efficiency dimension</x:v>
      </x:c>
      <x:c r="B6" s="23" t="str">
        <x:v>Focus</x:v>
      </x:c>
      <x:c r="C6" s="23" t="str">
        <x:v>Full-credit behavior</x:v>
      </x:c>
      <x:c r="D6" s="23" t="str">
        <x:v>Medium</x:v>
      </x:c>
      <x:c r="E6" s="23" t="str">
        <x:v>Low</x:v>
      </x:c>
      <x:c r="F6" s="23" t="str">
        <x:v>Item-specific observation</x:v>
      </x:c>
      <x:c r="G6" s="23" t="str">
        <x:v>Points</x:v>
      </x:c>
    </x:row>
    <x:row r="7" ht="46" customHeight="1">
      <x:c r="A7" s="38" t="str">
        <x:v>E1 Tool choice</x:v>
      </x:c>
      <x:c r="B7" s="38" t="str">
        <x:v>Use the correct scientific tool and avoid irrelevant tools.</x:v>
      </x:c>
      <x:c r="C7" s="38" t="str">
        <x:v>Use simulate_ro for fair membrane comparison; no whole-plant or chemistry tools are needed.</x:v>
      </x:c>
      <x:c r="D7" s="38" t="str">
        <x:v>A few unnecessary metadata/probe calls.</x:v>
      </x:c>
      <x:c r="E7" s="38" t="str">
        <x:v>Wrong tool or many unrelated calls.</x:v>
      </x:c>
      <x:c r="F7" s="38" t="str">
        <x:v>All candidates share the same fixed hydraulic design.</x:v>
      </x:c>
      <x:c r="G7" s="38" t="n">
        <x:v>20</x:v>
      </x:c>
    </x:row>
    <x:row r="8" ht="46" customHeight="1">
      <x:c r="A8" s="38" t="str">
        <x:v>E2 Information gain and order</x:v>
      </x:c>
      <x:c r="B8" s="38" t="str">
        <x:v>Acquire discriminating information early.</x:v>
      </x:c>
      <x:c r="C8" s="38" t="str">
        <x:v>Start with nominal screening, then stress only feasible candidates.</x:v>
      </x:c>
      <x:c r="D8" s="38" t="str">
        <x:v>Mostly reasonable with some low-value calls.</x:v>
      </x:c>
      <x:c r="E8" s="38" t="str">
        <x:v>Dense all-case enumeration from the start.</x:v>
      </x:c>
      <x:c r="F8" s="38" t="str">
        <x:v>Nominal screening provides the first major pruning step.</x:v>
      </x:c>
      <x:c r="G8" s="38" t="n">
        <x:v>20</x:v>
      </x:c>
    </x:row>
    <x:row r="9" ht="46" customHeight="1">
      <x:c r="A9" s="38" t="str">
        <x:v>E3 Adaptive iteration</x:v>
      </x:c>
      <x:c r="B9" s="38" t="str">
        <x:v>Make each next call depend on observed pass/fail status.</x:v>
      </x:c>
      <x:c r="C9" s="38" t="str">
        <x:v>Shortlist determines stress calls; stress outcomes determine temperature verification.</x:v>
      </x:c>
      <x:c r="D9" s="38" t="str">
        <x:v>Partly adaptive but mixed with preplanned enumeration.</x:v>
      </x:c>
      <x:c r="E9" s="38" t="str">
        <x:v>Call sequence is almost independent of observations.</x:v>
      </x:c>
      <x:c r="F9" s="38" t="str">
        <x:v>M2 and M3 pass nominal screening, and both remain feasible at 0.0315 salinity. At 25°C, M2 fails because recovery exceeds 48%, while M3 passes. M3 then passes the 35°C final check and is recommended.</x:v>
      </x:c>
      <x:c r="G9" s="38" t="n">
        <x:v>20</x:v>
      </x:c>
    </x:row>
    <x:row r="10" ht="46" customHeight="1">
      <x:c r="A10" s="38" t="str">
        <x:v>E4 Pruning and redundancy</x:v>
      </x:c>
      <x:c r="B10" s="38" t="str">
        <x:v>Stop failed branches promptly.</x:v>
      </x:c>
      <x:c r="C10" s="38" t="str">
        <x:v>No further tests after a candidate has enough evidence to fail; no duplicate equivalent inputs.</x:v>
      </x:c>
      <x:c r="D10" s="38" t="str">
        <x:v>One or two redundant tests.</x:v>
      </x:c>
      <x:c r="E10" s="38" t="str">
        <x:v>Repeatedly tests eliminated membranes.</x:v>
      </x:c>
      <x:c r="F10" s="38" t="str">
        <x:v>Pruning pattern should match the decision log.</x:v>
      </x:c>
      <x:c r="G10" s="38" t="n">
        <x:v>20</x:v>
      </x:c>
    </x:row>
    <x:row r="11" ht="46" customHeight="1">
      <x:c r="A11" s="38" t="str">
        <x:v>E5 Convergence and stopping</x:v>
      </x:c>
      <x:c r="B11" s="38" t="str">
        <x:v>Reach sufficient evidence with a reasonable budget.</x:v>
      </x:c>
      <x:c r="C11" s="38" t="str">
        <x:v>About 8–10 calls with complete evidence and little redundancy.</x:v>
      </x:c>
      <x:c r="D11" s="38" t="str">
        <x:v>11–13 calls with some redundancy.</x:v>
      </x:c>
      <x:c r="E11" s="38" t="str">
        <x:v>Many redundant calls, or too few calls to support the final decision.</x:v>
      </x:c>
      <x:c r="F11" s="38" t="str">
        <x:v>Reference trajectory ≈ 9 calls.</x:v>
      </x:c>
      <x:c r="G11" s="38" t="n">
        <x:v>20</x:v>
      </x:c>
    </x:row>
    <x:row r="12">
      <x:c r="A12" s="38"/>
      <x:c r="B12" s="38"/>
      <x:c r="C12" s="38"/>
      <x:c r="D12" s="38"/>
      <x:c r="E12" s="38"/>
      <x:c r="F12" s="57" t="str">
        <x:v>Total</x:v>
      </x:c>
      <x:c r="G12" s="57" t="n">
        <x:f>SUM(G7:G11)</x:f>
        <x:v>100</x:v>
      </x:c>
    </x:row>
  </x:sheetData>
  <x:mergeCells>
    <x:mergeCell ref="A1:G1"/>
    <x:mergeCell ref="A3:G4"/>
  </x:mergeCells>
  <x:pageMargins left="0.7" right="0.7" top="0.75" bottom="0.75" header="0.3" footer="0.3"/>
</x:worksheet>
</file>