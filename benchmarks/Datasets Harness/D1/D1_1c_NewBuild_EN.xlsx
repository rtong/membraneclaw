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261b16c9f44d30" /></Relationships>
</file>

<file path=xl/workbook.xml><?xml version="1.0" encoding="utf-8"?>
<x:workbook xmlns:x="http://schemas.openxmlformats.org/spreadsheetml/2006/main">
  <x:sheets>
    <x:sheet xmlns:r="http://schemas.openxmlformats.org/officeDocument/2006/relationships" name="Question" sheetId="1" r:id="R96dcf669f5b14a7d"/>
    <x:sheet xmlns:r="http://schemas.openxmlformats.org/officeDocument/2006/relationships" name="Gold_Answer" sheetId="2" r:id="R1ce3cdd94b4d431d"/>
    <x:sheet xmlns:r="http://schemas.openxmlformats.org/officeDocument/2006/relationships" name="Trajectory_Rubric" sheetId="3" r:id="Rcad296a9c9a04f7b"/>
    <x:sheet xmlns:r="http://schemas.openxmlformats.org/officeDocument/2006/relationships" name="Tool_Efficiency" sheetId="4" r:id="Re446a8429f804d0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76" formatCode="0.000"/>
  </x:numFmts>
  <x:fonts count="10">
    <x:font>
      <x:sz val="11"/>
      <x:name val="Carlito"/>
    </x:font>
    <x:font>
      <x:b/>
      <x:sz val="17"/>
      <x:color rgb="FFFFFFFF"/>
      <x:name val="Carlito"/>
    </x:font>
    <x:font>
      <x:b/>
      <x:sz val="11"/>
      <x:color rgb="FF17365D"/>
      <x:name val="Carlito"/>
    </x:font>
    <x:font>
      <x:b/>
      <x:sz val="11"/>
      <x:color rgb="FFFFFFFF"/>
      <x:name val="Carlito"/>
    </x:font>
    <x:font>
      <x:b/>
      <x:sz val="12"/>
      <x:color rgb="FF17365D"/>
      <x:name val="Carlito"/>
    </x:font>
    <x:font>
      <x:sz val="11"/>
      <x:color rgb="FF7F6000"/>
      <x:name val="Carlito"/>
    </x:font>
    <x:font>
      <x:b/>
      <x:sz val="11"/>
      <x:color rgb="FF375623"/>
      <x:name val="Carlito"/>
    </x:font>
    <x:font>
      <x:b/>
      <x:sz val="16"/>
      <x:color rgb="FFFFFFFF"/>
      <x:name val="Carlito"/>
    </x:font>
    <x:font>
      <x:sz val="11"/>
      <x:name val="Carlito"/>
    </x:font>
    <x:font>
      <x:sz val="9"/>
      <x:name val="宋体"/>
    </x:font>
  </x:fonts>
  <x:fills count="1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2F75B5"/>
      </x:patternFill>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2F75B5"/>
      </x:patternFill>
    </x:fill>
    <x:fill>
      <x:patternFill patternType="solid">
        <x:fgColor rgb="FFE2F0D9"/>
      </x:patternFill>
    </x:fill>
    <x:fill>
      <x:patternFill patternType="solid">
        <x:fgColor rgb="FFD9EAF7"/>
      </x:patternFill>
    </x:fill>
  </x:fills>
  <x:borders count="37">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2">
    <x:xf numFmtId="0" fontId="0" fillId="0" borderId="0"/>
    <x:xf numFmtId="0" fontId="8" fillId="0" borderId="0"/>
  </x:cellStyleXfs>
  <x:cellXfs count="82">
    <x:xf numFmtId="0" fontId="0" fillId="0" borderId="0" xfId="0"/>
    <x:xf numFmtId="0" fontId="0" fillId="0" borderId="0" xfId="1" applyFont="1" applyAlignment="1">
      <x:alignment vertical="top" wrapText="1"/>
    </x:xf>
    <x:xf numFmtId="0" fontId="3" fillId="4" borderId="1" xfId="1" applyFont="1" applyFill="1" applyBorder="1" applyAlignment="1">
      <x:alignment horizontal="center" vertical="center" wrapText="1"/>
    </x:xf>
    <x:xf numFmtId="0" fontId="3" fillId="4" borderId="2" xfId="1" applyFont="1" applyFill="1" applyBorder="1" applyAlignment="1">
      <x:alignment horizontal="center" vertical="center" wrapText="1"/>
    </x:xf>
    <x:xf numFmtId="0" fontId="3" fillId="4" borderId="3" xfId="1" applyFont="1" applyFill="1" applyBorder="1" applyAlignment="1">
      <x:alignment horizontal="center" vertical="center" wrapText="1"/>
    </x:xf>
    <x:xf numFmtId="0" fontId="0" fillId="0" borderId="4" xfId="1" applyFont="1" applyBorder="1" applyAlignment="1">
      <x:alignment vertical="top" wrapText="1"/>
    </x:xf>
    <x:xf numFmtId="0" fontId="0" fillId="0" borderId="5" xfId="1" applyFont="1" applyBorder="1" applyAlignment="1">
      <x:alignment vertical="top" wrapText="1"/>
    </x:xf>
    <x:xf numFmtId="0" fontId="0" fillId="0" borderId="6" xfId="1" applyFont="1" applyBorder="1" applyAlignment="1">
      <x:alignment vertical="top" wrapText="1"/>
    </x:xf>
    <x:xf numFmtId="0" fontId="0" fillId="0" borderId="7" xfId="1" applyFont="1" applyBorder="1" applyAlignment="1">
      <x:alignment vertical="top" wrapText="1"/>
    </x:xf>
    <x:xf numFmtId="0" fontId="0" fillId="0" borderId="8" xfId="1" applyFont="1" applyBorder="1" applyAlignment="1">
      <x:alignment vertical="top" wrapText="1"/>
    </x:xf>
    <x:xf numFmtId="176" fontId="0" fillId="0" borderId="0" xfId="1" applyNumberFormat="1" applyFont="1" applyAlignment="1">
      <x:alignment vertical="top" wrapText="1"/>
    </x:xf>
    <x:xf numFmtId="176" fontId="0" fillId="0" borderId="7" xfId="1" applyNumberFormat="1" applyFont="1" applyBorder="1" applyAlignment="1">
      <x:alignment vertical="top" wrapText="1"/>
    </x:xf>
    <x:xf numFmtId="0" fontId="0" fillId="0" borderId="1" xfId="1" applyFont="1" applyBorder="1" applyAlignment="1">
      <x:alignment vertical="top" wrapText="1"/>
    </x:xf>
    <x:xf numFmtId="0" fontId="0" fillId="0" borderId="2" xfId="1" applyFont="1" applyBorder="1" applyAlignment="1">
      <x:alignment vertical="top" wrapText="1"/>
    </x:xf>
    <x:xf numFmtId="0" fontId="0" fillId="0" borderId="3" xfId="1" applyFont="1" applyBorder="1" applyAlignment="1">
      <x:alignment vertical="top" wrapText="1"/>
    </x:xf>
    <x:xf numFmtId="0" fontId="5" fillId="6" borderId="0" xfId="1" applyFont="1" applyFill="1" applyAlignment="1">
      <x:alignment vertical="top" wrapText="1"/>
    </x:xf>
    <x:xf numFmtId="2" fontId="0" fillId="0" borderId="0" xfId="1" applyNumberFormat="1" applyFont="1" applyAlignment="1">
      <x:alignment vertical="top" wrapText="1"/>
    </x:xf>
    <x:xf numFmtId="2" fontId="0" fillId="0" borderId="7" xfId="1" applyNumberFormat="1" applyFont="1" applyBorder="1" applyAlignment="1">
      <x:alignment vertical="top" wrapText="1"/>
    </x:xf>
    <x:xf numFmtId="0" fontId="3" fillId="11" borderId="13" xfId="1" applyFont="1" applyFill="1" applyBorder="1" applyAlignment="1">
      <x:alignment horizontal="center" vertical="center" wrapText="1"/>
    </x:xf>
    <x:xf numFmtId="0" fontId="3" fillId="11" borderId="14" xfId="1" applyFont="1" applyFill="1" applyBorder="1" applyAlignment="1">
      <x:alignment horizontal="center" vertical="center" wrapText="1"/>
    </x:xf>
    <x:xf numFmtId="0" fontId="3" fillId="11" borderId="15" xfId="1" applyFont="1" applyFill="1" applyBorder="1" applyAlignment="1">
      <x:alignment horizontal="center" vertical="center" wrapText="1"/>
    </x:xf>
    <x:xf numFmtId="0" fontId="0" fillId="0" borderId="16" xfId="1" applyFont="1" applyBorder="1" applyAlignment="1">
      <x:alignment vertical="top" wrapText="1"/>
    </x:xf>
    <x:xf numFmtId="0" fontId="0" fillId="0" borderId="17" xfId="1" applyFont="1" applyBorder="1" applyAlignment="1">
      <x:alignment vertical="top" wrapText="1"/>
    </x:xf>
    <x:xf numFmtId="0" fontId="5" fillId="14" borderId="0" xfId="1" applyFont="1" applyFill="1" applyAlignment="1">
      <x:alignment vertical="top" wrapText="1"/>
    </x:xf>
    <x:xf numFmtId="0" fontId="6" fillId="7" borderId="18" xfId="1" applyFont="1" applyFill="1" applyBorder="1" applyAlignment="1">
      <x:alignment vertical="top" wrapText="1"/>
    </x:xf>
    <x:xf numFmtId="0" fontId="3" fillId="15" borderId="21" xfId="1" applyFont="1" applyFill="1" applyBorder="1" applyAlignment="1">
      <x:alignment horizontal="center" vertical="center" wrapText="1"/>
    </x:xf>
    <x:xf numFmtId="0" fontId="3" fillId="15" borderId="22" xfId="1" applyFont="1" applyFill="1" applyBorder="1" applyAlignment="1">
      <x:alignment horizontal="center" vertical="center" wrapText="1"/>
    </x:xf>
    <x:xf numFmtId="0" fontId="3" fillId="15" borderId="23" xfId="1" applyFont="1" applyFill="1" applyBorder="1" applyAlignment="1">
      <x:alignment horizontal="center" vertical="center" wrapText="1"/>
    </x:xf>
    <x:xf numFmtId="0" fontId="0" fillId="0" borderId="24" xfId="1" applyFont="1" applyBorder="1" applyAlignment="1">
      <x:alignment vertical="top" wrapText="1"/>
    </x:xf>
    <x:xf numFmtId="0" fontId="0" fillId="0" borderId="25" xfId="1" applyFont="1" applyBorder="1" applyAlignment="1">
      <x:alignment vertical="top" wrapText="1"/>
    </x:xf>
    <x:xf numFmtId="0" fontId="0" fillId="0" borderId="26" xfId="1" applyFont="1" applyBorder="1" applyAlignment="1">
      <x:alignment vertical="top" wrapText="1"/>
    </x:xf>
    <x:xf numFmtId="0" fontId="0" fillId="0" borderId="27" xfId="1" applyFont="1" applyBorder="1" applyAlignment="1">
      <x:alignment vertical="top" wrapText="1"/>
    </x:xf>
    <x:xf numFmtId="0" fontId="5" fillId="6" borderId="24" xfId="1" applyFont="1" applyFill="1" applyBorder="1" applyAlignment="1">
      <x:alignment vertical="top" wrapText="1"/>
    </x:xf>
    <x:xf numFmtId="0" fontId="6" fillId="7" borderId="28" xfId="1" applyFont="1" applyFill="1" applyBorder="1" applyAlignment="1">
      <x:alignment vertical="top" wrapText="1"/>
    </x:xf>
    <x:xf numFmtId="0" fontId="5" fillId="6" borderId="29" xfId="1" applyFont="1" applyFill="1" applyBorder="1" applyAlignment="1">
      <x:alignment vertical="top" wrapText="1"/>
    </x:xf>
    <x:xf numFmtId="0" fontId="5" fillId="6" borderId="30" xfId="1" applyFont="1" applyFill="1" applyBorder="1" applyAlignment="1">
      <x:alignment vertical="top" wrapText="1"/>
    </x:xf>
    <x:xf numFmtId="0" fontId="5" fillId="6" borderId="31" xfId="1" applyFont="1" applyFill="1" applyBorder="1" applyAlignment="1">
      <x:alignment vertical="top" wrapText="1"/>
    </x:xf>
    <x:xf numFmtId="0" fontId="6" fillId="16" borderId="32" xfId="1" applyFont="1" applyFill="1" applyBorder="1" applyAlignment="1">
      <x:alignment vertical="top" wrapText="1"/>
    </x:xf>
    <x:xf numFmtId="0" fontId="6" fillId="16" borderId="33" xfId="1" applyFont="1" applyFill="1" applyBorder="1" applyAlignment="1">
      <x:alignment vertical="top" wrapText="1"/>
    </x:xf>
    <x:xf numFmtId="0" fontId="0" fillId="0" borderId="29" xfId="1" applyFont="1" applyBorder="1" applyAlignment="1">
      <x:alignment vertical="top" wrapText="1"/>
    </x:xf>
    <x:xf numFmtId="0" fontId="0" fillId="0" borderId="30" xfId="1" applyFont="1" applyBorder="1" applyAlignment="1">
      <x:alignment vertical="top" wrapText="1"/>
    </x:xf>
    <x:xf numFmtId="0" fontId="0" fillId="0" borderId="31" xfId="1" applyFont="1" applyBorder="1" applyAlignment="1">
      <x:alignment vertical="top" wrapText="1"/>
    </x:xf>
    <x:xf numFmtId="0" fontId="6" fillId="16" borderId="32" xfId="1" applyFont="1" applyFill="1" applyBorder="1" applyAlignment="1">
      <x:alignment wrapText="1"/>
    </x:xf>
    <x:xf numFmtId="0" fontId="6" fillId="16" borderId="33" xfId="1" applyFont="1" applyFill="1" applyBorder="1" applyAlignment="1">
      <x:alignment wrapText="1"/>
    </x:xf>
    <x:xf numFmtId="0" fontId="1" fillId="2" borderId="0" xfId="1" applyFont="1" applyFill="1" applyAlignment="1">
      <x:alignment horizontal="center" vertical="center" wrapText="1"/>
    </x:xf>
    <x:xf numFmtId="0" fontId="2" fillId="3" borderId="0" xfId="1" applyFont="1" applyFill="1" applyAlignment="1">
      <x:alignment vertical="center" wrapText="1"/>
    </x:xf>
    <x:xf numFmtId="0" fontId="4" fillId="5" borderId="0" xfId="1" applyFont="1" applyFill="1" applyAlignment="1">
      <x:alignment horizontal="left" vertical="center"/>
    </x:xf>
    <x:xf numFmtId="0" fontId="0" fillId="0" borderId="9" xfId="1" applyFont="1" applyBorder="1" applyAlignment="1">
      <x:alignment vertical="top" wrapText="1"/>
    </x:xf>
    <x:xf numFmtId="0" fontId="0" fillId="0" borderId="10" xfId="1" applyFont="1" applyBorder="1" applyAlignment="1">
      <x:alignment vertical="top" wrapText="1"/>
    </x:xf>
    <x:xf numFmtId="0" fontId="0" fillId="0" borderId="11" xfId="1" applyFont="1" applyBorder="1" applyAlignment="1">
      <x:alignment vertical="top" wrapText="1"/>
    </x:xf>
    <x:xf numFmtId="0" fontId="5" fillId="6" borderId="0" xfId="1" applyFont="1" applyFill="1" applyAlignment="1">
      <x:alignment vertical="top" wrapText="1"/>
    </x:xf>
    <x:xf numFmtId="0" fontId="6" fillId="7" borderId="0" xfId="1" applyFont="1" applyFill="1" applyAlignment="1">
      <x:alignment wrapText="1"/>
    </x:xf>
    <x:xf numFmtId="0" fontId="7" fillId="13" borderId="0" xfId="1" applyFont="1" applyFill="1" applyAlignment="1">
      <x:alignment horizontal="center" vertical="center" wrapText="1"/>
    </x:xf>
    <x:xf numFmtId="0" fontId="5" fillId="14" borderId="0" xfId="1" applyFont="1" applyFill="1" applyAlignment="1">
      <x:alignment vertical="top" wrapText="1"/>
    </x:xf>
    <x:xf numFmtId="0" fontId="2" fillId="5" borderId="19" xfId="1" applyFont="1" applyFill="1" applyBorder="1" applyAlignment="1">
      <x:alignment vertical="top" wrapText="1"/>
    </x:xf>
    <x:xf numFmtId="0" fontId="2" fillId="5" borderId="12" xfId="1" applyFont="1" applyFill="1" applyBorder="1" applyAlignment="1">
      <x:alignment vertical="top" wrapText="1"/>
    </x:xf>
    <x:xf numFmtId="0" fontId="2" fillId="5" borderId="20" xfId="1" applyFont="1" applyFill="1" applyBorder="1" applyAlignment="1">
      <x:alignment vertical="top" wrapText="1"/>
    </x:xf>
    <x:xf numFmtId="0" fontId="6" fillId="9" borderId="0" xfId="1" applyFont="1" applyFill="1" applyAlignment="1">
      <x:alignment wrapText="1"/>
    </x:xf>
    <x:xf numFmtId="0" fontId="5" fillId="8" borderId="0" xfId="1" applyFont="1" applyFill="1" applyAlignment="1">
      <x:alignment vertical="top" wrapText="1"/>
    </x:xf>
    <x:xf numFmtId="0" fontId="2" fillId="12" borderId="13" xfId="1" applyFont="1" applyFill="1" applyBorder="1" applyAlignment="1">
      <x:alignment vertical="center" wrapText="1"/>
    </x:xf>
    <x:xf numFmtId="0" fontId="2" fillId="12" borderId="14" xfId="1" applyFont="1" applyFill="1" applyBorder="1" applyAlignment="1">
      <x:alignment vertical="center" wrapText="1"/>
    </x:xf>
    <x:xf numFmtId="0" fontId="2" fillId="12" borderId="15" xfId="1" applyFont="1" applyFill="1" applyBorder="1" applyAlignment="1">
      <x:alignment vertical="center" wrapText="1"/>
    </x:xf>
    <x:xf numFmtId="0" fontId="2" fillId="17" borderId="34" xfId="1" applyFont="1" applyFill="1" applyBorder="1" applyAlignment="1">
      <x:alignment vertical="center" wrapText="1"/>
    </x:xf>
    <x:xf numFmtId="0" fontId="2" fillId="17" borderId="35" xfId="1" applyFont="1" applyFill="1" applyBorder="1" applyAlignment="1">
      <x:alignment vertical="center" wrapText="1"/>
    </x:xf>
    <x:xf numFmtId="0" fontId="2" fillId="17" borderId="36" xfId="1" applyFont="1" applyFill="1" applyBorder="1" applyAlignment="1">
      <x:alignment vertical="center" wrapText="1"/>
    </x:xf>
    <x:xf numFmtId="0" fontId="5" fillId="10" borderId="0" xfId="1" applyFont="1" applyFill="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center" wrapText="1"/>
    </x:xf>
    <x:xf numFmtId="176" fontId="0" fillId="0"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2" fontId="0"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4" fillId="5" borderId="0" xfId="0" applyNumberFormat="1" applyFont="1" applyFill="1" applyBorder="1" applyAlignment="1">
      <x:alignment horizontal="left" vertical="center"/>
    </x:xf>
    <x:xf numFmtId="0" fontId="7" fillId="2" borderId="0" xfId="0" applyNumberFormat="1" applyFont="1" applyFill="1" applyBorder="1" applyAlignment="1">
      <x:alignment horizontal="center" vertical="center"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5" borderId="0" xfId="0" applyNumberFormat="1" applyFont="1" applyFill="1" applyBorder="1" applyAlignment="1">
      <x:alignment horizontal="left" vertical="center" wrapText="1"/>
    </x:xf>
  </x:cellXfs>
  <x:cellStyles count="2">
    <x:cellStyle name="Normal" xfId="1"/>
    <x:cellStyle name="常规" xfId="0"/>
  </x:cellStyles>
  <x:dxfs count="2">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107c4d21ad4efc" /><Relationship Type="http://schemas.openxmlformats.org/officeDocument/2006/relationships/theme" Target="/xl/theme/theme1.xml" Id="Rd9ed624176b04595" /><Relationship Type="http://schemas.openxmlformats.org/officeDocument/2006/relationships/sharedStrings" Target="/xl/sharedStrings.xml" Id="R662160c2de024717" /><Relationship Type="http://schemas.openxmlformats.org/officeDocument/2006/relationships/worksheet" Target="/xl/worksheets/sheet1.xml" Id="R96dcf669f5b14a7d" /><Relationship Type="http://schemas.openxmlformats.org/officeDocument/2006/relationships/worksheet" Target="/xl/worksheets/sheet2.xml" Id="R1ce3cdd94b4d431d" /><Relationship Type="http://schemas.openxmlformats.org/officeDocument/2006/relationships/worksheet" Target="/xl/worksheets/sheet3.xml" Id="Rcad296a9c9a04f7b" /><Relationship Type="http://schemas.openxmlformats.org/officeDocument/2006/relationships/worksheet" Target="/xl/worksheets/sheet4.xml" Id="Re446a8429f804d05" /></Relationships>
</file>

<file path=xl/drawings/_rels/drawing1.xml.rels>&#65279;<?xml version="1.0" encoding="utf-8"?><Relationships xmlns="http://schemas.openxmlformats.org/package/2006/relationships"><Relationship Type="http://schemas.openxmlformats.org/officeDocument/2006/relationships/chart" Target="/xl/drawings/charts/chart1.xml" Id="R94844db3a0034591"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多工况压力搜索轨迹</a:t>
            </a:r>
          </a:p>
        </c:rich>
      </c:tx>
    </c:title>
    <c:autoTitleDeleted val="0"/>
    <c:plotArea>
      <c:lineChart>
        <c:grouping val="standard"/>
        <c:varyColors val="0"/>
        <c:ser>
          <c:idx val="0"/>
          <c:order val="0"/>
          <c:tx>
            <c:v>Pressure bar</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分步答案_A!$B$8:$B$18</c:f>
              <c:numCache>
                <c:formatCode>0.00</c:formatCode>
                <c:ptCount val="11"/>
                <c:pt idx="0">
                  <c:v>50</c:v>
                </c:pt>
                <c:pt idx="1">
                  <c:v>51</c:v>
                </c:pt>
                <c:pt idx="2">
                  <c:v>50.42</c:v>
                </c:pt>
                <c:pt idx="3">
                  <c:v>50.45</c:v>
                </c:pt>
                <c:pt idx="4">
                  <c:v>52</c:v>
                </c:pt>
                <c:pt idx="5">
                  <c:v>54</c:v>
                </c:pt>
                <c:pt idx="6">
                  <c:v>53.45</c:v>
                </c:pt>
                <c:pt idx="7">
                  <c:v>53.5</c:v>
                </c:pt>
                <c:pt idx="8">
                  <c:v>51</c:v>
                </c:pt>
                <c:pt idx="9">
                  <c:v>51.15</c:v>
                </c:pt>
                <c:pt idx="10">
                  <c:v>51.2</c:v>
                </c:pt>
              </c:numCache>
            </c:numRef>
          </c:val>
        </c:ser>
        <c:ser>
          <c:idx val="1"/>
          <c:order val="1"/>
          <c:tx>
            <c:v>NaCl frac</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分步答案_A!$C$8:$C$18</c:f>
              <c:numCache>
                <c:formatCode>0.000</c:formatCode>
                <c:ptCount val="11"/>
                <c:pt idx="0">
                  <c:v>0.03</c:v>
                </c:pt>
                <c:pt idx="1">
                  <c:v>0.03</c:v>
                </c:pt>
                <c:pt idx="2">
                  <c:v>0.03</c:v>
                </c:pt>
                <c:pt idx="3">
                  <c:v>0.03</c:v>
                </c:pt>
                <c:pt idx="4">
                  <c:v>0.033</c:v>
                </c:pt>
                <c:pt idx="5">
                  <c:v>0.033</c:v>
                </c:pt>
                <c:pt idx="6">
                  <c:v>0.033</c:v>
                </c:pt>
                <c:pt idx="7">
                  <c:v>0.033</c:v>
                </c:pt>
                <c:pt idx="8">
                  <c:v>0.03</c:v>
                </c:pt>
                <c:pt idx="9">
                  <c:v>0.03</c:v>
                </c:pt>
                <c:pt idx="10">
                  <c:v>0.03</c:v>
                </c:pt>
              </c:numCache>
            </c:numRef>
          </c:val>
        </c:ser>
        <c:ser>
          <c:idx val="2"/>
          <c:order val="2"/>
          <c:tx>
            <c:v>T °C</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分步答案_A!$D$8:$D$18</c:f>
              <c:numCache>
                <c:formatCode>General</c:formatCode>
                <c:ptCount val="11"/>
                <c:pt idx="0">
                  <c:v>32</c:v>
                </c:pt>
                <c:pt idx="1">
                  <c:v>32</c:v>
                </c:pt>
                <c:pt idx="2">
                  <c:v>32</c:v>
                </c:pt>
                <c:pt idx="3">
                  <c:v>32</c:v>
                </c:pt>
                <c:pt idx="4">
                  <c:v>25</c:v>
                </c:pt>
                <c:pt idx="5">
                  <c:v>25</c:v>
                </c:pt>
                <c:pt idx="6">
                  <c:v>25</c:v>
                </c:pt>
                <c:pt idx="7">
                  <c:v>25</c:v>
                </c:pt>
                <c:pt idx="8">
                  <c:v>38</c:v>
                </c:pt>
                <c:pt idx="9">
                  <c:v>38</c:v>
                </c:pt>
                <c:pt idx="10">
                  <c:v>38</c:v>
                </c:pt>
              </c:numCache>
            </c:numRef>
          </c:val>
        </c:ser>
        <c:ser>
          <c:idx val="3"/>
          <c:order val="3"/>
          <c:tx>
            <c:v>Permeate kg/s</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分步答案_A!$E$8:$E$18</c:f>
              <c:numCache>
                <c:formatCode>0.000</c:formatCode>
                <c:ptCount val="11"/>
                <c:pt idx="0">
                  <c:v>1.7275890216241345</c:v>
                </c:pt>
                <c:pt idx="1">
                  <c:v>1.780216269284124</c:v>
                </c:pt>
                <c:pt idx="2">
                  <c:v>1.7498339204003663</c:v>
                </c:pt>
                <c:pt idx="3">
                  <c:v>1.751414956807267</c:v>
                </c:pt>
                <c:pt idx="4">
                  <c:v>1.673902295258118</c:v>
                </c:pt>
                <c:pt idx="5">
                  <c:v>1.7754807096229097</c:v>
                </c:pt>
                <c:pt idx="6">
                  <c:v>1.747958080331451</c:v>
                </c:pt>
                <c:pt idx="7">
                  <c:v>1.750472780905319</c:v>
                </c:pt>
                <c:pt idx="8">
                  <c:v>1.7419891415730817</c:v>
                </c:pt>
                <c:pt idx="9">
                  <c:v>1.7498288048397266</c:v>
                </c:pt>
                <c:pt idx="10">
                  <c:v>1.7524363721089342</c:v>
                </c:pt>
              </c:numCache>
            </c:numRef>
          </c:val>
        </c:ser>
        <c:ser>
          <c:idx val="4"/>
          <c:order val="4"/>
          <c:tx>
            <c:v>Qp m³/h</c:v>
          </c:tx>
          <c:marker>
            <c:symbol val="none"/>
          </c:marker>
          <c:cat>
            <c:strRef>
              <c:f>分步答案_A!$A$8:$A$18</c:f>
              <c:strCache>
                <c:ptCount val="11"/>
                <c:pt idx="0">
                  <c:v>A Normal</c:v>
                </c:pt>
                <c:pt idx="1">
                  <c:v>A Normal</c:v>
                </c:pt>
                <c:pt idx="2">
                  <c:v>A Normal</c:v>
                </c:pt>
                <c:pt idx="3">
                  <c:v>A Normal</c:v>
                </c:pt>
                <c:pt idx="4">
                  <c:v>B High salinity</c:v>
                </c:pt>
                <c:pt idx="5">
                  <c:v>B High salinity</c:v>
                </c:pt>
                <c:pt idx="6">
                  <c:v>B High salinity</c:v>
                </c:pt>
                <c:pt idx="7">
                  <c:v>B High salinity</c:v>
                </c:pt>
                <c:pt idx="8">
                  <c:v>C Hot summer</c:v>
                </c:pt>
                <c:pt idx="9">
                  <c:v>C Hot summer</c:v>
                </c:pt>
                <c:pt idx="10">
                  <c:v>C Hot summer</c:v>
                </c:pt>
              </c:strCache>
            </c:strRef>
          </c:cat>
          <c:val>
            <c:numRef>
              <c:f>分步答案_A!$F$8:$F$18</c:f>
              <c:numCache>
                <c:formatCode>0.000</c:formatCode>
                <c:ptCount val="11"/>
                <c:pt idx="0">
                  <c:v>6.2193204778468845</c:v>
                </c:pt>
                <c:pt idx="1">
                  <c:v>6.4087785694228465</c:v>
                </c:pt>
                <c:pt idx="2">
                  <c:v>6.299402113441319</c:v>
                </c:pt>
                <c:pt idx="3">
                  <c:v>6.305093844506161</c:v>
                </c:pt>
                <c:pt idx="4">
                  <c:v>6.0260482629292245</c:v>
                </c:pt>
                <c:pt idx="5">
                  <c:v>6.391730554642475</c:v>
                </c:pt>
                <c:pt idx="6">
                  <c:v>6.292649089193223</c:v>
                </c:pt>
                <c:pt idx="7">
                  <c:v>6.301702011259149</c:v>
                </c:pt>
                <c:pt idx="8">
                  <c:v>6.271160909663094</c:v>
                </c:pt>
                <c:pt idx="9">
                  <c:v>6.299383697423016</c:v>
                </c:pt>
                <c:pt idx="10">
                  <c:v>6.308770939592163</c:v>
                </c:pt>
              </c:numCache>
            </c:numRef>
          </c:val>
        </c:ser>
        <c:dLbls>
          <c:showLegendKey val="0"/>
          <c:showVal val="0"/>
          <c:showCatName val="0"/>
          <c:showSerName val="0"/>
          <c:showPercent val="0"/>
          <c:showBubbleSize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20</xdr:row>
      <xdr:rowOff>0</xdr:rowOff>
    </xdr:from>
    <xdr:to>
      <xdr:col>14</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844db3a003459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08ab24bf70a4aff" /></Relationships>
</file>

<file path=xl/worksheets/sheet1.xml><?xml version="1.0" encoding="utf-8"?>
<x:worksheet xmlns:x="http://schemas.openxmlformats.org/spreadsheetml/2006/main">
  <x:sheetFormatPr defaultRowHeight="14.25"/>
  <x:cols>
    <x:col min="1" max="1" width="22" customWidth="1"/>
    <x:col min="2" max="2" width="17" customWidth="1"/>
    <x:col min="3" max="3" width="14" customWidth="1"/>
    <x:col min="4" max="4" width="28" customWidth="1"/>
    <x:col min="5" max="5" width="3" customWidth="1"/>
    <x:col min="6" max="6" width="22" customWidth="1"/>
    <x:col min="7" max="7" width="18" customWidth="1"/>
    <x:col min="8" max="8" width="28" customWidth="1"/>
  </x:cols>
  <x:sheetData>
    <x:row r="1" ht="26" customHeight="1">
      <x:c r="A1" s="74" t="str">
        <x:v>D1-1c: New-Build Pump Pressure Rating</x:v>
      </x:c>
      <x:c r="B1" s="74"/>
      <x:c r="C1" s="74"/>
      <x:c r="D1" s="74"/>
      <x:c r="E1" s="74"/>
      <x:c r="F1" s="74"/>
      <x:c r="G1" s="74"/>
      <x:c r="H1" s="74"/>
    </x:row>
    <x:row r="2">
      <x:c r="A2" s="74"/>
      <x:c r="B2" s="74"/>
      <x:c r="C2" s="74"/>
      <x:c r="D2" s="74"/>
      <x:c r="E2" s="74"/>
      <x:c r="F2" s="74"/>
      <x:c r="G2" s="74"/>
      <x:c r="H2" s="74"/>
    </x:row>
    <x:row r="3">
      <x:c r="A3" s="80"/>
      <x:c r="B3" s="80"/>
      <x:c r="C3" s="80"/>
      <x:c r="D3" s="80"/>
      <x:c r="E3" s="80"/>
      <x:c r="F3" s="80"/>
      <x:c r="G3" s="80"/>
      <x:c r="H3" s="80"/>
    </x:row>
    <x:row r="4" ht="90" customHeight="1">
      <x:c r="A4" s="75" t="str">
        <x:v>A new coastal SWRO plant has finalized the membrane area and membrane model, while the high-pressure pump has not yet been selected. One pump must cover the normal, high-salinity, and hot-summer design cases. Use iterative simulate_ro calls to determine the minimum feasible membrane-feed pressure for each case, identify the controlling case, and calculate the required pump rated pressure using the specified design margin. The pump rating is an equipment capability, not the operating setpoint for every case.</x:v>
      </x:c>
      <x:c r="B4" s="75"/>
      <x:c r="C4" s="75"/>
      <x:c r="D4" s="75"/>
      <x:c r="E4" s="75"/>
      <x:c r="F4" s="75"/>
      <x:c r="G4" s="75"/>
      <x:c r="H4" s="75"/>
    </x:row>
    <x:row r="5">
      <x:c r="A5" s="75"/>
      <x:c r="B5" s="75"/>
      <x:c r="C5" s="75"/>
      <x:c r="D5" s="75"/>
      <x:c r="E5" s="75"/>
      <x:c r="F5" s="75"/>
      <x:c r="G5" s="75"/>
      <x:c r="H5" s="75"/>
    </x:row>
    <x:row r="6">
      <x:c r="A6" s="75"/>
      <x:c r="B6" s="75"/>
      <x:c r="C6" s="75"/>
      <x:c r="D6" s="75"/>
      <x:c r="E6" s="75"/>
      <x:c r="F6" s="75"/>
      <x:c r="G6" s="75"/>
      <x:c r="H6" s="75"/>
    </x:row>
    <x:row r="7">
      <x:c r="A7" s="80"/>
      <x:c r="B7" s="80"/>
      <x:c r="C7" s="80"/>
      <x:c r="D7" s="80"/>
      <x:c r="E7" s="80"/>
      <x:c r="F7" s="80"/>
      <x:c r="G7" s="80"/>
      <x:c r="H7" s="80"/>
    </x:row>
    <x:row r="8" ht="22" customHeight="1">
      <x:c r="A8" s="68" t="str">
        <x:v>Fixed parameter</x:v>
      </x:c>
      <x:c r="B8" s="68" t="str">
        <x:v>Value</x:v>
      </x:c>
      <x:c r="C8" s="68" t="str">
        <x:v>Unit</x:v>
      </x:c>
      <x:c r="D8" s="68" t="str">
        <x:v>Status</x:v>
      </x:c>
      <x:c r="E8" s="80"/>
      <x:c r="F8" s="68" t="str">
        <x:v>Design case</x:v>
      </x:c>
      <x:c r="G8" s="68" t="str">
        <x:v>NaCl mass fraction</x:v>
      </x:c>
      <x:c r="H8" s="68" t="str">
        <x:v>Temperature °C</x:v>
      </x:c>
    </x:row>
    <x:row r="9" ht="22" customHeight="1">
      <x:c r="A9" s="67" t="str">
        <x:v>Feed mass flow</x:v>
      </x:c>
      <x:c r="B9" s="67" t="n">
        <x:v>4.073</x:v>
      </x:c>
      <x:c r="C9" s="67" t="str">
        <x:v>kg/s</x:v>
      </x:c>
      <x:c r="D9" s="67" t="str">
        <x:v>Fixed</x:v>
      </x:c>
      <x:c r="E9" s="80"/>
      <x:c r="F9" s="67" t="str">
        <x:v>A Normal design</x:v>
      </x:c>
      <x:c r="G9" s="69" t="n">
        <x:v>0.03</x:v>
      </x:c>
      <x:c r="H9" s="67" t="n">
        <x:v>32</x:v>
      </x:c>
    </x:row>
    <x:row r="10" ht="22" customHeight="1">
      <x:c r="A10" s="67" t="str">
        <x:v>Membrane area</x:v>
      </x:c>
      <x:c r="B10" s="67" t="n">
        <x:v>400</x:v>
      </x:c>
      <x:c r="C10" s="67" t="str">
        <x:v>m²</x:v>
      </x:c>
      <x:c r="D10" s="67" t="str">
        <x:v>Locked</x:v>
      </x:c>
      <x:c r="E10" s="80"/>
      <x:c r="F10" s="67" t="str">
        <x:v>B High salinity</x:v>
      </x:c>
      <x:c r="G10" s="69" t="n">
        <x:v>0.033</x:v>
      </x:c>
      <x:c r="H10" s="67" t="n">
        <x:v>25</x:v>
      </x:c>
    </x:row>
    <x:row r="11" ht="22" customHeight="1">
      <x:c r="A11" s="67" t="str">
        <x:v>A_comp</x:v>
      </x:c>
      <x:c r="B11" s="67" t="n">
        <x:v>4.2e-12</x:v>
      </x:c>
      <x:c r="C11" s="67" t="str">
        <x:v>m/s/Pa</x:v>
      </x:c>
      <x:c r="D11" s="67" t="str">
        <x:v>Locked</x:v>
      </x:c>
      <x:c r="E11" s="80"/>
      <x:c r="F11" s="67" t="str">
        <x:v>C Hot summer</x:v>
      </x:c>
      <x:c r="G11" s="69" t="n">
        <x:v>0.03</x:v>
      </x:c>
      <x:c r="H11" s="67" t="n">
        <x:v>38</x:v>
      </x:c>
    </x:row>
    <x:row r="12" ht="22" customHeight="1">
      <x:c r="A12" s="67" t="str">
        <x:v>B_comp</x:v>
      </x:c>
      <x:c r="B12" s="67" t="n">
        <x:v>3.4e-8</x:v>
      </x:c>
      <x:c r="C12" s="67" t="str">
        <x:v>m/s</x:v>
      </x:c>
      <x:c r="D12" s="67" t="str">
        <x:v>Locked</x:v>
      </x:c>
      <x:c r="E12" s="80"/>
      <x:c r="F12" s="80"/>
      <x:c r="G12" s="80"/>
      <x:c r="H12" s="80"/>
    </x:row>
    <x:row r="13" ht="22" customHeight="1">
      <x:c r="A13" s="67" t="str">
        <x:v>Permeate pressure</x:v>
      </x:c>
      <x:c r="B13" s="67" t="n">
        <x:v>1.013</x:v>
      </x:c>
      <x:c r="C13" s="67" t="str">
        <x:v>bar</x:v>
      </x:c>
      <x:c r="D13" s="67" t="str">
        <x:v>Fixed</x:v>
      </x:c>
      <x:c r="E13" s="80"/>
      <x:c r="F13" s="81" t="str">
        <x:v>Common hard constraints</x:v>
      </x:c>
      <x:c r="G13" s="81"/>
      <x:c r="H13" s="81"/>
    </x:row>
    <x:row r="14" ht="22" customHeight="1">
      <x:c r="A14" s="67" t="str">
        <x:v>Pressure drop</x:v>
      </x:c>
      <x:c r="B14" s="67" t="n">
        <x:v>0.653</x:v>
      </x:c>
      <x:c r="C14" s="67" t="str">
        <x:v>bar</x:v>
      </x:c>
      <x:c r="D14" s="67" t="str">
        <x:v>Fixed</x:v>
      </x:c>
      <x:c r="E14" s="80"/>
      <x:c r="F14" s="67" t="str">
        <x:v>Qp</x:v>
      </x:c>
      <x:c r="G14" s="67" t="str">
        <x:v>≥ 6.25 m³/h</x:v>
      </x:c>
      <x:c r="H14" s="67" t="str">
        <x:v>Each case</x:v>
      </x:c>
    </x:row>
    <x:row r="15" ht="22" customHeight="1">
      <x:c r="A15" s="67" t="str">
        <x:v>Channel height</x:v>
      </x:c>
      <x:c r="B15" s="67" t="n">
        <x:v>0.002</x:v>
      </x:c>
      <x:c r="C15" s="67" t="str">
        <x:v>m</x:v>
      </x:c>
      <x:c r="D15" s="67" t="str">
        <x:v>Fixed</x:v>
      </x:c>
      <x:c r="E15" s="80"/>
      <x:c r="F15" s="67" t="str">
        <x:v>Recovery</x:v>
      </x:c>
      <x:c r="G15" s="67" t="str">
        <x:v>≤ 46.0%</x:v>
      </x:c>
      <x:c r="H15" s="67" t="str">
        <x:v>Each case</x:v>
      </x:c>
    </x:row>
    <x:row r="16" ht="22" customHeight="1">
      <x:c r="A16" s="67" t="str">
        <x:v>Spacer porosity</x:v>
      </x:c>
      <x:c r="B16" s="67" t="n">
        <x:v>0.75</x:v>
      </x:c>
      <x:c r="C16" s="67" t="str">
        <x:v>-</x:v>
      </x:c>
      <x:c r="D16" s="67" t="str">
        <x:v>Fixed</x:v>
      </x:c>
      <x:c r="E16" s="80"/>
      <x:c r="F16" s="67" t="str">
        <x:v>Flux</x:v>
      </x:c>
      <x:c r="G16" s="67" t="str">
        <x:v>≤ 18.0 LMH</x:v>
      </x:c>
      <x:c r="H16" s="67" t="str">
        <x:v>Each case</x:v>
      </x:c>
    </x:row>
    <x:row r="17" ht="22" customHeight="1">
      <x:c r="A17" s="67" t="str">
        <x:v>Module length</x:v>
      </x:c>
      <x:c r="B17" s="67" t="n">
        <x:v>20</x:v>
      </x:c>
      <x:c r="C17" s="67" t="str">
        <x:v>m</x:v>
      </x:c>
      <x:c r="D17" s="67" t="str">
        <x:v>Fixed</x:v>
      </x:c>
      <x:c r="E17" s="80"/>
      <x:c r="F17" s="67" t="str">
        <x:v>Rejection</x:v>
      </x:c>
      <x:c r="G17" s="67" t="str">
        <x:v>≥ 98.7%</x:v>
      </x:c>
      <x:c r="H17" s="67" t="str">
        <x:v>Each case</x:v>
      </x:c>
    </x:row>
    <x:row r="18" ht="22" customHeight="1">
      <x:c r="A18" s="80"/>
      <x:c r="B18" s="80"/>
      <x:c r="C18" s="80"/>
      <x:c r="D18" s="80"/>
      <x:c r="E18" s="80"/>
      <x:c r="F18" s="67" t="str">
        <x:v>Permeate NaCl</x:v>
      </x:c>
      <x:c r="G18" s="67" t="str">
        <x:v>≤ 400 mg/L</x:v>
      </x:c>
      <x:c r="H18" s="67" t="str">
        <x:v>Each case</x:v>
      </x:c>
    </x:row>
    <x:row r="19">
      <x:c r="A19" s="80"/>
      <x:c r="B19" s="80"/>
      <x:c r="C19" s="80"/>
      <x:c r="D19" s="80"/>
      <x:c r="E19" s="80"/>
      <x:c r="F19" s="80"/>
      <x:c r="G19" s="80"/>
      <x:c r="H19" s="80"/>
    </x:row>
    <x:row r="20" ht="24" customHeight="1">
      <x:c r="A20" s="81" t="str">
        <x:v>Task requirements</x:v>
      </x:c>
      <x:c r="B20" s="81"/>
      <x:c r="C20" s="81"/>
      <x:c r="D20" s="81"/>
      <x:c r="E20" s="81"/>
      <x:c r="F20" s="81"/>
      <x:c r="G20" s="81"/>
      <x:c r="H20" s="81"/>
    </x:row>
    <x:row r="21" ht="42" customHeight="1">
      <x:c r="A21" s="67" t="str">
        <x:v>1. E1: Recognize a multi-case pump design-pressure sizing problem. Membrane area, A_comp, B_comp, and all other fixed inputs must remain unchanged; determine the minimum feasible pressure independently for each case.</x:v>
      </x:c>
      <x:c r="B21" s="67"/>
      <x:c r="C21" s="67"/>
      <x:c r="D21" s="67"/>
      <x:c r="E21" s="67"/>
      <x:c r="F21" s="67"/>
      <x:c r="G21" s="67"/>
      <x:c r="H21" s="67"/>
    </x:row>
    <x:row r="22" ht="42" customHeight="1">
      <x:c r="A22" s="67" t="str">
        <x:v>2. E2: Start each case from a reasonable low-pressure simulate_ro point and identify the active failure(s) from production, recovery, flux, rejection, and permeate salinity.</x:v>
      </x:c>
      <x:c r="B22" s="67"/>
      <x:c r="C22" s="67"/>
      <x:c r="D22" s="67"/>
      <x:c r="E22" s="67"/>
      <x:c r="F22" s="67"/>
      <x:c r="G22" s="67"/>
      <x:c r="H22" s="67"/>
    </x:row>
    <x:row r="23" ht="42" customHeight="1">
      <x:c r="A23" s="67" t="str">
        <x:v>3. E3: Establish a fail/pass bracket for each case and refine adaptively to 0.05 bar resolution; avoid a mechanical fine-grid sweep from low pressure.</x:v>
      </x:c>
      <x:c r="B23" s="67"/>
      <x:c r="C23" s="67"/>
      <x:c r="D23" s="67"/>
      <x:c r="E23" s="67"/>
      <x:c r="F23" s="67"/>
      <x:c r="G23" s="67"/>
      <x:c r="H23" s="67"/>
    </x:row>
    <x:row r="24" ht="42" customHeight="1">
      <x:c r="A24" s="67" t="str">
        <x:v>4. E4: Determine Pmin,A, Pmin,B, and Pmin,C, then identify the controlling design case by direct comparison.</x:v>
      </x:c>
      <x:c r="B24" s="67"/>
      <x:c r="C24" s="67"/>
      <x:c r="D24" s="67"/>
      <x:c r="E24" s="67"/>
      <x:c r="F24" s="67"/>
      <x:c r="G24" s="67"/>
      <x:c r="H24" s="67"/>
    </x:row>
    <x:row r="25" ht="42" customHeight="1">
      <x:c r="A25" s="67" t="str">
        <x:v>5. E4: Pump rated design pressure = controlling Pmin + 1.00 bar design margin; then round upward to the next 0.5 bar equipment rating.</x:v>
      </x:c>
      <x:c r="B25" s="67"/>
      <x:c r="C25" s="67"/>
      <x:c r="D25" s="67"/>
      <x:c r="E25" s="67"/>
      <x:c r="F25" s="67"/>
      <x:c r="G25" s="67"/>
      <x:c r="H25" s="67"/>
    </x:row>
    <x:row r="26" ht="42" customHeight="1">
      <x:c r="A26" s="67" t="str">
        <x:v>6. Explicitly distinguish equipment rated pressure from operating setpoint. Non-controlling cases should operate near their own required/appropriate pressure, not continuously at the pump rating.</x:v>
      </x:c>
      <x:c r="B26" s="67"/>
      <x:c r="C26" s="67"/>
      <x:c r="D26" s="67"/>
      <x:c r="E26" s="67"/>
      <x:c r="F26" s="67"/>
      <x:c r="G26" s="67"/>
      <x:c r="H26" s="67"/>
    </x:row>
    <x:row r="27">
      <x:c r="A27" s="80"/>
      <x:c r="B27" s="80"/>
      <x:c r="C27" s="80"/>
      <x:c r="D27" s="80"/>
      <x:c r="E27" s="80"/>
      <x:c r="F27" s="80"/>
      <x:c r="G27" s="80"/>
      <x:c r="H27" s="80"/>
    </x:row>
    <x:row r="28" ht="45" customHeight="1">
      <x:c r="A28" s="70" t="str">
        <x:v>Search resolution: 0.05 bar. The 1.00 bar design margin and 0.5 bar equipment-rating increment are benchmark-defined rules for a unique answer; they are not universal industry standards.</x:v>
      </x:c>
      <x:c r="B28" s="70"/>
      <x:c r="C28" s="70"/>
      <x:c r="D28" s="70"/>
      <x:c r="E28" s="70"/>
      <x:c r="F28" s="70"/>
      <x:c r="G28" s="70"/>
      <x:c r="H28" s="70"/>
    </x:row>
    <x:row r="29">
      <x:c r="A29" s="50"/>
      <x:c r="B29" s="50"/>
      <x:c r="C29" s="50"/>
      <x:c r="D29" s="50"/>
      <x:c r="E29" s="50"/>
      <x:c r="F29" s="50"/>
      <x:c r="G29" s="50"/>
      <x:c r="H29" s="50"/>
    </x:row>
    <x:row r="30">
      <x:c r="A30" s="50"/>
      <x:c r="B30" s="50"/>
      <x:c r="C30" s="50"/>
      <x:c r="D30" s="50"/>
      <x:c r="E30" s="50"/>
      <x:c r="F30" s="50"/>
      <x:c r="G30" s="50"/>
      <x:c r="H30" s="50"/>
    </x:row>
  </x:sheetData>
  <x:mergeCells>
    <x:mergeCell ref="A28:H30"/>
    <x:mergeCell ref="A22:H22"/>
    <x:mergeCell ref="A23:H23"/>
    <x:mergeCell ref="A24:H24"/>
    <x:mergeCell ref="A25:H25"/>
    <x:mergeCell ref="A26:H26"/>
    <x:mergeCell ref="A1:H2"/>
    <x:mergeCell ref="A4:H6"/>
    <x:mergeCell ref="F13:H13"/>
    <x:mergeCell ref="A20:H20"/>
    <x:mergeCell ref="A21:H21"/>
  </x:mergeCells>
  <x:pageMargins left="0.7" right="0.7" top="0.75" bottom="0.75" header="0.3" footer="0.3"/>
</x:worksheet>
</file>

<file path=xl/worksheets/sheet2.xml><?xml version="1.0" encoding="utf-8"?>
<x:worksheet xmlns:x="http://schemas.openxmlformats.org/spreadsheetml/2006/main">
  <x:sheetFormatPr defaultRowHeight="14.25"/>
  <x:cols>
    <x:col min="1" max="1" width="20" customWidth="1"/>
    <x:col min="2" max="4" width="14" customWidth="1"/>
    <x:col min="5" max="5" width="28" customWidth="1"/>
    <x:col min="6" max="6" width="30" customWidth="1"/>
    <x:col min="7" max="10" width="14" customWidth="1"/>
    <x:col min="11" max="14" width="12" customWidth="1"/>
  </x:cols>
  <x:sheetData>
    <x:row r="1" ht="26" customHeight="1">
      <x:c r="A1" s="74" t="str">
        <x:v>D1-1c: New-Build Pump Pressure Rating: Gold Answer</x:v>
      </x:c>
      <x:c r="B1" s="74"/>
      <x:c r="C1" s="74"/>
      <x:c r="D1" s="74"/>
      <x:c r="E1" s="74"/>
      <x:c r="F1" s="74"/>
      <x:c r="G1" s="74"/>
      <x:c r="H1" s="74"/>
      <x:c r="I1" s="74"/>
      <x:c r="J1" s="74"/>
      <x:c r="K1" s="74"/>
      <x:c r="L1" s="74"/>
      <x:c r="M1" s="74"/>
      <x:c r="N1" s="74"/>
    </x:row>
    <x:row r="2">
      <x:c r="A2" s="74"/>
      <x:c r="B2" s="74"/>
      <x:c r="C2" s="74"/>
      <x:c r="D2" s="74"/>
      <x:c r="E2" s="74"/>
      <x:c r="F2" s="74"/>
      <x:c r="G2" s="74"/>
      <x:c r="H2" s="74"/>
      <x:c r="I2" s="74"/>
      <x:c r="J2" s="74"/>
      <x:c r="K2" s="74"/>
      <x:c r="L2" s="74"/>
      <x:c r="M2" s="74"/>
      <x:c r="N2" s="74"/>
    </x:row>
    <x:row r="3">
      <x:c r="A3" s="80"/>
      <x:c r="B3" s="80"/>
      <x:c r="C3" s="80"/>
      <x:c r="D3" s="80"/>
      <x:c r="E3" s="80"/>
      <x:c r="F3" s="80"/>
      <x:c r="G3" s="80"/>
      <x:c r="H3" s="80"/>
      <x:c r="I3" s="80"/>
      <x:c r="J3" s="80"/>
      <x:c r="K3" s="80"/>
      <x:c r="L3" s="80"/>
      <x:c r="M3" s="80"/>
      <x:c r="N3" s="80"/>
    </x:row>
    <x:row r="4" ht="58" customHeight="1">
      <x:c r="A4" s="73" t="str">
        <x:v>Reference efficient trajectory: about 9–10 simulate_ro calls. Build a fail/pass bracket for each case, refine to 0.05 bar, then compare the three Pmin values and calculate the pump rating. Different adaptive bracketing orders can receive full credit if the evidence is sufficient.</x:v>
      </x:c>
      <x:c r="B4" s="73"/>
      <x:c r="C4" s="73"/>
      <x:c r="D4" s="73"/>
      <x:c r="E4" s="73"/>
      <x:c r="F4" s="73"/>
      <x:c r="G4" s="73"/>
      <x:c r="H4" s="73"/>
      <x:c r="I4" s="73"/>
      <x:c r="J4" s="73"/>
      <x:c r="K4" s="73"/>
      <x:c r="L4" s="73"/>
      <x:c r="M4" s="73"/>
      <x:c r="N4" s="73"/>
    </x:row>
    <x:row r="5">
      <x:c r="A5" s="73"/>
      <x:c r="B5" s="73"/>
      <x:c r="C5" s="73"/>
      <x:c r="D5" s="73"/>
      <x:c r="E5" s="73"/>
      <x:c r="F5" s="73"/>
      <x:c r="G5" s="73"/>
      <x:c r="H5" s="73"/>
      <x:c r="I5" s="73"/>
      <x:c r="J5" s="73"/>
      <x:c r="K5" s="73"/>
      <x:c r="L5" s="73"/>
      <x:c r="M5" s="73"/>
      <x:c r="N5" s="73"/>
    </x:row>
    <x:row r="6">
      <x:c r="A6" s="80"/>
      <x:c r="B6" s="80"/>
      <x:c r="C6" s="80"/>
      <x:c r="D6" s="80"/>
      <x:c r="E6" s="80"/>
      <x:c r="F6" s="80"/>
      <x:c r="G6" s="80"/>
      <x:c r="H6" s="80"/>
      <x:c r="I6" s="80"/>
      <x:c r="J6" s="80"/>
      <x:c r="K6" s="80"/>
      <x:c r="L6" s="80"/>
      <x:c r="M6" s="80"/>
      <x:c r="N6" s="80"/>
    </x:row>
    <x:row r="7" ht="22" customHeight="1">
      <x:c r="A7" s="68" t="str">
        <x:v>Case</x:v>
      </x:c>
      <x:c r="B7" s="68" t="str">
        <x:v>Pressure bar</x:v>
      </x:c>
      <x:c r="C7" s="68" t="str">
        <x:v>NaCl frac</x:v>
      </x:c>
      <x:c r="D7" s="68" t="str">
        <x:v>T °C</x:v>
      </x:c>
      <x:c r="E7" s="68" t="str">
        <x:v>Permeate kg/s</x:v>
      </x:c>
      <x:c r="F7" s="68" t="str">
        <x:v>Qp m³/h</x:v>
      </x:c>
      <x:c r="G7" s="68" t="str">
        <x:v>Flux LMH</x:v>
      </x:c>
      <x:c r="H7" s="68" t="str">
        <x:v>Recovery %</x:v>
      </x:c>
      <x:c r="I7" s="68" t="str">
        <x:v>Rejection %</x:v>
      </x:c>
      <x:c r="J7" s="68" t="str">
        <x:v>NaCl mg/L</x:v>
      </x:c>
      <x:c r="K7" s="68" t="str">
        <x:v>Production</x:v>
      </x:c>
      <x:c r="L7" s="68" t="str">
        <x:v>Recovery</x:v>
      </x:c>
      <x:c r="M7" s="68" t="str">
        <x:v>Water quality</x:v>
      </x:c>
      <x:c r="N7" s="68" t="str">
        <x:v>Overall</x:v>
      </x:c>
    </x:row>
    <x:row r="8" ht="22" customHeight="1">
      <x:c r="A8" s="67" t="str">
        <x:v>A Normal design</x:v>
      </x:c>
      <x:c r="B8" s="71" t="n">
        <x:v>50</x:v>
      </x:c>
      <x:c r="C8" s="69" t="n">
        <x:v>0.03</x:v>
      </x:c>
      <x:c r="D8" s="67" t="n">
        <x:v>32</x:v>
      </x:c>
      <x:c r="E8" s="69" t="n">
        <x:v>1.7275890216241345</x:v>
      </x:c>
      <x:c r="F8" s="69" t="n">
        <x:f t="shared" ref="F8:F18" si="0">E8*3.6</x:f>
        <x:v>6.2193204778468845</x:v>
      </x:c>
      <x:c r="G8" s="69" t="n">
        <x:v>15.5426139982186</x:v>
      </x:c>
      <x:c r="H8" s="69" t="n">
        <x:v>43.37040758783258</x:v>
      </x:c>
      <x:c r="I8" s="69" t="n">
        <x:v>98.8075874223146</x:v>
      </x:c>
      <x:c r="J8" s="69" t="n">
        <x:v>365.7760630840689</x:v>
      </x:c>
      <x:c r="K8" s="67" t="str">
        <x:f t="shared" ref="K8:K18" si="1">IF(F8&gt;=6.25,"通过","不通过")</x:f>
        <x:v>Fail</x:v>
      </x:c>
      <x:c r="L8" s="67" t="str">
        <x:f t="shared" ref="L8:L18" si="2">IF(H8&lt;=46.0,"通过","不通过")</x:f>
        <x:v>Pass</x:v>
      </x:c>
      <x:c r="M8" s="67" t="str">
        <x:f t="shared" ref="M8:M18" si="3">IF(AND(G8&lt;=18.0,I8&gt;=98.7,J8&lt;=400),"通过","不通过")</x:f>
        <x:v>Pass</x:v>
      </x:c>
      <x:c r="N8" s="67" t="str">
        <x:f t="shared" ref="N8:N18" si="4">IF(AND(K8="通过",L8="通过",M8="通过"),"通过","不通过")</x:f>
        <x:v>Fail</x:v>
      </x:c>
    </x:row>
    <x:row r="9" ht="22" customHeight="1">
      <x:c r="A9" s="67" t="str">
        <x:v>A Normal design</x:v>
      </x:c>
      <x:c r="B9" s="71" t="n">
        <x:v>51</x:v>
      </x:c>
      <x:c r="C9" s="69" t="n">
        <x:v>0.03</x:v>
      </x:c>
      <x:c r="D9" s="67" t="n">
        <x:v>32</x:v>
      </x:c>
      <x:c r="E9" s="69" t="n">
        <x:v>1.780216269284124</x:v>
      </x:c>
      <x:c r="F9" s="69" t="n">
        <x:f t="shared" si="0"/>
        <x:v>6.4087785694228465</x:v>
      </x:c>
      <x:c r="G9" s="69" t="n">
        <x:v>16.016162660682255</x:v>
      </x:c>
      <x:c r="H9" s="69" t="n">
        <x:v>44.6917553385804</x:v>
      </x:c>
      <x:c r="I9" s="69" t="n">
        <x:v>98.82319395005294</x:v>
      </x:c>
      <x:c r="J9" s="69" t="n">
        <x:v>360.99002717632754</x:v>
      </x:c>
      <x:c r="K9" s="67" t="str">
        <x:f t="shared" si="1"/>
        <x:v>Pass</x:v>
      </x:c>
      <x:c r="L9" s="67" t="str">
        <x:f t="shared" si="2"/>
        <x:v>Pass</x:v>
      </x:c>
      <x:c r="M9" s="67" t="str">
        <x:f t="shared" si="3"/>
        <x:v>Pass</x:v>
      </x:c>
      <x:c r="N9" s="67" t="str">
        <x:f t="shared" si="4"/>
        <x:v>Pass</x:v>
      </x:c>
    </x:row>
    <x:row r="10" ht="22" customHeight="1">
      <x:c r="A10" s="67" t="str">
        <x:v>A Normal design</x:v>
      </x:c>
      <x:c r="B10" s="71" t="n">
        <x:v>50.15</x:v>
      </x:c>
      <x:c r="C10" s="69" t="n">
        <x:v>0.03</x:v>
      </x:c>
      <x:c r="D10" s="67" t="n">
        <x:v>32</x:v>
      </x:c>
      <x:c r="E10" s="69" t="n">
        <x:v>1.7355573562496427</x:v>
      </x:c>
      <x:c r="F10" s="69" t="n">
        <x:f t="shared" si="0"/>
        <x:v>6.248006482498714</x:v>
      </x:c>
      <x:c r="G10" s="69" t="n">
        <x:v>15.61431456810875</x:v>
      </x:c>
      <x:c r="H10" s="69" t="n">
        <x:v>43.57047431202636</x:v>
      </x:c>
      <x:c r="I10" s="69" t="n">
        <x:v>98.81004869725447</x:v>
      </x:c>
      <x:c r="J10" s="69" t="n">
        <x:v>365.021269040323</x:v>
      </x:c>
      <x:c r="K10" s="67" t="str">
        <x:f t="shared" si="1"/>
        <x:v>Fail</x:v>
      </x:c>
      <x:c r="L10" s="67" t="str">
        <x:f t="shared" si="2"/>
        <x:v>Pass</x:v>
      </x:c>
      <x:c r="M10" s="67" t="str">
        <x:f t="shared" si="3"/>
        <x:v>Pass</x:v>
      </x:c>
      <x:c r="N10" s="67" t="str">
        <x:f t="shared" si="4"/>
        <x:v>Fail</x:v>
      </x:c>
    </x:row>
    <x:row r="11" ht="22" customHeight="1">
      <x:c r="A11" s="67" t="str">
        <x:v>A Normal design</x:v>
      </x:c>
      <x:c r="B11" s="71" t="n">
        <x:v>50.2</x:v>
      </x:c>
      <x:c r="C11" s="69" t="n">
        <x:v>0.03</x:v>
      </x:c>
      <x:c r="D11" s="67" t="n">
        <x:v>32</x:v>
      </x:c>
      <x:c r="E11" s="69" t="n">
        <x:v>1.7382075958934116</x:v>
      </x:c>
      <x:c r="F11" s="69" t="n">
        <x:f t="shared" si="0"/>
        <x:v>6.257547345216282</x:v>
      </x:c>
      <x:c r="G11" s="69" t="n">
        <x:v>15.638161907531169</x:v>
      </x:c>
      <x:c r="H11" s="69" t="n">
        <x:v>43.63701576024153</x:v>
      </x:c>
      <x:c r="I11" s="69" t="n">
        <x:v>98.81085936790124</x:v>
      </x:c>
      <x:c r="J11" s="69" t="n">
        <x:v>364.77266217729465</x:v>
      </x:c>
      <x:c r="K11" s="67" t="str">
        <x:f t="shared" si="1"/>
        <x:v>Pass</x:v>
      </x:c>
      <x:c r="L11" s="67" t="str">
        <x:f t="shared" si="2"/>
        <x:v>Pass</x:v>
      </x:c>
      <x:c r="M11" s="67" t="str">
        <x:f t="shared" si="3"/>
        <x:v>Pass</x:v>
      </x:c>
      <x:c r="N11" s="67" t="str">
        <x:f t="shared" si="4"/>
        <x:v>Pass</x:v>
      </x:c>
    </x:row>
    <x:row r="12" ht="22" customHeight="1">
      <x:c r="A12" s="67" t="str">
        <x:v>B High salinity</x:v>
      </x:c>
      <x:c r="B12" s="71" t="n">
        <x:v>52</x:v>
      </x:c>
      <x:c r="C12" s="69" t="n">
        <x:v>0.033</x:v>
      </x:c>
      <x:c r="D12" s="67" t="n">
        <x:v>25</x:v>
      </x:c>
      <x:c r="E12" s="69" t="n">
        <x:v>1.673902295258118</x:v>
      </x:c>
      <x:c r="F12" s="69" t="n">
        <x:f t="shared" si="0"/>
        <x:v>6.0260482629292245</x:v>
      </x:c>
      <x:c r="G12" s="69" t="n">
        <x:v>15.058969697070832</x:v>
      </x:c>
      <x:c r="H12" s="69" t="n">
        <x:v>42.11491602158324</x:v>
      </x:c>
      <x:c r="I12" s="69" t="n">
        <x:v>98.79264183859338</x:v>
      </x:c>
      <x:c r="J12" s="69" t="n">
        <x:v>408.29146955656955</x:v>
      </x:c>
      <x:c r="K12" s="67" t="str">
        <x:f t="shared" si="1"/>
        <x:v>Fail</x:v>
      </x:c>
      <x:c r="L12" s="67" t="str">
        <x:f t="shared" si="2"/>
        <x:v>Pass</x:v>
      </x:c>
      <x:c r="M12" s="67" t="str">
        <x:f t="shared" si="3"/>
        <x:v>Fail</x:v>
      </x:c>
      <x:c r="N12" s="67" t="str">
        <x:f t="shared" si="4"/>
        <x:v>Fail</x:v>
      </x:c>
    </x:row>
    <x:row r="13" ht="22" customHeight="1">
      <x:c r="A13" s="67" t="str">
        <x:v>B High salinity</x:v>
      </x:c>
      <x:c r="B13" s="71" t="n">
        <x:v>54</x:v>
      </x:c>
      <x:c r="C13" s="69" t="n">
        <x:v>0.033</x:v>
      </x:c>
      <x:c r="D13" s="67" t="n">
        <x:v>25</x:v>
      </x:c>
      <x:c r="E13" s="69" t="n">
        <x:v>1.7754807096229097</x:v>
      </x:c>
      <x:c r="F13" s="69" t="n">
        <x:f t="shared" si="0"/>
        <x:v>6.391730554642475</x:v>
      </x:c>
      <x:c r="G13" s="69" t="n">
        <x:v>15.972976909048256</x:v>
      </x:c>
      <x:c r="H13" s="69" t="n">
        <x:v>44.67097171799432</x:v>
      </x:c>
      <x:c r="I13" s="69" t="n">
        <x:v>98.8249895381003</x:v>
      </x:c>
      <x:c r="J13" s="69" t="n">
        <x:v>397.35577109512104</x:v>
      </x:c>
      <x:c r="K13" s="67" t="str">
        <x:f t="shared" si="1"/>
        <x:v>Pass</x:v>
      </x:c>
      <x:c r="L13" s="67" t="str">
        <x:f t="shared" si="2"/>
        <x:v>Pass</x:v>
      </x:c>
      <x:c r="M13" s="67" t="str">
        <x:f t="shared" si="3"/>
        <x:v>Pass</x:v>
      </x:c>
      <x:c r="N13" s="67" t="str">
        <x:f t="shared" si="4"/>
        <x:v>Pass</x:v>
      </x:c>
    </x:row>
    <x:row r="14" ht="22" customHeight="1">
      <x:c r="A14" s="67" t="str">
        <x:v>B High salinity</x:v>
      </x:c>
      <x:c r="B14" s="71" t="n">
        <x:v>53.45</x:v>
      </x:c>
      <x:c r="C14" s="69" t="n">
        <x:v>0.033</x:v>
      </x:c>
      <x:c r="D14" s="67" t="n">
        <x:v>25</x:v>
      </x:c>
      <x:c r="E14" s="69" t="n">
        <x:v>1.747958080331451</x:v>
      </x:c>
      <x:c r="F14" s="69" t="n">
        <x:f t="shared" si="0"/>
        <x:v>6.292649089193223</x:v>
      </x:c>
      <x:c r="G14" s="69" t="n">
        <x:v>15.72532804531811</x:v>
      </x:c>
      <x:c r="H14" s="69" t="n">
        <x:v>43.97841163363268</x:v>
      </x:c>
      <x:c r="I14" s="69" t="n">
        <x:v>98.81678655342022</x:v>
      </x:c>
      <x:c r="J14" s="69" t="n">
        <x:v>400.12894891973383</x:v>
      </x:c>
      <x:c r="K14" s="67" t="str">
        <x:f t="shared" si="1"/>
        <x:v>Pass</x:v>
      </x:c>
      <x:c r="L14" s="67" t="str">
        <x:f t="shared" si="2"/>
        <x:v>Pass</x:v>
      </x:c>
      <x:c r="M14" s="67" t="str">
        <x:f t="shared" si="3"/>
        <x:v>Fail</x:v>
      </x:c>
      <x:c r="N14" s="67" t="str">
        <x:f t="shared" si="4"/>
        <x:v>Fail</x:v>
      </x:c>
    </x:row>
    <x:row r="15" ht="22" customHeight="1">
      <x:c r="A15" s="67" t="str">
        <x:v>B High salinity</x:v>
      </x:c>
      <x:c r="B15" s="71" t="n">
        <x:v>53.5</x:v>
      </x:c>
      <x:c r="C15" s="69" t="n">
        <x:v>0.033</x:v>
      </x:c>
      <x:c r="D15" s="67" t="n">
        <x:v>25</x:v>
      </x:c>
      <x:c r="E15" s="69" t="n">
        <x:v>1.750472780905319</x:v>
      </x:c>
      <x:c r="F15" s="69" t="n">
        <x:f t="shared" si="0"/>
        <x:v>6.301702011259149</x:v>
      </x:c>
      <x:c r="G15" s="69" t="n">
        <x:v>15.747955374801352</x:v>
      </x:c>
      <x:c r="H15" s="69" t="n">
        <x:v>44.04168985650756</x:v>
      </x:c>
      <x:c r="I15" s="69" t="n">
        <x:v>98.81755263358305</x:v>
      </x:c>
      <x:c r="J15" s="69" t="n">
        <x:v>399.8699611797321</x:v>
      </x:c>
      <x:c r="K15" s="67" t="str">
        <x:f t="shared" si="1"/>
        <x:v>Pass</x:v>
      </x:c>
      <x:c r="L15" s="67" t="str">
        <x:f t="shared" si="2"/>
        <x:v>Pass</x:v>
      </x:c>
      <x:c r="M15" s="67" t="str">
        <x:f t="shared" si="3"/>
        <x:v>Pass</x:v>
      </x:c>
      <x:c r="N15" s="67" t="str">
        <x:f t="shared" si="4"/>
        <x:v>Pass</x:v>
      </x:c>
    </x:row>
    <x:row r="16" ht="22" customHeight="1">
      <x:c r="A16" s="67" t="str">
        <x:v>C Hot summer</x:v>
      </x:c>
      <x:c r="B16" s="71" t="n">
        <x:v>50.85</x:v>
      </x:c>
      <x:c r="C16" s="69" t="n">
        <x:v>0.03</x:v>
      </x:c>
      <x:c r="D16" s="67" t="n">
        <x:v>38</x:v>
      </x:c>
      <x:c r="E16" s="69" t="n">
        <x:v>1.7341239388791645</x:v>
      </x:c>
      <x:c r="F16" s="69" t="n">
        <x:f t="shared" si="0"/>
        <x:v>6.242846179964992</x:v>
      </x:c>
      <x:c r="G16" s="69" t="n">
        <x:v>15.601420540458735</x:v>
      </x:c>
      <x:c r="H16" s="69" t="n">
        <x:v>43.53449322058574</x:v>
      </x:c>
      <x:c r="I16" s="69" t="n">
        <x:v>98.81047066705443</x:v>
      </x:c>
      <x:c r="J16" s="69" t="n">
        <x:v>364.8918643564588</x:v>
      </x:c>
      <x:c r="K16" s="67" t="str">
        <x:f t="shared" si="1"/>
        <x:v>Fail</x:v>
      </x:c>
      <x:c r="L16" s="67" t="str">
        <x:f t="shared" si="2"/>
        <x:v>Pass</x:v>
      </x:c>
      <x:c r="M16" s="67" t="str">
        <x:f t="shared" si="3"/>
        <x:v>Pass</x:v>
      </x:c>
      <x:c r="N16" s="67" t="str">
        <x:f t="shared" si="4"/>
        <x:v>Fail</x:v>
      </x:c>
    </x:row>
    <x:row r="17" ht="22" customHeight="1">
      <x:c r="A17" s="67" t="str">
        <x:v>C Hot summer</x:v>
      </x:c>
      <x:c r="B17" s="71" t="n">
        <x:v>50.9</x:v>
      </x:c>
      <x:c r="C17" s="69" t="n">
        <x:v>0.03</x:v>
      </x:c>
      <x:c r="D17" s="67" t="n">
        <x:v>38</x:v>
      </x:c>
      <x:c r="E17" s="69" t="n">
        <x:v>1.7367485184803142</x:v>
      </x:c>
      <x:c r="F17" s="69" t="n">
        <x:f t="shared" si="0"/>
        <x:v>6.2522946665291315</x:v>
      </x:c>
      <x:c r="G17" s="69" t="n">
        <x:v>15.625037011089846</x:v>
      </x:c>
      <x:c r="H17" s="69" t="n">
        <x:v>43.60039045675903</x:v>
      </x:c>
      <x:c r="I17" s="69" t="n">
        <x:v>98.81127873024477</x:v>
      </x:c>
      <x:c r="J17" s="69" t="n">
        <x:v>364.64405706870116</x:v>
      </x:c>
      <x:c r="K17" s="67" t="str">
        <x:f t="shared" si="1"/>
        <x:v>Pass</x:v>
      </x:c>
      <x:c r="L17" s="67" t="str">
        <x:f t="shared" si="2"/>
        <x:v>Pass</x:v>
      </x:c>
      <x:c r="M17" s="67" t="str">
        <x:f t="shared" si="3"/>
        <x:v>Pass</x:v>
      </x:c>
      <x:c r="N17" s="67" t="str">
        <x:f t="shared" si="4"/>
        <x:v>Pass</x:v>
      </x:c>
    </x:row>
    <x:row r="18" ht="15">
      <x:c r="A18" s="67"/>
      <x:c r="B18" s="71"/>
      <x:c r="C18" s="69"/>
      <x:c r="D18" s="67"/>
      <x:c r="E18" s="69"/>
      <x:c r="F18" s="69">
        <x:f t="shared" si="0"/>
      </x:c>
      <x:c r="G18" s="69"/>
      <x:c r="H18" s="69"/>
      <x:c r="I18" s="69"/>
      <x:c r="J18" s="69"/>
      <x:c r="K18" s="67">
        <x:f t="shared" si="1"/>
      </x:c>
      <x:c r="L18" s="67">
        <x:f t="shared" si="2"/>
      </x:c>
      <x:c r="M18" s="67">
        <x:f t="shared" si="3"/>
      </x:c>
      <x:c r="N18" s="67">
        <x:f t="shared" si="4"/>
      </x:c>
    </x:row>
    <x:row r="19">
      <x:c r="A19" s="80"/>
      <x:c r="B19" s="80"/>
      <x:c r="C19" s="80"/>
      <x:c r="D19" s="80"/>
      <x:c r="E19" s="80"/>
      <x:c r="F19" s="80"/>
      <x:c r="G19" s="80"/>
      <x:c r="H19" s="80"/>
      <x:c r="I19" s="80"/>
      <x:c r="J19" s="80"/>
      <x:c r="K19" s="80"/>
      <x:c r="L19" s="80"/>
      <x:c r="M19" s="80"/>
      <x:c r="N19" s="80"/>
    </x:row>
    <x:row r="20">
      <x:c r="A20" s="80"/>
      <x:c r="B20" s="80"/>
      <x:c r="C20" s="80"/>
      <x:c r="D20" s="80"/>
      <x:c r="E20" s="80"/>
      <x:c r="F20" s="80"/>
      <x:c r="G20" s="80"/>
      <x:c r="H20" s="80"/>
      <x:c r="I20" s="80"/>
      <x:c r="J20" s="80"/>
      <x:c r="K20" s="80"/>
      <x:c r="L20" s="80"/>
      <x:c r="M20" s="80"/>
      <x:c r="N20" s="80"/>
    </x:row>
    <x:row r="21" ht="24" customHeight="1">
      <x:c r="A21" s="81" t="str">
        <x:v>Minimum pressure by case and pump rating</x:v>
      </x:c>
      <x:c r="B21" s="81"/>
      <x:c r="C21" s="81"/>
      <x:c r="D21" s="81"/>
      <x:c r="E21" s="81"/>
      <x:c r="F21" s="81"/>
      <x:c r="G21" s="80"/>
      <x:c r="H21" s="80"/>
      <x:c r="I21" s="80"/>
      <x:c r="J21" s="80"/>
      <x:c r="K21" s="80"/>
      <x:c r="L21" s="80"/>
      <x:c r="M21" s="80"/>
      <x:c r="N21" s="80"/>
    </x:row>
    <x:row r="22" ht="38" customHeight="1">
      <x:c r="A22" s="68" t="str">
        <x:v>Item</x:v>
      </x:c>
      <x:c r="B22" s="68" t="str">
        <x:v>A Normal design</x:v>
      </x:c>
      <x:c r="C22" s="68" t="str">
        <x:v>B High salinity</x:v>
      </x:c>
      <x:c r="D22" s="68" t="str">
        <x:v>C Hot summer</x:v>
      </x:c>
      <x:c r="E22" s="68" t="str">
        <x:v>Comparison / calculation</x:v>
      </x:c>
      <x:c r="F22" s="68" t="str">
        <x:v>Conclusion</x:v>
      </x:c>
      <x:c r="G22" s="80"/>
      <x:c r="H22" s="80"/>
      <x:c r="I22" s="80"/>
      <x:c r="J22" s="80"/>
      <x:c r="K22" s="80"/>
      <x:c r="L22" s="80"/>
      <x:c r="M22" s="80"/>
      <x:c r="N22" s="80"/>
    </x:row>
    <x:row r="23" ht="38" customHeight="1">
      <x:c r="A23" s="67" t="str">
        <x:v>Last failing pressure</x:v>
      </x:c>
      <x:c r="B23" s="67" t="n">
        <x:v>50.15</x:v>
      </x:c>
      <x:c r="C23" s="67" t="n">
        <x:v>53.45</x:v>
      </x:c>
      <x:c r="D23" s="67" t="n">
        <x:v>50.85</x:v>
      </x:c>
      <x:c r="E23" s="67" t="str">
        <x:v>0.05 bar boundary</x:v>
      </x:c>
      <x:c r="F23" s="67" t="str">
        <x:v>-</x:v>
      </x:c>
      <x:c r="G23" s="80"/>
      <x:c r="H23" s="80"/>
      <x:c r="I23" s="80"/>
      <x:c r="J23" s="80"/>
      <x:c r="K23" s="80"/>
      <x:c r="L23" s="80"/>
      <x:c r="M23" s="80"/>
      <x:c r="N23" s="80"/>
    </x:row>
    <x:row r="24" ht="38" customHeight="1">
      <x:c r="A24" s="67" t="str">
        <x:v>Minimum feasible pressure</x:v>
      </x:c>
      <x:c r="B24" s="67" t="n">
        <x:v>50.2</x:v>
      </x:c>
      <x:c r="C24" s="67" t="n">
        <x:v>53.5</x:v>
      </x:c>
      <x:c r="D24" s="67" t="n">
        <x:v>50.9</x:v>
      </x:c>
      <x:c r="E24" s="67" t="str">
        <x:v>MAX=53.50 bar</x:v>
      </x:c>
      <x:c r="F24" s="67" t="str">
        <x:v>B High salinity controls</x:v>
      </x:c>
      <x:c r="G24" s="80"/>
      <x:c r="H24" s="80"/>
      <x:c r="I24" s="80"/>
      <x:c r="J24" s="80"/>
      <x:c r="K24" s="80"/>
      <x:c r="L24" s="80"/>
      <x:c r="M24" s="80"/>
      <x:c r="N24" s="80"/>
    </x:row>
    <x:row r="25" ht="38" customHeight="1">
      <x:c r="A25" s="67" t="str">
        <x:v>Controlling reason</x:v>
      </x:c>
      <x:c r="B25" s="67" t="str">
        <x:v>Production boundary</x:v>
      </x:c>
      <x:c r="C25" s="67" t="str">
        <x:v>Most restrictive salinity-quality boundary; permeate NaCl fails at 53.45 bar</x:v>
      </x:c>
      <x:c r="D25" s="67" t="str">
        <x:v>Production boundary</x:v>
      </x:c>
      <x:c r="E25" s="67" t="str">
        <x:v>Compare the three Pmin values</x:v>
      </x:c>
      <x:c r="F25" s="67" t="str">
        <x:v>B High salinity</x:v>
      </x:c>
      <x:c r="G25" s="80"/>
      <x:c r="H25" s="80"/>
      <x:c r="I25" s="80"/>
      <x:c r="J25" s="80"/>
      <x:c r="K25" s="80"/>
      <x:c r="L25" s="80"/>
      <x:c r="M25" s="80"/>
      <x:c r="N25" s="80"/>
    </x:row>
    <x:row r="26" ht="38" customHeight="1">
      <x:c r="A26" s="67" t="str">
        <x:v>Design margin</x:v>
      </x:c>
      <x:c r="B26" s="67" t="str">
        <x:v>-</x:v>
      </x:c>
      <x:c r="C26" s="67" t="str">
        <x:v>-</x:v>
      </x:c>
      <x:c r="D26" s="67" t="str">
        <x:v>-</x:v>
      </x:c>
      <x:c r="E26" s="67" t="str">
        <x:v>53.50+1.00=54.50 bar; round up to 0.5 bar</x:v>
      </x:c>
      <x:c r="F26" s="67" t="str">
        <x:v>Rated design pressure = 54.5 bar</x:v>
      </x:c>
      <x:c r="G26" s="80"/>
      <x:c r="H26" s="80"/>
      <x:c r="I26" s="80"/>
      <x:c r="J26" s="80"/>
      <x:c r="K26" s="80"/>
      <x:c r="L26" s="80"/>
      <x:c r="M26" s="80"/>
      <x:c r="N26" s="80"/>
    </x:row>
    <x:row r="27" ht="38" customHeight="1">
      <x:c r="A27" s="67" t="str">
        <x:v>Operating implication</x:v>
      </x:c>
      <x:c r="B27" s="67" t="str">
        <x:v>Near 50.20 bar</x:v>
      </x:c>
      <x:c r="C27" s="67" t="str">
        <x:v>-</x:v>
      </x:c>
      <x:c r="D27" s="67" t="str">
        <x:v>-</x:v>
      </x:c>
      <x:c r="E27" s="67" t="str">
        <x:v>Rated pressure ≠ all-case setpoint</x:v>
      </x:c>
      <x:c r="F27" s="67" t="str">
        <x:v>Non-controlling cases should not run continuously at rated pressure</x:v>
      </x:c>
      <x:c r="G27" s="80"/>
      <x:c r="H27" s="80"/>
      <x:c r="I27" s="80"/>
      <x:c r="J27" s="80"/>
      <x:c r="K27" s="80"/>
      <x:c r="L27" s="80"/>
      <x:c r="M27" s="80"/>
      <x:c r="N27" s="80"/>
    </x:row>
  </x:sheetData>
  <x:mergeCells>
    <x:mergeCell ref="A1:N2"/>
    <x:mergeCell ref="A4:N5"/>
    <x:mergeCell ref="A21:F21"/>
  </x:mergeCells>
  <x:conditionalFormatting sqref="K8:N18">
    <x:cfRule type="expression" dxfId="1" priority="1">
      <x:formula>K8="通过"</x:formula>
    </x:cfRule>
    <x:cfRule type="expression" dxfId="0" priority="2">
      <x:formula>K8="不通过"</x:formula>
    </x:cfRule>
  </x:conditionalFormatting>
  <x:pageMargins left="0.7" right="0.7" top="0.75" bottom="0.75" header="0.3" footer="0.3"/>
  <x:drawing xmlns:r="http://schemas.openxmlformats.org/officeDocument/2006/relationships" r:id="R408ab24bf70a4aff"/>
</x:worksheet>
</file>

<file path=xl/worksheets/sheet3.xml><?xml version="1.0" encoding="utf-8"?>
<x:worksheet xmlns:x="http://schemas.openxmlformats.org/spreadsheetml/2006/main">
  <x:sheetFormatPr defaultRowHeight="14.25"/>
  <x:cols>
    <x:col min="1" max="1" width="23" customWidth="1"/>
    <x:col min="2" max="2" width="30" customWidth="1"/>
    <x:col min="3" max="3" width="45" customWidth="1"/>
    <x:col min="4" max="5" width="39" customWidth="1"/>
    <x:col min="6" max="7" width="9" customWidth="1"/>
  </x:cols>
  <x:sheetData>
    <x:row r="1" ht="26" customHeight="1">
      <x:c r="A1" s="77" t="str">
        <x:v>D1-1c: New-Build Pump Pressure Rating: Trajectory Quality (100)</x:v>
      </x:c>
      <x:c r="B1" s="77"/>
      <x:c r="C1" s="77"/>
      <x:c r="D1" s="77"/>
      <x:c r="E1" s="77"/>
      <x:c r="F1" s="77"/>
      <x:c r="G1" s="77"/>
    </x:row>
    <x:row r="2">
      <x:c r="A2" s="77"/>
      <x:c r="B2" s="77"/>
      <x:c r="C2" s="77"/>
      <x:c r="D2" s="77"/>
      <x:c r="E2" s="77"/>
      <x:c r="F2" s="77"/>
      <x:c r="G2" s="77"/>
    </x:row>
    <x:row r="3">
      <x:c r="A3" s="80"/>
      <x:c r="B3" s="80"/>
      <x:c r="C3" s="80"/>
      <x:c r="D3" s="80"/>
      <x:c r="E3" s="80"/>
      <x:c r="F3" s="80"/>
      <x:c r="G3" s="80"/>
    </x:row>
    <x:row r="4" ht="72" customHeight="1">
      <x:c r="A4" s="70" t="str">
        <x:v>Trajectory Quality is scored out of 100 for the complete state → plan → tool call → observation → update → next action → stop/decision trajectory. Exact replication of the reference path is not required. Alternative pressure-search orders are valid if each next action is supported by prior observations and the final engineering decision is sufficiently verified. Tool usage efficiency is scored separately.</x:v>
      </x:c>
      <x:c r="B4" s="70"/>
      <x:c r="C4" s="70"/>
      <x:c r="D4" s="70"/>
      <x:c r="E4" s="70"/>
      <x:c r="F4" s="70"/>
      <x:c r="G4" s="70"/>
    </x:row>
    <x:row r="5">
      <x:c r="A5" s="70"/>
      <x:c r="B5" s="70"/>
      <x:c r="C5" s="70"/>
      <x:c r="D5" s="70"/>
      <x:c r="E5" s="70"/>
      <x:c r="F5" s="70"/>
      <x:c r="G5" s="70"/>
    </x:row>
    <x:row r="6">
      <x:c r="A6" s="70"/>
      <x:c r="B6" s="70"/>
      <x:c r="C6" s="70"/>
      <x:c r="D6" s="70"/>
      <x:c r="E6" s="70"/>
      <x:c r="F6" s="70"/>
      <x:c r="G6" s="70"/>
    </x:row>
    <x:row r="7" ht="15">
      <x:c r="A7" s="68"/>
      <x:c r="B7" s="68"/>
      <x:c r="C7" s="68"/>
      <x:c r="D7" s="68"/>
      <x:c r="E7" s="68"/>
      <x:c r="F7" s="68"/>
      <x:c r="G7" s="68"/>
    </x:row>
    <x:row r="8" ht="24" customHeight="1">
      <x:c r="A8" s="68" t="str">
        <x:v>Trajectory dimension</x:v>
      </x:c>
      <x:c r="B8" s="68" t="str">
        <x:v>Focus</x:v>
      </x:c>
      <x:c r="C8" s="68" t="str">
        <x:v>Full-credit evidence</x:v>
      </x:c>
      <x:c r="D8" s="68" t="str">
        <x:v>Partial credit</x:v>
      </x:c>
      <x:c r="E8" s="68" t="str">
        <x:v>Key failure modes</x:v>
      </x:c>
      <x:c r="F8" s="68" t="str">
        <x:v>Weight</x:v>
      </x:c>
      <x:c r="G8" s="68" t="str">
        <x:v>Score</x:v>
      </x:c>
    </x:row>
    <x:row r="9" ht="64" customHeight="1">
      <x:c r="A9" s="67" t="str">
        <x:v>TQ1 Problem representation</x:v>
      </x:c>
      <x:c r="B9" s="67" t="str">
        <x:v>Correct understanding of multi-case pump-pressure sizing and rating/setpoint semantics</x:v>
      </x:c>
      <x:c r="C9" s="67" t="str">
        <x:v>Area/A/B fixed; independently determine three Pmin values; maximum Pmin controls equipment rating; rating is not the normal operating setpoint</x:v>
      </x:c>
      <x:c r="D9" s="67" t="str">
        <x:v>Searches pressure and compares cases but does not clearly distinguish rating from operating setpoint</x:v>
      </x:c>
      <x:c r="E9" s="67" t="str">
        <x:v>Optimizes Area/A/B; solves only one case; averages pressures</x:v>
      </x:c>
      <x:c r="F9" s="67" t="n">
        <x:v>15</x:v>
      </x:c>
      <x:c r="G9" s="67"/>
    </x:row>
    <x:row r="10" ht="64" customHeight="1">
      <x:c r="A10" s="67" t="str">
        <x:v>TQ2 Planning and decomposition</x:v>
      </x:c>
      <x:c r="B10" s="67" t="str">
        <x:v>Quality of case-by-case boundary search and aggregation</x:v>
      </x:c>
      <x:c r="C10" s="67" t="str">
        <x:v>For each case: fail/pass bracket → refine to 0.05 bar → obtain Pmin → take MAX → add design margin</x:v>
      </x:c>
      <x:c r="D10" s="67" t="str">
        <x:v>Overall plan is correct but one case lacks adjacent boundary confirmation</x:v>
      </x:c>
      <x:c r="E10" s="67" t="str">
        <x:v>Blind fine-grid sweep; cases are not solved independently</x:v>
      </x:c>
      <x:c r="F10" s="67" t="n">
        <x:v>15</x:v>
      </x:c>
      <x:c r="G10" s="67"/>
    </x:row>
    <x:row r="11" ht="64" customHeight="1">
      <x:c r="A11" s="67" t="str">
        <x:v>TQ3 Action / tool-call correctness</x:v>
      </x:c>
      <x:c r="B11" s="67" t="str">
        <x:v>Whether simulate_ro inputs match the current case and pressure</x:v>
      </x:c>
      <x:c r="C11" s="67" t="str">
        <x:v>Only pressure changes during a case search; salinity/temperature change only as specified between cases; fixed inputs and units are correct</x:v>
      </x:c>
      <x:c r="D11" s="67" t="str">
        <x:v>Minor input/unit errors that do not alter the controlling-case conclusion</x:v>
      </x:c>
      <x:c r="E11" s="67" t="str">
        <x:v>Changes Area/A/B/flow during search or confuses bar and MPa</x:v>
      </x:c>
      <x:c r="F11" s="67" t="n">
        <x:v>20</x:v>
      </x:c>
      <x:c r="G11" s="67"/>
    </x:row>
    <x:row r="12" ht="64" customHeight="1">
      <x:c r="A12" s="67" t="str">
        <x:v>TQ4 Observation interpretation and state update</x:v>
      </x:c>
      <x:c r="B12" s="67" t="str">
        <x:v>Maintenance of adjacent fail/pass boundaries</x:v>
      </x:c>
      <x:c r="C12" s="67" t="str">
        <x:v>A: 50.15 fail/50.20 pass; B: 53.45 fail/53.50 pass; C: 50.85 fail/50.90 pass, with correct failure interpretation</x:v>
      </x:c>
      <x:c r="D12" s="67" t="str">
        <x:v>Pmin values are mostly correct but one adjacent fail point or failure reason is incomplete</x:v>
      </x:c>
      <x:c r="E12" s="67" t="str">
        <x:v>Records only pass points; does not maintain fail boundaries; misreads production or water-quality status</x:v>
      </x:c>
      <x:c r="F12" s="67" t="n">
        <x:v>20</x:v>
      </x:c>
      <x:c r="G12" s="67"/>
    </x:row>
    <x:row r="13" ht="64" customHeight="1">
      <x:c r="A13" s="70" t="str">
        <x:v>TQ5 Adaptive comparison and replanning</x:v>
      </x:c>
      <x:c r="B13" s="70" t="str">
        <x:v>Use of prior results to refine pressure and form the design envelope</x:v>
      </x:c>
      <x:c r="C13" s="70" t="str">
        <x:v>Each next pressure follows from the previous fail/pass result; after all three Pmin values, MAX identifies the high-salinity case as controlling</x:v>
      </x:c>
      <x:c r="D13" s="70" t="str">
        <x:v>Uses bracketing but includes some mechanical scanning or redundant calls</x:v>
      </x:c>
      <x:c r="E13" s="70" t="str">
        <x:v>Call sequence is independent of observations; controlling case is not based on Pmin comparison</x:v>
      </x:c>
      <x:c r="F13" s="72" t="n">
        <x:v>20</x:v>
      </x:c>
      <x:c r="G13" s="72"/>
    </x:row>
    <x:row r="14" ht="64" customHeight="1">
      <x:c r="A14" s="70" t="str">
        <x:v>TQ6 Stopping and final engineering decision</x:v>
      </x:c>
      <x:c r="B14" s="70" t="str">
        <x:v>Correct pump-rating conclusion</x:v>
      </x:c>
      <x:c r="C14" s="70" t="str">
        <x:v>Pmin≈50.20/53.50/50.90 bar; high-salinity case controls; rated pressure=54.5 bar; non-controlling cases operate near their own requirements</x:v>
      </x:c>
      <x:c r="D14" s="70" t="str">
        <x:v>Controlling case and rating are mostly correct but margin, rounding, or operating interpretation is incomplete</x:v>
      </x:c>
      <x:c r="E14" s="70" t="str">
        <x:v>Averages pressures; treats rated pressure as the continuous setpoint for all cases; or fails to complete all cases</x:v>
      </x:c>
      <x:c r="F14" s="70" t="n">
        <x:v>10</x:v>
      </x:c>
      <x:c r="G14" s="70"/>
    </x:row>
    <x:row r="15" ht="15">
      <x:c r="A15" s="79"/>
      <x:c r="B15" s="79"/>
      <x:c r="C15" s="79"/>
      <x:c r="D15" s="79"/>
      <x:c r="E15" s="79"/>
      <x:c r="F15" s="79"/>
      <x:c r="G15" s="79"/>
    </x:row>
    <x:row r="16" ht="15">
      <x:c r="A16" s="67"/>
      <x:c r="B16" s="67"/>
      <x:c r="C16" s="67"/>
      <x:c r="D16" s="67"/>
      <x:c r="E16" s="72"/>
      <x:c r="F16" s="72"/>
      <x:c r="G16" s="80"/>
    </x:row>
    <x:row r="17" ht="15">
      <x:c r="A17" s="78"/>
      <x:c r="B17" s="78"/>
      <x:c r="C17" s="78"/>
      <x:c r="D17" s="78"/>
      <x:c r="E17" s="78" t="str">
        <x:v>Trajectory Quality total</x:v>
      </x:c>
      <x:c r="F17" s="78" t="n">
        <x:v>100</x:v>
      </x:c>
      <x:c r="G17" s="78"/>
    </x:row>
    <x:row r="18" ht="15">
      <x:c r="A18" s="79"/>
      <x:c r="B18" s="79"/>
      <x:c r="C18" s="79"/>
      <x:c r="D18" s="79"/>
      <x:c r="E18" s="79"/>
      <x:c r="F18" s="79"/>
      <x:c r="G18" s="79"/>
    </x:row>
    <x:row r="19" ht="42" customHeight="1">
      <x:c r="A19" s="67" t="str">
        <x:v>Scoring note</x:v>
      </x:c>
      <x:c r="B19" s="67"/>
      <x:c r="C19" s="67"/>
      <x:c r="D19" s="67"/>
      <x:c r="E19" s="67"/>
      <x:c r="F19" s="67"/>
      <x:c r="G19" s="67"/>
    </x:row>
    <x:row r="20" ht="42" customHeight="1">
      <x:c r="A20" s="67" t="str">
        <x:v>Difficulty calibration</x:v>
      </x:c>
      <x:c r="B20" s="67" t="str">
        <x:v>Target scientific calls: about 9–10</x:v>
      </x:c>
      <x:c r="C20" s="67" t="str">
        <x:v>Standard; three case-specific boundary searches plus design-envelope comparison. Resolution 0.05 bar; benchmark margin 1.00 bar.</x:v>
      </x:c>
      <x:c r="D20" s="67"/>
      <x:c r="E20" s="67"/>
      <x:c r="F20" s="67"/>
      <x:c r="G20" s="67"/>
    </x:row>
    <x:row r="22">
      <x:c r="A22" s="57"/>
      <x:c r="B22" s="57"/>
      <x:c r="C22" s="57"/>
      <x:c r="D22" s="57"/>
      <x:c r="E22" s="57"/>
      <x:c r="F22" s="57"/>
      <x:c r="G22" s="57"/>
    </x:row>
    <x:row r="23">
      <x:c r="A23" s="57"/>
      <x:c r="B23" s="57"/>
      <x:c r="C23" s="57"/>
      <x:c r="D23" s="57"/>
      <x:c r="E23" s="57"/>
      <x:c r="F23" s="57"/>
      <x:c r="G23" s="57"/>
    </x:row>
    <x:row r="24">
      <x:c r="A24" s="57"/>
      <x:c r="B24" s="57"/>
      <x:c r="C24" s="57"/>
      <x:c r="D24" s="57"/>
      <x:c r="E24" s="57"/>
      <x:c r="F24" s="57"/>
      <x:c r="G24" s="57"/>
    </x:row>
    <x:row r="26">
      <x:c r="A26" s="58"/>
      <x:c r="B26" s="58"/>
      <x:c r="C26" s="58"/>
      <x:c r="D26" s="58"/>
      <x:c r="E26" s="58"/>
      <x:c r="F26" s="58"/>
      <x:c r="G26" s="58"/>
    </x:row>
    <x:row r="27">
      <x:c r="A27" s="58"/>
      <x:c r="B27" s="58"/>
      <x:c r="C27" s="58"/>
      <x:c r="D27" s="58"/>
      <x:c r="E27" s="58"/>
      <x:c r="F27" s="58"/>
      <x:c r="G27" s="58"/>
    </x:row>
  </x:sheetData>
  <x:mergeCells>
    <x:mergeCell ref="A26:G27"/>
    <x:mergeCell ref="A15:G15"/>
    <x:mergeCell ref="A18:G18"/>
    <x:mergeCell ref="A1:G2"/>
    <x:mergeCell ref="A4:G5"/>
    <x:mergeCell ref="A17:G17"/>
    <x:mergeCell ref="A22:G24"/>
  </x:mergeCells>
  <x:pageMargins left="0.7" right="0.7" top="0.75" bottom="0.75" header="0.3" footer="0.3"/>
</x:worksheet>
</file>

<file path=xl/worksheets/sheet4.xml><?xml version="1.0" encoding="utf-8"?>
<x:worksheet xmlns:x="http://schemas.openxmlformats.org/spreadsheetml/2006/main">
  <x:sheetFormatPr defaultRowHeight="14.25"/>
  <x:cols>
    <x:col min="1" max="1" width="20" customWidth="1"/>
    <x:col min="2" max="2" width="28" customWidth="1"/>
    <x:col min="3" max="3" width="39" customWidth="1"/>
    <x:col min="4" max="4" width="36" customWidth="1"/>
    <x:col min="5" max="5" width="37" customWidth="1"/>
    <x:col min="6" max="6" width="43" customWidth="1"/>
    <x:col min="7" max="7" width="9" customWidth="1"/>
  </x:cols>
  <x:sheetData>
    <x:row r="1" ht="26" customHeight="1">
      <x:c r="A1" s="77" t="str">
        <x:v>D1-1c: New-Build Pump Pressure Rating: Tool Usage Efficiency (100)</x:v>
      </x:c>
      <x:c r="B1" s="77"/>
      <x:c r="C1" s="77"/>
      <x:c r="D1" s="77"/>
      <x:c r="E1" s="77"/>
      <x:c r="F1" s="77"/>
      <x:c r="G1" s="77"/>
    </x:row>
    <x:row r="2">
      <x:c r="A2" s="77"/>
      <x:c r="B2" s="77"/>
      <x:c r="C2" s="77"/>
      <x:c r="D2" s="77"/>
      <x:c r="E2" s="77"/>
      <x:c r="F2" s="77"/>
      <x:c r="G2" s="77"/>
    </x:row>
    <x:row r="3">
      <x:c r="A3" s="80"/>
      <x:c r="B3" s="80"/>
      <x:c r="C3" s="80"/>
      <x:c r="D3" s="80"/>
      <x:c r="E3" s="80"/>
      <x:c r="F3" s="80"/>
      <x:c r="G3" s="80"/>
    </x:row>
    <x:row r="4" ht="68" customHeight="1">
      <x:c r="A4" s="70" t="str">
        <x:v>Tool usage efficiency is scored separately out of 100 and is not included in Trajectory Quality. The primary scientific tool is simulate_ro. A strong reference trajectory uses about 9–10 scientific calls. Call count is only a supporting signal; the main criteria are information gain, adaptive pressure selection from prior observations, avoidance of mechanical scanning, and stopping once the evidence is sufficient.</x:v>
      </x:c>
      <x:c r="B4" s="70"/>
      <x:c r="C4" s="70"/>
      <x:c r="D4" s="70"/>
      <x:c r="E4" s="70"/>
      <x:c r="F4" s="70"/>
      <x:c r="G4" s="70"/>
    </x:row>
    <x:row r="5">
      <x:c r="A5" s="70"/>
      <x:c r="B5" s="70"/>
      <x:c r="C5" s="70"/>
      <x:c r="D5" s="70"/>
      <x:c r="E5" s="70"/>
      <x:c r="F5" s="70"/>
      <x:c r="G5" s="70"/>
    </x:row>
    <x:row r="6">
      <x:c r="A6" s="70"/>
      <x:c r="B6" s="70"/>
      <x:c r="C6" s="70"/>
      <x:c r="D6" s="70"/>
      <x:c r="E6" s="70"/>
      <x:c r="F6" s="70"/>
      <x:c r="G6" s="70"/>
    </x:row>
    <x:row r="7">
      <x:c r="A7" s="80"/>
      <x:c r="B7" s="80"/>
      <x:c r="C7" s="80"/>
      <x:c r="D7" s="80"/>
      <x:c r="E7" s="80"/>
      <x:c r="F7" s="80"/>
      <x:c r="G7" s="80"/>
    </x:row>
    <x:row r="8" ht="24" customHeight="1">
      <x:c r="A8" s="68" t="str">
        <x:v>Efficiency dimension</x:v>
      </x:c>
      <x:c r="B8" s="68" t="str">
        <x:v>Focus</x:v>
      </x:c>
      <x:c r="C8" s="68" t="str">
        <x:v>Full-credit behavior</x:v>
      </x:c>
      <x:c r="D8" s="68" t="str">
        <x:v>Moderate behavior</x:v>
      </x:c>
      <x:c r="E8" s="68" t="str">
        <x:v>Low-score behavior</x:v>
      </x:c>
      <x:c r="F8" s="68" t="str">
        <x:v>Task-specific observation</x:v>
      </x:c>
      <x:c r="G8" s="68" t="str">
        <x:v>Score</x:v>
      </x:c>
    </x:row>
    <x:row r="9" ht="58" customHeight="1">
      <x:c r="A9" s="67" t="str">
        <x:v>E1 Tool choice and necessity</x:v>
      </x:c>
      <x:c r="B9" s="67" t="str">
        <x:v>Correct tool selection with no irrelevant calls</x:v>
      </x:c>
      <x:c r="C9" s="67" t="str">
        <x:v>Use simulate_ro for the scientific calculations; every call directly supports a pressure-boundary decision</x:v>
      </x:c>
      <x:c r="D9" s="67" t="str">
        <x:v>A few unnecessary exploratory calls</x:v>
      </x:c>
      <x:c r="E9" s="67" t="str">
        <x:v>Wrong tool or many irrelevant calls</x:v>
      </x:c>
      <x:c r="F9" s="67" t="str">
        <x:v>No need to alter Area/A/B or invoke unrelated models</x:v>
      </x:c>
      <x:c r="G9" s="67" t="n">
        <x:v>20</x:v>
      </x:c>
    </x:row>
    <x:row r="10" ht="58" customHeight="1">
      <x:c r="A10" s="67" t="str">
        <x:v>E2 Information gain and call order</x:v>
      </x:c>
      <x:c r="B10" s="67" t="str">
        <x:v>Priority given to discriminating information</x:v>
      </x:c>
      <x:c r="C10" s="67" t="str">
        <x:v>For each case, establish a coarse bracket first, then refine near the boundary</x:v>
      </x:c>
      <x:c r="D10" s="67" t="str">
        <x:v>Mostly reasonable with some low-information calls</x:v>
      </x:c>
      <x:c r="E10" s="67" t="str">
        <x:v>Starts with a dense pressure grid</x:v>
      </x:c>
      <x:c r="F10" s="67" t="str">
        <x:v>Build fail/pass structure before refining to target resolution</x:v>
      </x:c>
      <x:c r="G10" s="67" t="n">
        <x:v>20</x:v>
      </x:c>
    </x:row>
    <x:row r="11" ht="58" customHeight="1">
      <x:c r="A11" s="67" t="str">
        <x:v>E3 Adaptive iteration</x:v>
      </x:c>
      <x:c r="B11" s="67" t="str">
        <x:v>Whether each next call follows from the last observation</x:v>
      </x:c>
      <x:c r="C11" s="67" t="str">
        <x:v>Choose higher/lower or closer pressure based on the current fail/pass result</x:v>
      </x:c>
      <x:c r="D11" s="67" t="str">
        <x:v>Partly adaptive with some preset enumeration</x:v>
      </x:c>
      <x:c r="E11" s="67" t="str">
        <x:v>Call sequence is largely independent of results</x:v>
      </x:c>
      <x:c r="F11" s="67" t="str">
        <x:v>Previous pressure status should directly determine the next test</x:v>
      </x:c>
      <x:c r="G11" s="67" t="n">
        <x:v>20</x:v>
      </x:c>
    </x:row>
    <x:row r="12" ht="58" customHeight="1">
      <x:c r="A12" s="67" t="str">
        <x:v>E4 Pruning and redundancy control</x:v>
      </x:c>
      <x:c r="B12" s="67" t="str">
        <x:v>Avoidance of repeats and solved branches</x:v>
      </x:c>
      <x:c r="C12" s="67" t="str">
        <x:v>Move to the next case once a boundary is confirmed; do not repeat equivalent inputs</x:v>
      </x:c>
      <x:c r="D12" s="67" t="str">
        <x:v>Minor repetition or 1–2 unnecessary points</x:v>
      </x:c>
      <x:c r="E12" s="67" t="str">
        <x:v>Repeatedly tests settled intervals or brute-forces all combinations</x:v>
      </x:c>
      <x:c r="F12" s="67" t="str">
        <x:v>Converge each case independently without re-testing known points</x:v>
      </x:c>
      <x:c r="G12" s="67" t="n">
        <x:v>20</x:v>
      </x:c>
    </x:row>
    <x:row r="13" ht="58" customHeight="1">
      <x:c r="A13" s="67" t="str">
        <x:v>E5 Convergence and stopping</x:v>
      </x:c>
      <x:c r="B13" s="67" t="str">
        <x:v>Sufficient evidence within a reasonable call budget</x:v>
      </x:c>
      <x:c r="C13" s="67" t="str">
        <x:v>About 9–10 calls with all three boundaries, controlling case, and rated pressure well supported</x:v>
      </x:c>
      <x:c r="D13" s="67" t="str">
        <x:v>2–4 calls above reference but still adaptive</x:v>
      </x:c>
      <x:c r="E13" s="67" t="str">
        <x:v>Large enumeration/repetition, or too few calls to support the boundaries</x:v>
      </x:c>
      <x:c r="F13" s="67" t="str">
        <x:v>Target resolution 0.05 bar; stop searching after three Pmin values are established and make the engineering decision</x:v>
      </x:c>
      <x:c r="G13" s="67" t="n">
        <x:v>20</x:v>
      </x:c>
    </x:row>
    <x:row r="14">
      <x:c r="A14" s="80"/>
      <x:c r="B14" s="80"/>
      <x:c r="C14" s="80"/>
      <x:c r="D14" s="80"/>
      <x:c r="E14" s="80"/>
      <x:c r="F14" s="80"/>
      <x:c r="G14" s="80"/>
    </x:row>
    <x:row r="15" ht="15">
      <x:c r="A15" s="80"/>
      <x:c r="B15" s="80"/>
      <x:c r="C15" s="80"/>
      <x:c r="D15" s="80"/>
      <x:c r="E15" s="80"/>
      <x:c r="F15" s="73" t="str">
        <x:v>Tool efficiency total</x:v>
      </x:c>
      <x:c r="G15" s="73" t="n">
        <x:v>100</x:v>
      </x:c>
    </x:row>
    <x:row r="17">
      <x:c r="A17" s="65"/>
      <x:c r="B17" s="65"/>
      <x:c r="C17" s="65"/>
      <x:c r="D17" s="65"/>
      <x:c r="E17" s="65"/>
      <x:c r="F17" s="65"/>
      <x:c r="G17" s="65"/>
    </x:row>
    <x:row r="18">
      <x:c r="A18" s="65"/>
      <x:c r="B18" s="65"/>
      <x:c r="C18" s="65"/>
      <x:c r="D18" s="65"/>
      <x:c r="E18" s="65"/>
      <x:c r="F18" s="65"/>
      <x:c r="G18" s="65"/>
    </x:row>
    <x:row r="19">
      <x:c r="A19" s="65"/>
      <x:c r="B19" s="65"/>
      <x:c r="C19" s="65"/>
      <x:c r="D19" s="65"/>
      <x:c r="E19" s="65"/>
      <x:c r="F19" s="65"/>
      <x:c r="G19" s="65"/>
    </x:row>
    <x:row r="20">
      <x:c r="A20" s="65"/>
      <x:c r="B20" s="65"/>
      <x:c r="C20" s="65"/>
      <x:c r="D20" s="65"/>
      <x:c r="E20" s="65"/>
      <x:c r="F20" s="65"/>
      <x:c r="G20" s="65"/>
    </x:row>
  </x:sheetData>
  <x:mergeCells>
    <x:mergeCell ref="A1:G2"/>
    <x:mergeCell ref="A4:G6"/>
    <x:mergeCell ref="A17:G20"/>
  </x:mergeCells>
  <x:pageMargins left="0.7" right="0.7" top="0.75" bottom="0.75" header="0.3" footer="0.3"/>
</x:worksheet>
</file>