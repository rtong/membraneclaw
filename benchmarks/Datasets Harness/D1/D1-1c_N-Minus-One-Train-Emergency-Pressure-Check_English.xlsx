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fc38795fb444e3a" /></Relationships>
</file>

<file path=xl/workbook.xml><?xml version="1.0" encoding="utf-8"?>
<x:workbook xmlns:x="http://schemas.openxmlformats.org/spreadsheetml/2006/main">
  <x:sheets>
    <x:sheet xmlns:r="http://schemas.openxmlformats.org/officeDocument/2006/relationships" name="Question_Q" sheetId="1" r:id="R0cc02574bbf24965"/>
    <x:sheet xmlns:r="http://schemas.openxmlformats.org/officeDocument/2006/relationships" name="Stepwise Answer_A" sheetId="2" r:id="Rd1477c388b674636"/>
    <x:sheet xmlns:r="http://schemas.openxmlformats.org/officeDocument/2006/relationships" name="Trajectory Rubric" sheetId="3" r:id="Re9cd562496e045e3"/>
    <x:sheet xmlns:r="http://schemas.openxmlformats.org/officeDocument/2006/relationships" name="Tool Efficiency" sheetId="4" r:id="Rd7c1b53e701e480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000"/>
    <x:numFmt numFmtId="202" formatCode="0"/>
    <x:numFmt numFmtId="203" formatCode="0.0000"/>
  </x:numFmts>
  <x:fonts count="13">
    <x:font>
      <x:sz val="11"/>
      <x:name val="Carlito"/>
    </x:font>
    <x:font>
      <x:b/>
      <x:sz val="17"/>
      <x:color rgb="FFFFFFFF"/>
      <x:name val="Aptos Display"/>
    </x:font>
    <x:font>
      <x:b/>
      <x:sz val="11"/>
      <x:color rgb="FF17365D"/>
      <x:name val="Carlito"/>
    </x:font>
    <x:font>
      <x:b/>
      <x:sz val="10"/>
      <x:color rgb="FFFFFFFF"/>
      <x:name val="Aptos"/>
    </x:font>
    <x:font>
      <x:sz val="11"/>
      <x:color rgb="FF8A6400"/>
      <x:name val="Carlito"/>
    </x:font>
    <x:font>
      <x:b/>
      <x:sz val="11"/>
      <x:color rgb="FF3A6233"/>
      <x:name val="Carlito"/>
    </x:font>
    <x:font>
      <x:b/>
      <x:sz val="11"/>
      <x:color rgb="FFC00000"/>
      <x:name val="Carlito"/>
    </x:font>
    <x:font>
      <x:b/>
      <x:sz val="11"/>
      <x:color rgb="FF765600"/>
      <x:name val="Carlito"/>
    </x:font>
    <x:font>
      <x:i/>
      <x:sz val="11"/>
      <x:color rgb="FF17365D"/>
      <x:name val="Carlito"/>
    </x:font>
    <x:font>
      <x:sz val="11"/>
      <x:color rgb="FF765600"/>
      <x:name val="Carlito"/>
    </x:font>
    <x:font>
      <x:b/>
      <x:sz val="10"/>
      <x:color rgb="FF222222"/>
      <x:name val="Aptos"/>
    </x:font>
    <x:font>
      <x:sz val="10"/>
      <x:color rgb="FF222222"/>
      <x:name val="Aptos"/>
    </x:font>
    <x:font>
      <x:i/>
      <x:sz val="10"/>
      <x:color rgb="FF222222"/>
      <x:name val="Aptos"/>
    </x:font>
  </x:fonts>
  <x:fills count="10">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2F75B5"/>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F3F6F9"/>
      </x:patternFill>
    </x:fill>
  </x:fills>
  <x:borders count="10">
    <x:border/>
    <x:border>
      <x:right style="thin">
        <x:color rgb="FFD9D9D9"/>
      </x:right>
      <x:bottom style="thin">
        <x:color rgb="FFD9D9D9"/>
      </x:bottom>
    </x:border>
    <x:border>
      <x:left style="thin">
        <x:color rgb="FFD9D9D9"/>
      </x:left>
      <x:right style="thin">
        <x:color rgb="FFD9D9D9"/>
      </x:right>
      <x:bottom style="thin">
        <x:color rgb="FFD9D9D9"/>
      </x:bottom>
    </x:border>
    <x:border>
      <x:left style="thin">
        <x:color rgb="FFD9D9D9"/>
      </x:left>
      <x:bottom style="thin">
        <x:color rgb="FFD9D9D9"/>
      </x:bottom>
    </x:border>
    <x:border>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
      <x:left style="thin">
        <x:color rgb="FFD9D9D9"/>
      </x:left>
      <x:top style="thin">
        <x:color rgb="FFD9D9D9"/>
      </x:top>
      <x:bottom style="thin">
        <x:color rgb="FFD9D9D9"/>
      </x:bottom>
    </x:border>
    <x:border>
      <x:right style="thin">
        <x:color rgb="FFD9D9D9"/>
      </x:right>
      <x:top style="thin">
        <x:color rgb="FFD9D9D9"/>
      </x:top>
    </x:border>
    <x:border>
      <x:left style="thin">
        <x:color rgb="FFD9D9D9"/>
      </x:left>
      <x:right style="thin">
        <x:color rgb="FFD9D9D9"/>
      </x:right>
      <x:top style="thin">
        <x:color rgb="FFD9D9D9"/>
      </x:top>
    </x:border>
    <x:border>
      <x:left style="thin">
        <x:color rgb="FFD9D9D9"/>
      </x:left>
      <x:top style="thin">
        <x:color rgb="FFD9D9D9"/>
      </x:top>
    </x:border>
  </x:borders>
  <x:cellStyleXfs count="1">
    <x:xf numFmtId="0" fontId="0" fillId="0" borderId="0"/>
  </x:cellStyleXfs>
  <x:cellXfs count="1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5" borderId="0" xfId="0" applyNumberFormat="1" applyFont="1" applyFill="1" applyBorder="1"/>
    <x:xf numFmtId="0" fontId="2" fillId="5" borderId="0"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5" fillId="7" borderId="0" xfId="0" applyNumberFormat="1" applyFont="1" applyFill="1" applyBorder="1" applyAlignment="1">
      <x:alignment horizontal="center"/>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9" fillId="6" borderId="0" xfId="0" applyNumberFormat="1" applyFont="1" applyFill="1" applyBorder="1"/>
    <x:xf numFmtId="0" fontId="9" fillId="6" borderId="0" xfId="0" applyNumberFormat="1" applyFont="1" applyFill="1" applyBorder="1" applyAlignment="1">
      <x:alignment wrapText="1"/>
    </x:xf>
    <x:xf numFmtId="0" fontId="10" fillId="2" borderId="0" xfId="0" applyNumberFormat="1" applyFont="1" applyFill="1" applyBorder="1" applyAlignment="1">
      <x:alignment horizontal="center" vertical="center" wrapText="1"/>
    </x:xf>
    <x:xf numFmtId="0" fontId="11" fillId="0" borderId="0" xfId="0" applyNumberFormat="1" applyFont="1" applyFill="1" applyBorder="1"/>
    <x:xf numFmtId="0" fontId="10" fillId="3" borderId="0" xfId="0" applyNumberFormat="1" applyFont="1" applyFill="1" applyBorder="1" applyAlignment="1">
      <x:alignment wrapText="1"/>
    </x:xf>
    <x:xf numFmtId="0" fontId="10" fillId="4" borderId="0" xfId="0" applyNumberFormat="1" applyFont="1" applyFill="1" applyBorder="1" applyAlignment="1">
      <x:alignment horizontal="center" vertical="center" wrapText="1"/>
    </x:xf>
    <x:xf numFmtId="0" fontId="10" fillId="5" borderId="0" xfId="0" applyNumberFormat="1" applyFont="1" applyFill="1" applyBorder="1"/>
    <x:xf numFmtId="0" fontId="11" fillId="6" borderId="0" xfId="0" applyNumberFormat="1" applyFont="1" applyFill="1" applyBorder="1" applyAlignment="1">
      <x:alignment wrapText="1"/>
    </x:xf>
    <x:xf numFmtId="0" fontId="11" fillId="0" borderId="0" xfId="0" applyNumberFormat="1" applyFont="1" applyFill="1" applyBorder="1" applyAlignment="1">
      <x:alignment wrapText="1"/>
    </x:xf>
    <x:xf numFmtId="0" fontId="10" fillId="5" borderId="0" xfId="0" applyNumberFormat="1" applyFont="1" applyFill="1" applyBorder="1" applyAlignment="1">
      <x:alignment wrapText="1"/>
    </x:xf>
    <x:xf numFmtId="0" fontId="11" fillId="0" borderId="0" xfId="0" applyNumberFormat="1" applyFont="1" applyFill="1" applyBorder="1" applyAlignment="1">
      <x:alignment vertical="center" wrapText="1"/>
    </x:xf>
    <x:xf numFmtId="0" fontId="10" fillId="3" borderId="0" xfId="0" applyNumberFormat="1" applyFont="1" applyFill="1" applyBorder="1" applyAlignment="1">
      <x:alignment vertical="center" wrapText="1"/>
    </x:xf>
    <x:xf numFmtId="0" fontId="10" fillId="5" borderId="0" xfId="0" applyNumberFormat="1" applyFont="1" applyFill="1" applyBorder="1" applyAlignment="1">
      <x:alignment vertical="center" wrapText="1"/>
    </x:xf>
    <x:xf numFmtId="0" fontId="11" fillId="6" borderId="0" xfId="0" applyNumberFormat="1" applyFont="1" applyFill="1" applyBorder="1" applyAlignment="1">
      <x:alignment vertical="center" wrapText="1"/>
    </x:xf>
    <x:xf numFmtId="0" fontId="10" fillId="2" borderId="1" xfId="0" applyNumberFormat="1" applyFont="1" applyFill="1" applyBorder="1" applyAlignment="1">
      <x:alignment horizontal="center" vertical="center" wrapText="1"/>
    </x:xf>
    <x:xf numFmtId="0" fontId="10" fillId="2" borderId="2" xfId="0" applyNumberFormat="1" applyFont="1" applyFill="1" applyBorder="1" applyAlignment="1">
      <x:alignment horizontal="center" vertical="center" wrapText="1"/>
    </x:xf>
    <x:xf numFmtId="0" fontId="10" fillId="2" borderId="3" xfId="0" applyNumberFormat="1" applyFont="1" applyFill="1" applyBorder="1" applyAlignment="1">
      <x:alignment horizontal="center" vertical="center" wrapText="1"/>
    </x:xf>
    <x:xf numFmtId="0" fontId="10" fillId="2" borderId="4" xfId="0" applyNumberFormat="1" applyFont="1" applyFill="1" applyBorder="1" applyAlignment="1">
      <x:alignment horizontal="center" vertical="center" wrapText="1"/>
    </x:xf>
    <x:xf numFmtId="0" fontId="10" fillId="2" borderId="5" xfId="0" applyNumberFormat="1" applyFont="1" applyFill="1" applyBorder="1" applyAlignment="1">
      <x:alignment horizontal="center" vertical="center" wrapText="1"/>
    </x:xf>
    <x:xf numFmtId="0" fontId="10" fillId="2" borderId="6" xfId="0" applyNumberFormat="1" applyFont="1" applyFill="1" applyBorder="1" applyAlignment="1">
      <x:alignment horizontal="center" vertical="center" wrapText="1"/>
    </x:xf>
    <x:xf numFmtId="0" fontId="11" fillId="0" borderId="4" xfId="0" applyNumberFormat="1" applyFont="1" applyFill="1" applyBorder="1" applyAlignment="1">
      <x:alignment vertical="center" wrapText="1"/>
    </x:xf>
    <x:xf numFmtId="0" fontId="11" fillId="0" borderId="5" xfId="0" applyNumberFormat="1" applyFont="1" applyFill="1" applyBorder="1" applyAlignment="1">
      <x:alignment vertical="center" wrapText="1"/>
    </x:xf>
    <x:xf numFmtId="0" fontId="11" fillId="0" borderId="6" xfId="0" applyNumberFormat="1" applyFont="1" applyFill="1" applyBorder="1" applyAlignment="1">
      <x:alignment vertical="center" wrapText="1"/>
    </x:xf>
    <x:xf numFmtId="0" fontId="10" fillId="3" borderId="4" xfId="0" applyNumberFormat="1" applyFont="1" applyFill="1" applyBorder="1" applyAlignment="1">
      <x:alignment vertical="center" wrapText="1"/>
    </x:xf>
    <x:xf numFmtId="0" fontId="10" fillId="3" borderId="5" xfId="0" applyNumberFormat="1" applyFont="1" applyFill="1" applyBorder="1" applyAlignment="1">
      <x:alignment vertical="center" wrapText="1"/>
    </x:xf>
    <x:xf numFmtId="0" fontId="10" fillId="3" borderId="6" xfId="0" applyNumberFormat="1" applyFont="1" applyFill="1" applyBorder="1" applyAlignment="1">
      <x:alignment vertical="center" wrapText="1"/>
    </x:xf>
    <x:xf numFmtId="0" fontId="10" fillId="4" borderId="4" xfId="0" applyNumberFormat="1" applyFont="1" applyFill="1" applyBorder="1" applyAlignment="1">
      <x:alignment horizontal="center" vertical="center" wrapText="1"/>
    </x:xf>
    <x:xf numFmtId="0" fontId="10" fillId="4" borderId="5" xfId="0" applyNumberFormat="1" applyFont="1" applyFill="1" applyBorder="1" applyAlignment="1">
      <x:alignment horizontal="center" vertical="center" wrapText="1"/>
    </x:xf>
    <x:xf numFmtId="0" fontId="10" fillId="4" borderId="6" xfId="0" applyNumberFormat="1" applyFont="1" applyFill="1" applyBorder="1" applyAlignment="1">
      <x:alignment horizontal="center" vertical="center" wrapText="1"/>
    </x:xf>
    <x:xf numFmtId="0" fontId="10" fillId="5" borderId="5" xfId="0" applyNumberFormat="1" applyFont="1" applyFill="1" applyBorder="1" applyAlignment="1">
      <x:alignment vertical="center" wrapText="1"/>
    </x:xf>
    <x:xf numFmtId="0" fontId="10" fillId="5" borderId="6" xfId="0" applyNumberFormat="1" applyFont="1" applyFill="1" applyBorder="1" applyAlignment="1">
      <x:alignment vertical="center" wrapText="1"/>
    </x:xf>
    <x:xf numFmtId="0" fontId="10" fillId="5" borderId="4" xfId="0" applyNumberFormat="1" applyFont="1" applyFill="1" applyBorder="1" applyAlignment="1">
      <x:alignment vertical="center" wrapText="1"/>
    </x:xf>
    <x:xf numFmtId="0" fontId="11" fillId="6" borderId="4" xfId="0" applyNumberFormat="1" applyFont="1" applyFill="1" applyBorder="1" applyAlignment="1">
      <x:alignment vertical="center" wrapText="1"/>
    </x:xf>
    <x:xf numFmtId="0" fontId="11" fillId="6" borderId="5" xfId="0" applyNumberFormat="1" applyFont="1" applyFill="1" applyBorder="1" applyAlignment="1">
      <x:alignment vertical="center" wrapText="1"/>
    </x:xf>
    <x:xf numFmtId="0" fontId="11" fillId="6" borderId="6" xfId="0" applyNumberFormat="1" applyFont="1" applyFill="1" applyBorder="1" applyAlignment="1">
      <x:alignment vertical="center" wrapText="1"/>
    </x:xf>
    <x:xf numFmtId="0" fontId="11" fillId="6" borderId="7" xfId="0" applyNumberFormat="1" applyFont="1" applyFill="1" applyBorder="1" applyAlignment="1">
      <x:alignment vertical="center" wrapText="1"/>
    </x:xf>
    <x:xf numFmtId="0" fontId="11" fillId="6" borderId="8" xfId="0" applyNumberFormat="1" applyFont="1" applyFill="1" applyBorder="1" applyAlignment="1">
      <x:alignment vertical="center" wrapText="1"/>
    </x:xf>
    <x:xf numFmtId="0" fontId="11" fillId="6" borderId="9" xfId="0" applyNumberFormat="1" applyFont="1" applyFill="1" applyBorder="1" applyAlignment="1">
      <x:alignment vertical="center" wrapText="1"/>
    </x:xf>
    <x:xf numFmtId="0" fontId="1" fillId="2" borderId="1"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10" fillId="7" borderId="0" xfId="0" applyNumberFormat="1" applyFont="1" applyFill="1" applyBorder="1" applyAlignment="1">
      <x:alignment wrapText="1"/>
    </x:xf>
    <x:xf numFmtId="200" fontId="11" fillId="0" borderId="0" xfId="0" applyNumberFormat="1" applyFont="1" applyFill="1" applyBorder="1"/>
    <x:xf numFmtId="201" fontId="11" fillId="0" borderId="0" xfId="0" applyNumberFormat="1" applyFont="1" applyFill="1" applyBorder="1"/>
    <x:xf numFmtId="202" fontId="11" fillId="0" borderId="0" xfId="0" applyNumberFormat="1" applyFont="1" applyFill="1" applyBorder="1"/>
    <x:xf numFmtId="203" fontId="11" fillId="0" borderId="0" xfId="0" applyNumberFormat="1" applyFont="1" applyFill="1" applyBorder="1"/>
    <x:xf numFmtId="0" fontId="10" fillId="8" borderId="0" xfId="0" applyNumberFormat="1" applyFont="1" applyFill="1" applyBorder="1" applyAlignment="1">
      <x:alignment horizontal="center"/>
    </x:xf>
    <x:xf numFmtId="0" fontId="10" fillId="7" borderId="0" xfId="0" applyNumberFormat="1" applyFont="1" applyFill="1" applyBorder="1" applyAlignment="1">
      <x:alignment horizontal="center"/>
    </x:xf>
    <x:xf numFmtId="0" fontId="10" fillId="6" borderId="0" xfId="0" applyNumberFormat="1" applyFont="1" applyFill="1" applyBorder="1" applyAlignment="1">
      <x:alignment wrapText="1"/>
    </x:xf>
    <x:xf numFmtId="0" fontId="12" fillId="9" borderId="0" xfId="0" applyNumberFormat="1" applyFont="1" applyFill="1" applyBorder="1" applyAlignment="1">
      <x:alignment wrapText="1"/>
    </x:xf>
    <x:xf numFmtId="200" fontId="11" fillId="0" borderId="0" xfId="0" applyNumberFormat="1" applyFont="1" applyFill="1" applyBorder="1" applyAlignment="1">
      <x:alignment wrapText="1"/>
    </x:xf>
    <x:xf numFmtId="201" fontId="11" fillId="0" borderId="0" xfId="0" applyNumberFormat="1" applyFont="1" applyFill="1" applyBorder="1" applyAlignment="1">
      <x:alignment wrapText="1"/>
    </x:xf>
    <x:xf numFmtId="202" fontId="11" fillId="0" borderId="0" xfId="0" applyNumberFormat="1" applyFont="1" applyFill="1" applyBorder="1" applyAlignment="1">
      <x:alignment wrapText="1"/>
    </x:xf>
    <x:xf numFmtId="203" fontId="11" fillId="0" borderId="0" xfId="0" applyNumberFormat="1" applyFont="1" applyFill="1" applyBorder="1" applyAlignment="1">
      <x:alignment wrapText="1"/>
    </x:xf>
    <x:xf numFmtId="0" fontId="10" fillId="8" borderId="0" xfId="0" applyNumberFormat="1" applyFont="1" applyFill="1" applyBorder="1" applyAlignment="1">
      <x:alignment horizontal="center" wrapText="1"/>
    </x:xf>
    <x:xf numFmtId="0" fontId="10" fillId="7" borderId="0" xfId="0" applyNumberFormat="1" applyFont="1" applyFill="1" applyBorder="1" applyAlignment="1">
      <x:alignment horizontal="center" wrapText="1"/>
    </x:xf>
    <x:xf numFmtId="0" fontId="10" fillId="7" borderId="0" xfId="0" applyNumberFormat="1" applyFont="1" applyFill="1" applyBorder="1" applyAlignment="1">
      <x:alignment vertical="center" wrapText="1"/>
    </x:xf>
    <x:xf numFmtId="200" fontId="11" fillId="0" borderId="0" xfId="0" applyNumberFormat="1" applyFont="1" applyFill="1" applyBorder="1" applyAlignment="1">
      <x:alignment vertical="center" wrapText="1"/>
    </x:xf>
    <x:xf numFmtId="201" fontId="11" fillId="0" borderId="0" xfId="0" applyNumberFormat="1" applyFont="1" applyFill="1" applyBorder="1" applyAlignment="1">
      <x:alignment vertical="center" wrapText="1"/>
    </x:xf>
    <x:xf numFmtId="202" fontId="11" fillId="0" borderId="0" xfId="0" applyNumberFormat="1" applyFont="1" applyFill="1" applyBorder="1" applyAlignment="1">
      <x:alignment vertical="center" wrapText="1"/>
    </x:xf>
    <x:xf numFmtId="203" fontId="11" fillId="0" borderId="0" xfId="0" applyNumberFormat="1" applyFont="1" applyFill="1" applyBorder="1" applyAlignment="1">
      <x:alignment vertical="center" wrapText="1"/>
    </x:xf>
    <x:xf numFmtId="0" fontId="10" fillId="8" borderId="0" xfId="0" applyNumberFormat="1" applyFont="1" applyFill="1" applyBorder="1" applyAlignment="1">
      <x:alignment horizontal="center" vertical="center" wrapText="1"/>
    </x:xf>
    <x:xf numFmtId="0" fontId="10" fillId="7" borderId="0" xfId="0" applyNumberFormat="1" applyFont="1" applyFill="1" applyBorder="1" applyAlignment="1">
      <x:alignment horizontal="center" vertical="center" wrapText="1"/>
    </x:xf>
    <x:xf numFmtId="0" fontId="10" fillId="6" borderId="0" xfId="0" applyNumberFormat="1" applyFont="1" applyFill="1" applyBorder="1" applyAlignment="1">
      <x:alignment vertical="center" wrapText="1"/>
    </x:xf>
    <x:xf numFmtId="0" fontId="12" fillId="9" borderId="0" xfId="0" applyNumberFormat="1" applyFont="1" applyFill="1" applyBorder="1" applyAlignment="1">
      <x:alignment vertical="center" wrapText="1"/>
    </x:xf>
    <x:xf numFmtId="0" fontId="10" fillId="7" borderId="4" xfId="0" applyNumberFormat="1" applyFont="1" applyFill="1" applyBorder="1" applyAlignment="1">
      <x:alignment vertical="center" wrapText="1"/>
    </x:xf>
    <x:xf numFmtId="0" fontId="10" fillId="7" borderId="5" xfId="0" applyNumberFormat="1" applyFont="1" applyFill="1" applyBorder="1" applyAlignment="1">
      <x:alignment vertical="center" wrapText="1"/>
    </x:xf>
    <x:xf numFmtId="0" fontId="10" fillId="7" borderId="6" xfId="0" applyNumberFormat="1" applyFont="1" applyFill="1" applyBorder="1" applyAlignment="1">
      <x:alignment vertical="center" wrapText="1"/>
    </x:xf>
    <x:xf numFmtId="200" fontId="11" fillId="0" borderId="5" xfId="0" applyNumberFormat="1" applyFont="1" applyFill="1" applyBorder="1" applyAlignment="1">
      <x:alignment vertical="center" wrapText="1"/>
    </x:xf>
    <x:xf numFmtId="201" fontId="11" fillId="0" borderId="5" xfId="0" applyNumberFormat="1" applyFont="1" applyFill="1" applyBorder="1" applyAlignment="1">
      <x:alignment vertical="center" wrapText="1"/>
    </x:xf>
    <x:xf numFmtId="202" fontId="11" fillId="0" borderId="5" xfId="0" applyNumberFormat="1" applyFont="1" applyFill="1" applyBorder="1" applyAlignment="1">
      <x:alignment vertical="center" wrapText="1"/>
    </x:xf>
    <x:xf numFmtId="203" fontId="11" fillId="0" borderId="5" xfId="0" applyNumberFormat="1" applyFont="1" applyFill="1" applyBorder="1" applyAlignment="1">
      <x:alignment vertical="center" wrapText="1"/>
    </x:xf>
    <x:xf numFmtId="0" fontId="10" fillId="8" borderId="5" xfId="0" applyNumberFormat="1" applyFont="1" applyFill="1" applyBorder="1" applyAlignment="1">
      <x:alignment horizontal="center" vertical="center" wrapText="1"/>
    </x:xf>
    <x:xf numFmtId="0" fontId="10" fillId="7" borderId="5" xfId="0" applyNumberFormat="1" applyFont="1" applyFill="1" applyBorder="1" applyAlignment="1">
      <x:alignment horizontal="center" vertical="center" wrapText="1"/>
    </x:xf>
    <x:xf numFmtId="0" fontId="10" fillId="6" borderId="4" xfId="0" applyNumberFormat="1" applyFont="1" applyFill="1" applyBorder="1" applyAlignment="1">
      <x:alignment vertical="center" wrapText="1"/>
    </x:xf>
    <x:xf numFmtId="0" fontId="10" fillId="6" borderId="5" xfId="0" applyNumberFormat="1" applyFont="1" applyFill="1" applyBorder="1" applyAlignment="1">
      <x:alignment vertical="center" wrapText="1"/>
    </x:xf>
    <x:xf numFmtId="0" fontId="10" fillId="6" borderId="6" xfId="0" applyNumberFormat="1" applyFont="1" applyFill="1" applyBorder="1" applyAlignment="1">
      <x:alignment vertical="center" wrapText="1"/>
    </x:xf>
    <x:xf numFmtId="0" fontId="12" fillId="9" borderId="4" xfId="0" applyNumberFormat="1" applyFont="1" applyFill="1" applyBorder="1" applyAlignment="1">
      <x:alignment vertical="center" wrapText="1"/>
    </x:xf>
    <x:xf numFmtId="0" fontId="12" fillId="9" borderId="5" xfId="0" applyNumberFormat="1" applyFont="1" applyFill="1" applyBorder="1" applyAlignment="1">
      <x:alignment vertical="center" wrapText="1"/>
    </x:xf>
    <x:xf numFmtId="0" fontId="12" fillId="9" borderId="6" xfId="0" applyNumberFormat="1" applyFont="1" applyFill="1" applyBorder="1" applyAlignment="1">
      <x:alignment vertical="center" wrapText="1"/>
    </x:xf>
    <x:xf numFmtId="0" fontId="12" fillId="9" borderId="7" xfId="0" applyNumberFormat="1" applyFont="1" applyFill="1" applyBorder="1" applyAlignment="1">
      <x:alignment vertical="center" wrapText="1"/>
    </x:xf>
    <x:xf numFmtId="0" fontId="12" fillId="9" borderId="8" xfId="0" applyNumberFormat="1" applyFont="1" applyFill="1" applyBorder="1" applyAlignment="1">
      <x:alignment vertical="center" wrapText="1"/>
    </x:xf>
    <x:xf numFmtId="0" fontId="12" fillId="9" borderId="9" xfId="0" applyNumberFormat="1" applyFont="1" applyFill="1" applyBorder="1" applyAlignment="1">
      <x:alignment vertical="center" wrapText="1"/>
    </x:xf>
    <x:xf numFmtId="0" fontId="10" fillId="7" borderId="0" xfId="0" applyNumberFormat="1" applyFont="1" applyFill="1" applyBorder="1"/>
    <x:xf numFmtId="0" fontId="11" fillId="0" borderId="7" xfId="0" applyNumberFormat="1" applyFont="1" applyFill="1" applyBorder="1" applyAlignment="1">
      <x:alignment vertical="center" wrapText="1"/>
    </x:xf>
    <x:xf numFmtId="0" fontId="11" fillId="0" borderId="8" xfId="0" applyNumberFormat="1" applyFont="1" applyFill="1" applyBorder="1" applyAlignment="1">
      <x:alignment vertical="center" wrapText="1"/>
    </x:xf>
    <x:xf numFmtId="0" fontId="11" fillId="0" borderId="9" xfId="0" applyNumberFormat="1" applyFont="1" applyFill="1" applyBorder="1" applyAlignment="1">
      <x:alignment vertical="center" wrapText="1"/>
    </x:xf>
    <x:xf numFmtId="0" fontId="10" fillId="7" borderId="8" xfId="0" applyNumberFormat="1" applyFont="1" applyFill="1" applyBorder="1" applyAlignment="1">
      <x:alignment vertical="center" wrapText="1"/>
    </x:xf>
    <x:xf numFmtId="0" fontId="10" fillId="7" borderId="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fa4cab45e8b420b" /><Relationship Type="http://schemas.openxmlformats.org/officeDocument/2006/relationships/theme" Target="/xl/theme/theme1.xml" Id="R5b6961d3310d4c6c" /><Relationship Type="http://schemas.openxmlformats.org/officeDocument/2006/relationships/sharedStrings" Target="/xl/sharedStrings.xml" Id="R5dc4b9836cd04403" /><Relationship Type="http://schemas.openxmlformats.org/officeDocument/2006/relationships/worksheet" Target="/xl/worksheets/sheet1.xml" Id="R0cc02574bbf24965" /><Relationship Type="http://schemas.openxmlformats.org/officeDocument/2006/relationships/worksheet" Target="/xl/worksheets/sheet2.xml" Id="Rd1477c388b674636" /><Relationship Type="http://schemas.openxmlformats.org/officeDocument/2006/relationships/worksheet" Target="/xl/worksheets/sheet3.xml" Id="Re9cd562496e045e3" /><Relationship Type="http://schemas.openxmlformats.org/officeDocument/2006/relationships/worksheet" Target="/xl/worksheets/sheet4.xml" Id="Rd7c1b53e701e480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18" hidden="0" customWidth="1"/>
    <x:col min="3" max="3" width="18" hidden="0" customWidth="1"/>
    <x:col min="4" max="4" width="18" hidden="0" customWidth="1"/>
    <x:col min="5" max="5" width="4" hidden="0" customWidth="1"/>
    <x:col min="6" max="6" width="24" hidden="0" customWidth="1"/>
    <x:col min="7" max="7" width="24" hidden="0" customWidth="1"/>
    <x:col min="8" max="8" width="24" hidden="0" customWidth="1"/>
  </x:cols>
  <x:sheetData>
    <x:row r="1">
      <x:c r="A1" s="73" t="str">
        <x:v>D1-1c | N-Minus-One Train Emergency Pressure Check</x:v>
      </x:c>
      <x:c r="B1" s="50"/>
      <x:c r="C1" s="50"/>
      <x:c r="D1" s="50"/>
      <x:c r="E1" s="50"/>
      <x:c r="F1" s="50"/>
      <x:c r="G1" s="50"/>
      <x:c r="H1" s="51"/>
    </x:row>
    <x:row r="2">
      <x:c r="A2" s="74"/>
      <x:c r="B2" s="53"/>
      <x:c r="C2" s="53"/>
      <x:c r="D2" s="53"/>
      <x:c r="E2" s="53"/>
      <x:c r="F2" s="53"/>
      <x:c r="G2" s="53"/>
      <x:c r="H2" s="54"/>
    </x:row>
    <x:row r="3">
      <x:c r="A3" s="55"/>
      <x:c r="B3" s="56"/>
      <x:c r="C3" s="56"/>
      <x:c r="D3" s="56"/>
      <x:c r="E3" s="56"/>
      <x:c r="F3" s="56"/>
      <x:c r="G3" s="56"/>
      <x:c r="H3" s="57"/>
    </x:row>
    <x:row r="4" ht="34" customHeight="1">
      <x:c r="A4" s="58" t="str">
        <x:v>A three-train parallel SWRO system must be checked when one train is unavailable and the flow through each remaining train increases. Determine the pressure boundary for three-train normal, two-train N-1, and peak N-1 operation. Compare the results with the existing pump limit of 72.0 bar and the single-train membrane flux limit of 22.0 LMH, then decide whether the emergency requirement can be met by pressure increase alone.</x:v>
      </x:c>
      <x:c r="B4" s="59"/>
      <x:c r="C4" s="59"/>
      <x:c r="D4" s="59"/>
      <x:c r="E4" s="59"/>
      <x:c r="F4" s="59"/>
      <x:c r="G4" s="59"/>
      <x:c r="H4" s="60"/>
    </x:row>
    <x:row r="5" ht="34" customHeight="1">
      <x:c r="A5" s="58"/>
      <x:c r="B5" s="59"/>
      <x:c r="C5" s="59"/>
      <x:c r="D5" s="59"/>
      <x:c r="E5" s="59"/>
      <x:c r="F5" s="59"/>
      <x:c r="G5" s="59"/>
      <x:c r="H5" s="60"/>
    </x:row>
    <x:row r="6" ht="34" customHeight="1">
      <x:c r="A6" s="58"/>
      <x:c r="B6" s="59"/>
      <x:c r="C6" s="59"/>
      <x:c r="D6" s="59"/>
      <x:c r="E6" s="59"/>
      <x:c r="F6" s="59"/>
      <x:c r="G6" s="59"/>
      <x:c r="H6" s="60"/>
    </x:row>
    <x:row r="7">
      <x:c r="A7" s="55"/>
      <x:c r="B7" s="56"/>
      <x:c r="C7" s="56"/>
      <x:c r="D7" s="56"/>
      <x:c r="E7" s="56"/>
      <x:c r="F7" s="56"/>
      <x:c r="G7" s="56"/>
      <x:c r="H7" s="57"/>
    </x:row>
    <x:row r="8">
      <x:c r="A8" s="61" t="str">
        <x:v>Fixed parameter</x:v>
      </x:c>
      <x:c r="B8" s="62" t="str">
        <x:v>Value</x:v>
      </x:c>
      <x:c r="C8" s="62" t="str">
        <x:v>Unit</x:v>
      </x:c>
      <x:c r="D8" s="62" t="str">
        <x:v>Status</x:v>
      </x:c>
      <x:c r="E8" s="56"/>
      <x:c r="F8" s="62" t="str">
        <x:v>Operating case</x:v>
      </x:c>
      <x:c r="G8" s="62" t="str">
        <x:v>Flow per train (kg/s)</x:v>
      </x:c>
      <x:c r="H8" s="63" t="str">
        <x:v>Temperature (deg C)</x:v>
      </x:c>
    </x:row>
    <x:row r="9">
      <x:c r="A9" s="55" t="str">
        <x:v>Membrane area per active train</x:v>
      </x:c>
      <x:c r="B9" s="56" t="n">
        <x:v>380</x:v>
      </x:c>
      <x:c r="C9" s="56" t="str">
        <x:v>m^2</x:v>
      </x:c>
      <x:c r="D9" s="56" t="str">
        <x:v>Fixed / locked</x:v>
      </x:c>
      <x:c r="E9" s="56"/>
      <x:c r="F9" s="56" t="str">
        <x:v>A Three Trains - Normal</x:v>
      </x:c>
      <x:c r="G9" s="56" t="n">
        <x:v>3.2</x:v>
      </x:c>
      <x:c r="H9" s="57" t="n">
        <x:v>28</x:v>
      </x:c>
    </x:row>
    <x:row r="10">
      <x:c r="A10" s="55" t="str">
        <x:v>A_comp</x:v>
      </x:c>
      <x:c r="B10" s="56" t="n">
        <x:v>4.1e-12</x:v>
      </x:c>
      <x:c r="C10" s="56" t="str">
        <x:v>m/s/Pa</x:v>
      </x:c>
      <x:c r="D10" s="56" t="str">
        <x:v>Fixed / locked</x:v>
      </x:c>
      <x:c r="E10" s="56"/>
      <x:c r="F10" s="56" t="str">
        <x:v>B Two Trains - N-1</x:v>
      </x:c>
      <x:c r="G10" s="56" t="n">
        <x:v>4.8</x:v>
      </x:c>
      <x:c r="H10" s="57" t="n">
        <x:v>28</x:v>
      </x:c>
    </x:row>
    <x:row r="11">
      <x:c r="A11" s="55" t="str">
        <x:v>B_comp</x:v>
      </x:c>
      <x:c r="B11" s="56" t="n">
        <x:v>3.3e-8</x:v>
      </x:c>
      <x:c r="C11" s="56" t="str">
        <x:v>m/s</x:v>
      </x:c>
      <x:c r="D11" s="56" t="str">
        <x:v>Fixed / locked</x:v>
      </x:c>
      <x:c r="E11" s="56"/>
      <x:c r="F11" s="56" t="str">
        <x:v>C Peak N-1</x:v>
      </x:c>
      <x:c r="G11" s="56" t="n">
        <x:v>5.2</x:v>
      </x:c>
      <x:c r="H11" s="57" t="n">
        <x:v>28</x:v>
      </x:c>
    </x:row>
    <x:row r="12">
      <x:c r="A12" s="55" t="str">
        <x:v>Feed NaCl</x:v>
      </x:c>
      <x:c r="B12" s="56" t="n">
        <x:v>0.037</x:v>
      </x:c>
      <x:c r="C12" s="56" t="str">
        <x:v>mass fraction</x:v>
      </x:c>
      <x:c r="D12" s="56" t="str">
        <x:v>Fixed / locked</x:v>
      </x:c>
      <x:c r="E12" s="56"/>
      <x:c r="F12" s="56"/>
      <x:c r="G12" s="56"/>
      <x:c r="H12" s="57"/>
    </x:row>
    <x:row r="13">
      <x:c r="A13" s="55" t="str">
        <x:v>Temperature</x:v>
      </x:c>
      <x:c r="B13" s="56" t="n">
        <x:v>28</x:v>
      </x:c>
      <x:c r="C13" s="56" t="str">
        <x:v>deg C</x:v>
      </x:c>
      <x:c r="D13" s="56" t="str">
        <x:v>Fixed / locked</x:v>
      </x:c>
      <x:c r="E13" s="56"/>
      <x:c r="F13" s="64" t="str">
        <x:v>Acceptance constraints</x:v>
      </x:c>
      <x:c r="G13" s="64"/>
      <x:c r="H13" s="65"/>
    </x:row>
    <x:row r="14">
      <x:c r="A14" s="55" t="str">
        <x:v>Permeate pressure</x:v>
      </x:c>
      <x:c r="B14" s="56" t="n">
        <x:v>1.013</x:v>
      </x:c>
      <x:c r="C14" s="56" t="str">
        <x:v>bar</x:v>
      </x:c>
      <x:c r="D14" s="56" t="str">
        <x:v>Fixed / locked</x:v>
      </x:c>
      <x:c r="E14" s="56"/>
      <x:c r="F14" s="56" t="str">
        <x:v>Permeate production, Qp</x:v>
      </x:c>
      <x:c r="G14" s="56" t="str">
        <x:v>A &gt;= 5.50; B &gt;= 7.90; C &gt;= 9.37 m^3/h</x:v>
      </x:c>
      <x:c r="H14" s="57" t="str">
        <x:v>Each condition</x:v>
      </x:c>
    </x:row>
    <x:row r="15">
      <x:c r="A15" s="55" t="str">
        <x:v>Pressure drop</x:v>
      </x:c>
      <x:c r="B15" s="56" t="n">
        <x:v>1.2</x:v>
      </x:c>
      <x:c r="C15" s="56" t="str">
        <x:v>bar</x:v>
      </x:c>
      <x:c r="D15" s="56" t="str">
        <x:v>Fixed / locked</x:v>
      </x:c>
      <x:c r="E15" s="56"/>
      <x:c r="F15" s="56" t="str">
        <x:v>Water recovery</x:v>
      </x:c>
      <x:c r="G15" s="56" t="str">
        <x:v>&lt;= 55.0%</x:v>
      </x:c>
      <x:c r="H15" s="57" t="str">
        <x:v>Each condition</x:v>
      </x:c>
    </x:row>
    <x:row r="16">
      <x:c r="A16" s="55" t="str">
        <x:v>Channel height</x:v>
      </x:c>
      <x:c r="B16" s="56" t="n">
        <x:v>0.002</x:v>
      </x:c>
      <x:c r="C16" s="56" t="str">
        <x:v>m</x:v>
      </x:c>
      <x:c r="D16" s="56" t="str">
        <x:v>Fixed / locked</x:v>
      </x:c>
      <x:c r="E16" s="56"/>
      <x:c r="F16" s="56" t="str">
        <x:v>Average water flux</x:v>
      </x:c>
      <x:c r="G16" s="56" t="str">
        <x:v>&lt;= 22.0 LMH</x:v>
      </x:c>
      <x:c r="H16" s="57" t="str">
        <x:v>Each condition</x:v>
      </x:c>
    </x:row>
    <x:row r="17">
      <x:c r="A17" s="55" t="str">
        <x:v>Spacer porosity</x:v>
      </x:c>
      <x:c r="B17" s="56" t="n">
        <x:v>0.75</x:v>
      </x:c>
      <x:c r="C17" s="56" t="str">
        <x:v>-</x:v>
      </x:c>
      <x:c r="D17" s="56" t="str">
        <x:v>Fixed / locked</x:v>
      </x:c>
      <x:c r="E17" s="56"/>
      <x:c r="F17" s="56" t="str">
        <x:v>Salt rejection</x:v>
      </x:c>
      <x:c r="G17" s="56" t="str">
        <x:v>&gt;= 98.70%</x:v>
      </x:c>
      <x:c r="H17" s="57" t="str">
        <x:v>Each condition</x:v>
      </x:c>
    </x:row>
    <x:row r="18">
      <x:c r="A18" s="55"/>
      <x:c r="B18" s="56"/>
      <x:c r="C18" s="56"/>
      <x:c r="D18" s="56"/>
      <x:c r="E18" s="56"/>
      <x:c r="F18" s="56" t="str">
        <x:v>Permeate NaCl</x:v>
      </x:c>
      <x:c r="G18" s="56" t="str">
        <x:v>&lt;= 500 mg/L</x:v>
      </x:c>
      <x:c r="H18" s="57" t="str">
        <x:v>Each condition</x:v>
      </x:c>
    </x:row>
    <x:row r="19">
      <x:c r="A19" s="55"/>
      <x:c r="B19" s="56"/>
      <x:c r="C19" s="56"/>
      <x:c r="D19" s="56"/>
      <x:c r="E19" s="56"/>
      <x:c r="F19" s="56"/>
      <x:c r="G19" s="56"/>
      <x:c r="H19" s="57"/>
    </x:row>
    <x:row r="20">
      <x:c r="A20" s="66" t="str">
        <x:v>Required work</x:v>
      </x:c>
      <x:c r="B20" s="64"/>
      <x:c r="C20" s="64"/>
      <x:c r="D20" s="64"/>
      <x:c r="E20" s="64"/>
      <x:c r="F20" s="64"/>
      <x:c r="G20" s="64"/>
      <x:c r="H20" s="65"/>
    </x:row>
    <x:row r="21" ht="38" customHeight="1">
      <x:c r="A21" s="55" t="str">
        <x:v>1. Treat this as a multi-condition pressure-sizing and feasibility problem. Do not change locked membrane or hydraulic parameters while searching pressure.</x:v>
      </x:c>
      <x:c r="B21" s="56"/>
      <x:c r="C21" s="56"/>
      <x:c r="D21" s="56"/>
      <x:c r="E21" s="56"/>
      <x:c r="F21" s="56"/>
      <x:c r="G21" s="56"/>
      <x:c r="H21" s="57"/>
    </x:row>
    <x:row r="22" ht="38" customHeight="1">
      <x:c r="A22" s="55" t="str">
        <x:v>2. For each condition, begin from a reasonable pressure and use Qp, recovery, flux, rejection, and permeate NaCl to identify the active failing constraint.</x:v>
      </x:c>
      <x:c r="B22" s="56"/>
      <x:c r="C22" s="56"/>
      <x:c r="D22" s="56"/>
      <x:c r="E22" s="56"/>
      <x:c r="F22" s="56"/>
      <x:c r="G22" s="56"/>
      <x:c r="H22" s="57"/>
    </x:row>
    <x:row r="23" ht="38" customHeight="1">
      <x:c r="A23" s="55" t="str">
        <x:v>3. Establish an independent fail/pass bracket for every condition and refine adaptively to 0.05 bar. Do not use a mechanical dense grid scan.</x:v>
      </x:c>
      <x:c r="B23" s="56"/>
      <x:c r="C23" s="56"/>
      <x:c r="D23" s="56"/>
      <x:c r="E23" s="56"/>
      <x:c r="F23" s="56"/>
      <x:c r="G23" s="56"/>
      <x:c r="H23" s="57"/>
    </x:row>
    <x:row r="24" ht="38" customHeight="1">
      <x:c r="A24" s="55" t="str">
        <x:v>4. Compare all Pmin values or infeasibility evidence with the stated equipment margin, limits, or control window, then make the engineering decision.</x:v>
      </x:c>
      <x:c r="B24" s="56"/>
      <x:c r="C24" s="56"/>
      <x:c r="D24" s="56"/>
      <x:c r="E24" s="56"/>
      <x:c r="F24" s="56"/>
      <x:c r="G24" s="56"/>
      <x:c r="H24" s="57"/>
    </x:row>
    <x:row r="25" ht="38" customHeight="1">
      <x:c r="A25" s="55" t="str">
        <x:v>5. Distinguish equipment rating/limits from operating setpoints. Do not hide a membrane-flux or water-quality violation by blindly increasing pressure.</x:v>
      </x:c>
      <x:c r="B25" s="56"/>
      <x:c r="C25" s="56"/>
      <x:c r="D25" s="56"/>
      <x:c r="E25" s="56"/>
      <x:c r="F25" s="56"/>
      <x:c r="G25" s="56"/>
      <x:c r="H25" s="57"/>
    </x:row>
    <x:row r="26">
      <x:c r="A26" s="55"/>
      <x:c r="B26" s="56"/>
      <x:c r="C26" s="56"/>
      <x:c r="D26" s="56"/>
      <x:c r="E26" s="56"/>
      <x:c r="F26" s="56"/>
      <x:c r="G26" s="56"/>
      <x:c r="H26" s="57"/>
    </x:row>
    <x:row r="27" ht="32" customHeight="1">
      <x:c r="A27" s="67" t="str">
        <x:v>Required pressure resolution: 0.05 bar. Any design margin, pump limit, VFD lower limit, maintenance reserve, or equipment selection increment in this benchmark is a stated rule used to produce a unique, auditable answer.</x:v>
      </x:c>
      <x:c r="B27" s="68"/>
      <x:c r="C27" s="68"/>
      <x:c r="D27" s="68"/>
      <x:c r="E27" s="68"/>
      <x:c r="F27" s="68"/>
      <x:c r="G27" s="68"/>
      <x:c r="H27" s="69"/>
    </x:row>
    <x:row r="28" ht="32" customHeight="1">
      <x:c r="A28" s="70"/>
      <x:c r="B28" s="71"/>
      <x:c r="C28" s="71"/>
      <x:c r="D28" s="71"/>
      <x:c r="E28" s="71"/>
      <x:c r="F28" s="71"/>
      <x:c r="G28" s="71"/>
      <x:c r="H28" s="72"/>
    </x:row>
  </x:sheetData>
  <x:mergeCells>
    <x:mergeCell ref="A1:H2"/>
    <x:mergeCell ref="A4:H6"/>
    <x:mergeCell ref="F13:H13"/>
    <x:mergeCell ref="A20:H20"/>
    <x:mergeCell ref="A21:H21"/>
    <x:mergeCell ref="A22:H22"/>
    <x:mergeCell ref="A23:H23"/>
    <x:mergeCell ref="A24:H24"/>
    <x:mergeCell ref="A25:H25"/>
    <x:mergeCell ref="A27:H2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25" hidden="0" customWidth="1"/>
    <x:col min="9" max="9" width="22" hidden="0" customWidth="1"/>
    <x:col min="10" max="10" width="18" hidden="0" customWidth="1"/>
    <x:col min="11" max="11" width="18" hidden="0" customWidth="1"/>
    <x:col min="12" max="12" width="14" hidden="0" customWidth="1"/>
    <x:col min="13" max="13" width="14" hidden="0" customWidth="1"/>
    <x:col min="14" max="14" width="25" hidden="0" customWidth="1"/>
  </x:cols>
  <x:sheetData>
    <x:row r="1">
      <x:c r="A1" s="73" t="str">
        <x:v>D1-1c | N-Minus-One Train Emergency Pressure Check | Stepwise Answer</x:v>
      </x:c>
      <x:c r="B1" s="50"/>
      <x:c r="C1" s="50"/>
      <x:c r="D1" s="50"/>
      <x:c r="E1" s="50"/>
      <x:c r="F1" s="50"/>
      <x:c r="G1" s="50"/>
      <x:c r="H1" s="50"/>
      <x:c r="I1" s="50"/>
      <x:c r="J1" s="50"/>
      <x:c r="K1" s="50"/>
      <x:c r="L1" s="50"/>
      <x:c r="M1" s="50"/>
      <x:c r="N1" s="51"/>
    </x:row>
    <x:row r="2">
      <x:c r="A2" s="74"/>
      <x:c r="B2" s="53"/>
      <x:c r="C2" s="53"/>
      <x:c r="D2" s="53"/>
      <x:c r="E2" s="53"/>
      <x:c r="F2" s="53"/>
      <x:c r="G2" s="53"/>
      <x:c r="H2" s="53"/>
      <x:c r="I2" s="53"/>
      <x:c r="J2" s="53"/>
      <x:c r="K2" s="53"/>
      <x:c r="L2" s="53"/>
      <x:c r="M2" s="53"/>
      <x:c r="N2" s="54"/>
    </x:row>
    <x:row r="3">
      <x:c r="A3" s="55"/>
      <x:c r="B3" s="56"/>
      <x:c r="C3" s="56"/>
      <x:c r="D3" s="56"/>
      <x:c r="E3" s="56"/>
      <x:c r="F3" s="56"/>
      <x:c r="G3" s="56"/>
      <x:c r="H3" s="56"/>
      <x:c r="I3" s="56"/>
      <x:c r="J3" s="56"/>
      <x:c r="K3" s="56"/>
      <x:c r="L3" s="56"/>
      <x:c r="M3" s="56"/>
      <x:c r="N3" s="57"/>
    </x:row>
    <x:row r="4" ht="32" customHeight="1">
      <x:c r="A4" s="99" t="str">
        <x:v>Reference efficient trajectory: about 10-12 calls to simulate_ro. Coarsely bracket each condition, refine only the live interval to 0.05 bar, preserve adjacent fail/pass evidence, and then complete the equipment-versus-operation decision.</x:v>
      </x:c>
      <x:c r="B4" s="100"/>
      <x:c r="C4" s="100"/>
      <x:c r="D4" s="100"/>
      <x:c r="E4" s="100"/>
      <x:c r="F4" s="100"/>
      <x:c r="G4" s="100"/>
      <x:c r="H4" s="100"/>
      <x:c r="I4" s="100"/>
      <x:c r="J4" s="100"/>
      <x:c r="K4" s="100"/>
      <x:c r="L4" s="100"/>
      <x:c r="M4" s="100"/>
      <x:c r="N4" s="101"/>
    </x:row>
    <x:row r="5" ht="32" customHeight="1">
      <x:c r="A5" s="99"/>
      <x:c r="B5" s="100"/>
      <x:c r="C5" s="100"/>
      <x:c r="D5" s="100"/>
      <x:c r="E5" s="100"/>
      <x:c r="F5" s="100"/>
      <x:c r="G5" s="100"/>
      <x:c r="H5" s="100"/>
      <x:c r="I5" s="100"/>
      <x:c r="J5" s="100"/>
      <x:c r="K5" s="100"/>
      <x:c r="L5" s="100"/>
      <x:c r="M5" s="100"/>
      <x:c r="N5" s="101"/>
    </x:row>
    <x:row r="6">
      <x:c r="A6" s="55"/>
      <x:c r="B6" s="56"/>
      <x:c r="C6" s="56"/>
      <x:c r="D6" s="56"/>
      <x:c r="E6" s="56"/>
      <x:c r="F6" s="56"/>
      <x:c r="G6" s="56"/>
      <x:c r="H6" s="56"/>
      <x:c r="I6" s="56"/>
      <x:c r="J6" s="56"/>
      <x:c r="K6" s="56"/>
      <x:c r="L6" s="56"/>
      <x:c r="M6" s="56"/>
      <x:c r="N6" s="57"/>
    </x:row>
    <x:row r="7">
      <x:c r="A7" s="61" t="str">
        <x:v>Condition</x:v>
      </x:c>
      <x:c r="B7" s="62" t="str">
        <x:v>Pressure (bar)</x:v>
      </x:c>
      <x:c r="C7" s="62" t="str">
        <x:v>NaCl fraction</x:v>
      </x:c>
      <x:c r="D7" s="62" t="str">
        <x:v>T (deg C)</x:v>
      </x:c>
      <x:c r="E7" s="62" t="str">
        <x:v>Qp (m^3/h)</x:v>
      </x:c>
      <x:c r="F7" s="62" t="str">
        <x:v>Flux (LMH)</x:v>
      </x:c>
      <x:c r="G7" s="62" t="str">
        <x:v>Recovery (%)</x:v>
      </x:c>
      <x:c r="H7" s="62" t="str">
        <x:v>Rejection (%)</x:v>
      </x:c>
      <x:c r="I7" s="62" t="str">
        <x:v>NaCl (mg/L)</x:v>
      </x:c>
      <x:c r="J7" s="62" t="str">
        <x:v>Production</x:v>
      </x:c>
      <x:c r="K7" s="62" t="str">
        <x:v>Recovery / Flux</x:v>
      </x:c>
      <x:c r="L7" s="62" t="str">
        <x:v>Water quality</x:v>
      </x:c>
      <x:c r="M7" s="62" t="str">
        <x:v>Overall</x:v>
      </x:c>
      <x:c r="N7" s="63" t="str">
        <x:v>Boundary interpretation</x:v>
      </x:c>
    </x:row>
    <x:row r="8" ht="29" customHeight="1">
      <x:c r="A8" s="55" t="str">
        <x:v>A Three Trains - Normal</x:v>
      </x:c>
      <x:c r="B8" s="102" t="n">
        <x:v>59.65</x:v>
      </x:c>
      <x:c r="C8" s="103" t="n">
        <x:v>0.037</x:v>
      </x:c>
      <x:c r="D8" s="104" t="n">
        <x:v>28</x:v>
      </x:c>
      <x:c r="E8" s="105" t="n">
        <x:v>5.4994</x:v>
      </x:c>
      <x:c r="F8" s="105" t="n">
        <x:v>14.4651</x:v>
      </x:c>
      <x:c r="G8" s="105" t="n">
        <x:v>49.0617</x:v>
      </x:c>
      <x:c r="H8" s="105" t="n">
        <x:v>98.744</x:v>
      </x:c>
      <x:c r="I8" s="105" t="n">
        <x:v>477.63</x:v>
      </x:c>
      <x:c r="J8" s="106" t="str">
        <x:v>Fail</x:v>
      </x:c>
      <x:c r="K8" s="107" t="str">
        <x:v>Pass</x:v>
      </x:c>
      <x:c r="L8" s="107" t="str">
        <x:v>Pass</x:v>
      </x:c>
      <x:c r="M8" s="106" t="str">
        <x:v>Fail</x:v>
      </x:c>
      <x:c r="N8" s="57" t="str">
        <x:v>Last failed point</x:v>
      </x:c>
    </x:row>
    <x:row r="9" ht="29" customHeight="1">
      <x:c r="A9" s="55" t="str">
        <x:v>A Three Trains - Normal</x:v>
      </x:c>
      <x:c r="B9" s="102" t="n">
        <x:v>59.7</x:v>
      </x:c>
      <x:c r="C9" s="103" t="n">
        <x:v>0.037</x:v>
      </x:c>
      <x:c r="D9" s="104" t="n">
        <x:v>28</x:v>
      </x:c>
      <x:c r="E9" s="105" t="n">
        <x:v>5.5071</x:v>
      </x:c>
      <x:c r="F9" s="105" t="n">
        <x:v>14.4856</x:v>
      </x:c>
      <x:c r="G9" s="105" t="n">
        <x:v>49.1312</x:v>
      </x:c>
      <x:c r="H9" s="105" t="n">
        <x:v>98.7449</x:v>
      </x:c>
      <x:c r="I9" s="105" t="n">
        <x:v>477.27</x:v>
      </x:c>
      <x:c r="J9" s="107" t="str">
        <x:v>Pass</x:v>
      </x:c>
      <x:c r="K9" s="107" t="str">
        <x:v>Pass</x:v>
      </x:c>
      <x:c r="L9" s="107" t="str">
        <x:v>Pass</x:v>
      </x:c>
      <x:c r="M9" s="107" t="str">
        <x:v>Pass</x:v>
      </x:c>
      <x:c r="N9" s="57" t="str">
        <x:v>First passing point</x:v>
      </x:c>
    </x:row>
    <x:row r="10" ht="29" customHeight="1">
      <x:c r="A10" s="55" t="str">
        <x:v>B Two Trains - N-1</x:v>
      </x:c>
      <x:c r="B10" s="102" t="n">
        <x:v>66.85</x:v>
      </x:c>
      <x:c r="C10" s="103" t="n">
        <x:v>0.037</x:v>
      </x:c>
      <x:c r="D10" s="104" t="n">
        <x:v>28</x:v>
      </x:c>
      <x:c r="E10" s="105" t="n">
        <x:v>7.8926</x:v>
      </x:c>
      <x:c r="F10" s="105" t="n">
        <x:v>20.7628</x:v>
      </x:c>
      <x:c r="G10" s="105" t="n">
        <x:v>46.9464</x:v>
      </x:c>
      <x:c r="H10" s="105" t="n">
        <x:v>99.0703</x:v>
      </x:c>
      <x:c r="I10" s="105" t="n">
        <x:v>353.57</x:v>
      </x:c>
      <x:c r="J10" s="106" t="str">
        <x:v>Fail</x:v>
      </x:c>
      <x:c r="K10" s="107" t="str">
        <x:v>Pass</x:v>
      </x:c>
      <x:c r="L10" s="107" t="str">
        <x:v>Pass</x:v>
      </x:c>
      <x:c r="M10" s="106" t="str">
        <x:v>Fail</x:v>
      </x:c>
      <x:c r="N10" s="57" t="str">
        <x:v>Last failed point</x:v>
      </x:c>
    </x:row>
    <x:row r="11" ht="29" customHeight="1">
      <x:c r="A11" s="55" t="str">
        <x:v>B Two Trains - N-1</x:v>
      </x:c>
      <x:c r="B11" s="102" t="n">
        <x:v>66.9</x:v>
      </x:c>
      <x:c r="C11" s="103" t="n">
        <x:v>0.037</x:v>
      </x:c>
      <x:c r="D11" s="104" t="n">
        <x:v>28</x:v>
      </x:c>
      <x:c r="E11" s="105" t="n">
        <x:v>7.9007</x:v>
      </x:c>
      <x:c r="F11" s="105" t="n">
        <x:v>20.7839</x:v>
      </x:c>
      <x:c r="G11" s="105" t="n">
        <x:v>46.9941</x:v>
      </x:c>
      <x:c r="H11" s="105" t="n">
        <x:v>99.0706</x:v>
      </x:c>
      <x:c r="I11" s="105" t="n">
        <x:v>353.44</x:v>
      </x:c>
      <x:c r="J11" s="107" t="str">
        <x:v>Pass</x:v>
      </x:c>
      <x:c r="K11" s="107" t="str">
        <x:v>Pass</x:v>
      </x:c>
      <x:c r="L11" s="107" t="str">
        <x:v>Pass</x:v>
      </x:c>
      <x:c r="M11" s="107" t="str">
        <x:v>Pass</x:v>
      </x:c>
      <x:c r="N11" s="57" t="str">
        <x:v>First passing point</x:v>
      </x:c>
    </x:row>
    <x:row r="12" ht="29" customHeight="1">
      <x:c r="A12" s="55" t="str">
        <x:v>C Peak N-1</x:v>
      </x:c>
      <x:c r="B12" s="102" t="n">
        <x:v>73.9</x:v>
      </x:c>
      <x:c r="C12" s="103" t="n">
        <x:v>0.037</x:v>
      </x:c>
      <x:c r="D12" s="104" t="n">
        <x:v>28</x:v>
      </x:c>
      <x:c r="E12" s="105" t="n">
        <x:v>9.3666</x:v>
      </x:c>
      <x:c r="F12" s="105" t="n">
        <x:v>24.641</x:v>
      </x:c>
      <x:c r="G12" s="105" t="n">
        <x:v>51.4293</x:v>
      </x:c>
      <x:c r="H12" s="105" t="n">
        <x:v>99.1541</x:v>
      </x:c>
      <x:c r="I12" s="105" t="n">
        <x:v>321.71</x:v>
      </x:c>
      <x:c r="J12" s="106" t="str">
        <x:v>Fail</x:v>
      </x:c>
      <x:c r="K12" s="107" t="str">
        <x:v>Pass</x:v>
      </x:c>
      <x:c r="L12" s="106" t="str">
        <x:v>Fail</x:v>
      </x:c>
      <x:c r="M12" s="106" t="str">
        <x:v>Fail</x:v>
      </x:c>
      <x:c r="N12" s="57" t="str">
        <x:v>Production fails; flux also fails</x:v>
      </x:c>
    </x:row>
    <x:row r="13" ht="29" customHeight="1">
      <x:c r="A13" s="55" t="str">
        <x:v>C Peak N-1</x:v>
      </x:c>
      <x:c r="B13" s="102" t="n">
        <x:v>73.95</x:v>
      </x:c>
      <x:c r="C13" s="103" t="n">
        <x:v>0.037</x:v>
      </x:c>
      <x:c r="D13" s="104" t="n">
        <x:v>28</x:v>
      </x:c>
      <x:c r="E13" s="105" t="n">
        <x:v>9.3741</x:v>
      </x:c>
      <x:c r="F13" s="105" t="n">
        <x:v>24.6609</x:v>
      </x:c>
      <x:c r="G13" s="105" t="n">
        <x:v>51.4707</x:v>
      </x:c>
      <x:c r="H13" s="105" t="n">
        <x:v>99.1542</x:v>
      </x:c>
      <x:c r="I13" s="105" t="n">
        <x:v>321.65</x:v>
      </x:c>
      <x:c r="J13" s="107" t="str">
        <x:v>Pass</x:v>
      </x:c>
      <x:c r="K13" s="107" t="str">
        <x:v>Pass</x:v>
      </x:c>
      <x:c r="L13" s="106" t="str">
        <x:v>Fail</x:v>
      </x:c>
      <x:c r="M13" s="106" t="str">
        <x:v>Fail</x:v>
      </x:c>
      <x:c r="N13" s="57" t="str">
        <x:v>Production passes; flux still fails</x:v>
      </x:c>
    </x:row>
    <x:row r="14">
      <x:c r="A14" s="55"/>
      <x:c r="B14" s="56"/>
      <x:c r="C14" s="56"/>
      <x:c r="D14" s="56"/>
      <x:c r="E14" s="56"/>
      <x:c r="F14" s="56"/>
      <x:c r="G14" s="56"/>
      <x:c r="H14" s="56"/>
      <x:c r="I14" s="56"/>
      <x:c r="J14" s="56"/>
      <x:c r="K14" s="56"/>
      <x:c r="L14" s="56"/>
      <x:c r="M14" s="56"/>
      <x:c r="N14" s="57"/>
    </x:row>
    <x:row r="15">
      <x:c r="A15" s="55"/>
      <x:c r="B15" s="56"/>
      <x:c r="C15" s="56"/>
      <x:c r="D15" s="56"/>
      <x:c r="E15" s="56"/>
      <x:c r="F15" s="56"/>
      <x:c r="G15" s="56"/>
      <x:c r="H15" s="56"/>
      <x:c r="I15" s="56"/>
      <x:c r="J15" s="56"/>
      <x:c r="K15" s="56"/>
      <x:c r="L15" s="56"/>
      <x:c r="M15" s="56"/>
      <x:c r="N15" s="57"/>
    </x:row>
    <x:row r="16">
      <x:c r="A16" s="55"/>
      <x:c r="B16" s="56"/>
      <x:c r="C16" s="56"/>
      <x:c r="D16" s="56"/>
      <x:c r="E16" s="56"/>
      <x:c r="F16" s="56"/>
      <x:c r="G16" s="56"/>
      <x:c r="H16" s="56"/>
      <x:c r="I16" s="56"/>
      <x:c r="J16" s="56"/>
      <x:c r="K16" s="56"/>
      <x:c r="L16" s="56"/>
      <x:c r="M16" s="56"/>
      <x:c r="N16" s="57"/>
    </x:row>
    <x:row r="17">
      <x:c r="A17" s="55"/>
      <x:c r="B17" s="56"/>
      <x:c r="C17" s="56"/>
      <x:c r="D17" s="56"/>
      <x:c r="E17" s="56"/>
      <x:c r="F17" s="56"/>
      <x:c r="G17" s="56"/>
      <x:c r="H17" s="56"/>
      <x:c r="I17" s="56"/>
      <x:c r="J17" s="56"/>
      <x:c r="K17" s="56"/>
      <x:c r="L17" s="56"/>
      <x:c r="M17" s="56"/>
      <x:c r="N17" s="57"/>
    </x:row>
    <x:row r="18">
      <x:c r="A18" s="55"/>
      <x:c r="B18" s="56"/>
      <x:c r="C18" s="56"/>
      <x:c r="D18" s="56"/>
      <x:c r="E18" s="56"/>
      <x:c r="F18" s="56"/>
      <x:c r="G18" s="56"/>
      <x:c r="H18" s="56"/>
      <x:c r="I18" s="56"/>
      <x:c r="J18" s="56"/>
      <x:c r="K18" s="56"/>
      <x:c r="L18" s="56"/>
      <x:c r="M18" s="56"/>
      <x:c r="N18" s="57"/>
    </x:row>
    <x:row r="19">
      <x:c r="A19" s="55"/>
      <x:c r="B19" s="56"/>
      <x:c r="C19" s="56"/>
      <x:c r="D19" s="56"/>
      <x:c r="E19" s="56"/>
      <x:c r="F19" s="56"/>
      <x:c r="G19" s="56"/>
      <x:c r="H19" s="56"/>
      <x:c r="I19" s="56"/>
      <x:c r="J19" s="56"/>
      <x:c r="K19" s="56"/>
      <x:c r="L19" s="56"/>
      <x:c r="M19" s="56"/>
      <x:c r="N19" s="57"/>
    </x:row>
    <x:row r="20">
      <x:c r="A20" s="66" t="str">
        <x:v>Pressure boundaries and engineering decision</x:v>
      </x:c>
      <x:c r="B20" s="64"/>
      <x:c r="C20" s="64"/>
      <x:c r="D20" s="64"/>
      <x:c r="E20" s="64"/>
      <x:c r="F20" s="64"/>
      <x:c r="G20" s="56"/>
      <x:c r="H20" s="64" t="str">
        <x:v>Calculation audit</x:v>
      </x:c>
      <x:c r="I20" s="64"/>
      <x:c r="J20" s="64"/>
      <x:c r="K20" s="64"/>
      <x:c r="L20" s="56"/>
      <x:c r="M20" s="56"/>
      <x:c r="N20" s="57"/>
    </x:row>
    <x:row r="21">
      <x:c r="A21" s="61" t="str">
        <x:v>Item</x:v>
      </x:c>
      <x:c r="B21" s="62" t="str">
        <x:v>A Three Trains - Normal</x:v>
      </x:c>
      <x:c r="C21" s="62" t="str">
        <x:v>B Two Trains - N-1</x:v>
      </x:c>
      <x:c r="D21" s="62" t="str">
        <x:v>C Peak N-1</x:v>
      </x:c>
      <x:c r="E21" s="62" t="str">
        <x:v>Comparison / calculation</x:v>
      </x:c>
      <x:c r="F21" s="62" t="str">
        <x:v>Conclusion</x:v>
      </x:c>
      <x:c r="G21" s="56"/>
      <x:c r="H21" s="62" t="str">
        <x:v>Calculated item</x:v>
      </x:c>
      <x:c r="I21" s="62" t="str">
        <x:v>Calculated result</x:v>
      </x:c>
      <x:c r="J21" s="62" t="str">
        <x:v>Unit</x:v>
      </x:c>
      <x:c r="K21" s="62" t="str">
        <x:v>Expected result</x:v>
      </x:c>
      <x:c r="L21" s="56"/>
      <x:c r="M21" s="56"/>
      <x:c r="N21" s="57"/>
    </x:row>
    <x:row r="22" ht="55" customHeight="1">
      <x:c r="A22" s="55" t="str">
        <x:v>Last failed / boundary pressure (bar)</x:v>
      </x:c>
      <x:c r="B22" s="56" t="n">
        <x:v>59.65</x:v>
      </x:c>
      <x:c r="C22" s="56" t="n">
        <x:v>66.85</x:v>
      </x:c>
      <x:c r="D22" s="56" t="n">
        <x:v>73.9</x:v>
      </x:c>
      <x:c r="E22" s="56" t="str">
        <x:v>Adjacent 0.05 bar evidence</x:v>
      </x:c>
      <x:c r="F22" s="56" t="str">
        <x:v>-</x:v>
      </x:c>
      <x:c r="G22" s="56"/>
      <x:c r="H22" s="56" t="str">
        <x:v>Normal pressure reserve</x:v>
      </x:c>
      <x:c r="I22" s="105" t="n">
        <x:f>72-B23</x:f>
        <x:v>12.299999999999997</x:v>
      </x:c>
      <x:c r="J22" s="56" t="str">
        <x:v>bar</x:v>
      </x:c>
      <x:c r="K22" s="105" t="n">
        <x:v>12.3</x:v>
      </x:c>
      <x:c r="L22" s="56"/>
      <x:c r="M22" s="56"/>
      <x:c r="N22" s="57"/>
    </x:row>
    <x:row r="23" ht="55" customHeight="1">
      <x:c r="A23" s="55" t="str">
        <x:v>Minimum feasible pressure, Pmin (bar)</x:v>
      </x:c>
      <x:c r="B23" s="56" t="n">
        <x:v>59.7</x:v>
      </x:c>
      <x:c r="C23" s="56" t="n">
        <x:v>66.9</x:v>
      </x:c>
      <x:c r="D23" s="56" t="str">
        <x:v>No feasible pressure</x:v>
      </x:c>
      <x:c r="E23" s="56" t="str">
        <x:v>At 73.95 bar production passes but flux fails</x:v>
      </x:c>
      <x:c r="F23" s="56" t="str">
        <x:v>Peak N-1 is infeasible</x:v>
      </x:c>
      <x:c r="G23" s="56"/>
      <x:c r="H23" s="56" t="str">
        <x:v>Ordinary N-1 reserve</x:v>
      </x:c>
      <x:c r="I23" s="105" t="n">
        <x:f>72-C23</x:f>
        <x:v>5.099999999999994</x:v>
      </x:c>
      <x:c r="J23" s="56" t="str">
        <x:v>bar</x:v>
      </x:c>
      <x:c r="K23" s="105" t="n">
        <x:v>5.1</x:v>
      </x:c>
      <x:c r="L23" s="56"/>
      <x:c r="M23" s="56"/>
      <x:c r="N23" s="57"/>
    </x:row>
    <x:row r="24" ht="55" customHeight="1">
      <x:c r="A24" s="55" t="str">
        <x:v>Comparison with 72 bar pump</x:v>
      </x:c>
      <x:c r="B24" s="56" t="str">
        <x:v>12.30 bar reserve</x:v>
      </x:c>
      <x:c r="C24" s="56" t="str">
        <x:v>5.10 bar reserve</x:v>
      </x:c>
      <x:c r="D24" s="56" t="str">
        <x:v>Requires &gt;73.90 bar and violates flux</x:v>
      </x:c>
      <x:c r="E24" s="56" t="str">
        <x:v>Pump pressure and membrane flux both fail</x:v>
      </x:c>
      <x:c r="F24" s="56" t="str">
        <x:v>Pressure increase alone cannot solve it</x:v>
      </x:c>
      <x:c r="G24" s="56"/>
      <x:c r="H24" s="56" t="str">
        <x:v>Peak N-1 production excess</x:v>
      </x:c>
      <x:c r="I24" s="105" t="n">
        <x:f>73.95-72</x:f>
        <x:v>1.9500000000000028</x:v>
      </x:c>
      <x:c r="J24" s="56" t="str">
        <x:v>bar above limit</x:v>
      </x:c>
      <x:c r="K24" s="105" t="n">
        <x:v>1.95</x:v>
      </x:c>
      <x:c r="L24" s="56"/>
      <x:c r="M24" s="56"/>
      <x:c r="N24" s="57"/>
    </x:row>
    <x:row r="25" ht="55" customHeight="1">
      <x:c r="A25" s="55" t="str">
        <x:v>Engineering decision</x:v>
      </x:c>
      <x:c r="B25" s="56" t="str">
        <x:v>Normal operation permitted</x:v>
      </x:c>
      <x:c r="C25" s="56" t="str">
        <x:v>Ordinary N-1 permitted</x:v>
      </x:c>
      <x:c r="D25" s="56" t="str">
        <x:v>Curtail flow/output or add online membrane area</x:v>
      </x:c>
      <x:c r="E25" s="56" t="str">
        <x:v>72 bar is not a universal emergency setting</x:v>
      </x:c>
      <x:c r="F25" s="56" t="str">
        <x:v>Prepare a load-shedding strategy</x:v>
      </x:c>
      <x:c r="G25" s="56"/>
      <x:c r="H25" s="56" t="str">
        <x:v>Peak N-1 flux excess</x:v>
      </x:c>
      <x:c r="I25" s="105" t="n">
        <x:f>24.6609-22</x:f>
        <x:v>2.6609000000000016</x:v>
      </x:c>
      <x:c r="J25" s="56" t="str">
        <x:v>LMH above limit</x:v>
      </x:c>
      <x:c r="K25" s="105" t="n">
        <x:v>2.6609</x:v>
      </x:c>
      <x:c r="L25" s="56"/>
      <x:c r="M25" s="56"/>
      <x:c r="N25" s="57"/>
    </x:row>
    <x:row r="26">
      <x:c r="A26" s="55"/>
      <x:c r="B26" s="56"/>
      <x:c r="C26" s="56"/>
      <x:c r="D26" s="56"/>
      <x:c r="E26" s="56"/>
      <x:c r="F26" s="56"/>
      <x:c r="G26" s="56"/>
      <x:c r="H26" s="56"/>
      <x:c r="I26" s="56"/>
      <x:c r="J26" s="56"/>
      <x:c r="K26" s="56"/>
      <x:c r="L26" s="56"/>
      <x:c r="M26" s="56"/>
      <x:c r="N26" s="57"/>
    </x:row>
    <x:row r="27">
      <x:c r="A27" s="55"/>
      <x:c r="B27" s="56"/>
      <x:c r="C27" s="56"/>
      <x:c r="D27" s="56"/>
      <x:c r="E27" s="56"/>
      <x:c r="F27" s="56"/>
      <x:c r="G27" s="56"/>
      <x:c r="H27" s="56"/>
      <x:c r="I27" s="56"/>
      <x:c r="J27" s="56"/>
      <x:c r="K27" s="56"/>
      <x:c r="L27" s="56"/>
      <x:c r="M27" s="56"/>
      <x:c r="N27" s="57"/>
    </x:row>
    <x:row r="28" ht="30" customHeight="1">
      <x:c r="A28" s="108" t="str">
        <x:v>Normal operation and ordinary N-1 operation are covered. Peak N-1 reaches the production target only at about 73.95 bar, above the 72 bar pump limit, while flux is about 24.66 LMH, above the 22 LMH membrane limit. Therefore pressure increase alone is infeasible; flow or production must be curtailed, or additional membrane area must remain online.</x:v>
      </x:c>
      <x:c r="B28" s="109"/>
      <x:c r="C28" s="109"/>
      <x:c r="D28" s="109"/>
      <x:c r="E28" s="109"/>
      <x:c r="F28" s="109"/>
      <x:c r="G28" s="109"/>
      <x:c r="H28" s="109"/>
      <x:c r="I28" s="109"/>
      <x:c r="J28" s="109"/>
      <x:c r="K28" s="109"/>
      <x:c r="L28" s="109"/>
      <x:c r="M28" s="109"/>
      <x:c r="N28" s="110"/>
    </x:row>
    <x:row r="29" ht="30" customHeight="1">
      <x:c r="A29" s="108"/>
      <x:c r="B29" s="109"/>
      <x:c r="C29" s="109"/>
      <x:c r="D29" s="109"/>
      <x:c r="E29" s="109"/>
      <x:c r="F29" s="109"/>
      <x:c r="G29" s="109"/>
      <x:c r="H29" s="109"/>
      <x:c r="I29" s="109"/>
      <x:c r="J29" s="109"/>
      <x:c r="K29" s="109"/>
      <x:c r="L29" s="109"/>
      <x:c r="M29" s="109"/>
      <x:c r="N29" s="110"/>
    </x:row>
    <x:row r="30" ht="30" customHeight="1">
      <x:c r="A30" s="108"/>
      <x:c r="B30" s="109"/>
      <x:c r="C30" s="109"/>
      <x:c r="D30" s="109"/>
      <x:c r="E30" s="109"/>
      <x:c r="F30" s="109"/>
      <x:c r="G30" s="109"/>
      <x:c r="H30" s="109"/>
      <x:c r="I30" s="109"/>
      <x:c r="J30" s="109"/>
      <x:c r="K30" s="109"/>
      <x:c r="L30" s="109"/>
      <x:c r="M30" s="109"/>
      <x:c r="N30" s="110"/>
    </x:row>
    <x:row r="31">
      <x:c r="A31" s="55"/>
      <x:c r="B31" s="56"/>
      <x:c r="C31" s="56"/>
      <x:c r="D31" s="56"/>
      <x:c r="E31" s="56"/>
      <x:c r="F31" s="56"/>
      <x:c r="G31" s="56"/>
      <x:c r="H31" s="56"/>
      <x:c r="I31" s="56"/>
      <x:c r="J31" s="56"/>
      <x:c r="K31" s="56"/>
      <x:c r="L31" s="56"/>
      <x:c r="M31" s="56"/>
      <x:c r="N31" s="57"/>
    </x:row>
    <x:row r="32">
      <x:c r="A32" s="111" t="str">
        <x:v>Simulator evidence note: The ordinary N-1 production boundary is bracketed at 66.85/66.90 bar; the peak N-1 pair proves a separate flux infeasibility.</x:v>
      </x:c>
      <x:c r="B32" s="112"/>
      <x:c r="C32" s="112"/>
      <x:c r="D32" s="112"/>
      <x:c r="E32" s="112"/>
      <x:c r="F32" s="112"/>
      <x:c r="G32" s="112"/>
      <x:c r="H32" s="112"/>
      <x:c r="I32" s="112"/>
      <x:c r="J32" s="112"/>
      <x:c r="K32" s="112"/>
      <x:c r="L32" s="112"/>
      <x:c r="M32" s="112"/>
      <x:c r="N32" s="113"/>
    </x:row>
    <x:row r="33">
      <x:c r="A33" s="114"/>
      <x:c r="B33" s="115"/>
      <x:c r="C33" s="115"/>
      <x:c r="D33" s="115"/>
      <x:c r="E33" s="115"/>
      <x:c r="F33" s="115"/>
      <x:c r="G33" s="115"/>
      <x:c r="H33" s="115"/>
      <x:c r="I33" s="115"/>
      <x:c r="J33" s="115"/>
      <x:c r="K33" s="115"/>
      <x:c r="L33" s="115"/>
      <x:c r="M33" s="115"/>
      <x:c r="N33" s="116"/>
    </x:row>
  </x:sheetData>
  <x:mergeCells>
    <x:mergeCell ref="A1:N2"/>
    <x:mergeCell ref="A4:N5"/>
    <x:mergeCell ref="A20:F20"/>
    <x:mergeCell ref="H20:K20"/>
    <x:mergeCell ref="A28:N30"/>
    <x:mergeCell ref="A32:N3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9" hidden="0" customWidth="1"/>
    <x:col min="2" max="2" width="39" hidden="0" customWidth="1"/>
    <x:col min="3" max="3" width="39" hidden="0" customWidth="1"/>
    <x:col min="4" max="4" width="39" hidden="0" customWidth="1"/>
    <x:col min="5" max="5" width="39" hidden="0" customWidth="1"/>
    <x:col min="6" max="6" width="11" hidden="0" customWidth="1"/>
    <x:col min="7" max="7" width="11" hidden="0" customWidth="1"/>
  </x:cols>
  <x:sheetData>
    <x:row r="1">
      <x:c r="A1" s="73" t="str">
        <x:v>D1-1c | N-Minus-One Train Emergency Pressure Check | Trajectory Quality Rubric (100 points)</x:v>
      </x:c>
      <x:c r="B1" s="50"/>
      <x:c r="C1" s="50"/>
      <x:c r="D1" s="50"/>
      <x:c r="E1" s="50"/>
      <x:c r="F1" s="50"/>
      <x:c r="G1" s="51"/>
    </x:row>
    <x:row r="2">
      <x:c r="A2" s="74"/>
      <x:c r="B2" s="53"/>
      <x:c r="C2" s="53"/>
      <x:c r="D2" s="53"/>
      <x:c r="E2" s="53"/>
      <x:c r="F2" s="53"/>
      <x:c r="G2" s="54"/>
    </x:row>
    <x:row r="3">
      <x:c r="A3" s="55"/>
      <x:c r="B3" s="56"/>
      <x:c r="C3" s="56"/>
      <x:c r="D3" s="56"/>
      <x:c r="E3" s="56"/>
      <x:c r="F3" s="56"/>
      <x:c r="G3" s="57"/>
    </x:row>
    <x:row r="4">
      <x:c r="A4" s="67" t="str">
        <x:v>Evaluate the complete state -&gt; plan -&gt; tool call -&gt; observation -&gt; update -&gt; next action -&gt; stop/decision trajectory. Different adaptive search orders are acceptable when they preserve adjacent boundary evidence and lead to a verifiable engineering conclusion. Tool-call efficiency is scored separately.</x:v>
      </x:c>
      <x:c r="B4" s="68"/>
      <x:c r="C4" s="68"/>
      <x:c r="D4" s="68"/>
      <x:c r="E4" s="68"/>
      <x:c r="F4" s="68"/>
      <x:c r="G4" s="69"/>
    </x:row>
    <x:row r="5">
      <x:c r="A5" s="67"/>
      <x:c r="B5" s="68"/>
      <x:c r="C5" s="68"/>
      <x:c r="D5" s="68"/>
      <x:c r="E5" s="68"/>
      <x:c r="F5" s="68"/>
      <x:c r="G5" s="69"/>
    </x:row>
    <x:row r="6">
      <x:c r="A6" s="67"/>
      <x:c r="B6" s="68"/>
      <x:c r="C6" s="68"/>
      <x:c r="D6" s="68"/>
      <x:c r="E6" s="68"/>
      <x:c r="F6" s="68"/>
      <x:c r="G6" s="69"/>
    </x:row>
    <x:row r="7">
      <x:c r="A7" s="55"/>
      <x:c r="B7" s="56"/>
      <x:c r="C7" s="56"/>
      <x:c r="D7" s="56"/>
      <x:c r="E7" s="56"/>
      <x:c r="F7" s="56"/>
      <x:c r="G7" s="57"/>
    </x:row>
    <x:row r="8">
      <x:c r="A8" s="61" t="str">
        <x:v>Trajectory dimension</x:v>
      </x:c>
      <x:c r="B8" s="62" t="str">
        <x:v>Evaluation focus</x:v>
      </x:c>
      <x:c r="C8" s="62" t="str">
        <x:v>Full-credit evidence</x:v>
      </x:c>
      <x:c r="D8" s="62" t="str">
        <x:v>Partial credit</x:v>
      </x:c>
      <x:c r="E8" s="62" t="str">
        <x:v>Critical failure mode</x:v>
      </x:c>
      <x:c r="F8" s="62" t="str">
        <x:v>Weight</x:v>
      </x:c>
      <x:c r="G8" s="63" t="str">
        <x:v>Score</x:v>
      </x:c>
    </x:row>
    <x:row r="9" ht="66" customHeight="1">
      <x:c r="A9" s="55" t="str">
        <x:v>TQ1 Problem framing and state understanding</x:v>
      </x:c>
      <x:c r="B9" s="56" t="str">
        <x:v>Recognizes multi-condition boundaries and equipment meaning</x:v>
      </x:c>
      <x:c r="C9" s="56" t="str">
        <x:v>Locked inputs remain fixed; each condition is solved independently; equipment rating/limit is not treated as one universal setpoint</x:v>
      </x:c>
      <x:c r="D9" s="56" t="str">
        <x:v>Pressure search is recognized but equipment meaning is incomplete</x:v>
      </x:c>
      <x:c r="E9" s="56" t="str">
        <x:v>Only one condition is solved, or rating is confused with operating pressure</x:v>
      </x:c>
      <x:c r="F9" s="56" t="n">
        <x:v>15</x:v>
      </x:c>
      <x:c r="G9" s="57"/>
    </x:row>
    <x:row r="10" ht="66" customHeight="1">
      <x:c r="A10" s="55" t="str">
        <x:v>TQ2 Planning and decomposition</x:v>
      </x:c>
      <x:c r="B10" s="56" t="str">
        <x:v>Builds brackets and a cross-condition decision</x:v>
      </x:c>
      <x:c r="C10" s="56" t="str">
        <x:v>Coarse bracket -&gt; 0.05 bar boundary -&gt; cross-condition comparison -&gt; engineering action</x:v>
      </x:c>
      <x:c r="D10" s="56" t="str">
        <x:v>Direction is correct but an adjacent confirmation is missing</x:v>
      </x:c>
      <x:c r="E10" s="56" t="str">
        <x:v>Dense blind scan or no independent boundaries</x:v>
      </x:c>
      <x:c r="F10" s="56" t="n">
        <x:v>15</x:v>
      </x:c>
      <x:c r="G10" s="57"/>
    </x:row>
    <x:row r="11" ht="66" customHeight="1">
      <x:c r="A11" s="55" t="str">
        <x:v>TQ3 Tool-call correctness</x:v>
      </x:c>
      <x:c r="B11" s="56" t="str">
        <x:v>simulate_ro inputs match the active condition</x:v>
      </x:c>
      <x:c r="C11" s="56" t="str">
        <x:v>Only pressure changes within a condition; all stated condition differences and units are preserved</x:v>
      </x:c>
      <x:c r="D11" s="56" t="str">
        <x:v>Minor input issue that does not change the conclusion</x:v>
      </x:c>
      <x:c r="E11" s="56" t="str">
        <x:v>Membrane area/A/B is altered or units are mixed</x:v>
      </x:c>
      <x:c r="F11" s="56" t="n">
        <x:v>20</x:v>
      </x:c>
      <x:c r="G11" s="57"/>
    </x:row>
    <x:row r="12" ht="66" customHeight="1">
      <x:c r="A12" s="55" t="str">
        <x:v>TQ4 Observation interpretation</x:v>
      </x:c>
      <x:c r="B12" s="56" t="str">
        <x:v>Records pass/fail and the actual failing constraint</x:v>
      </x:c>
      <x:c r="C12" s="56" t="str">
        <x:v>Adjacent evidence plus production, flux/recovery, and water-quality status are all interpreted correctly</x:v>
      </x:c>
      <x:c r="D12" s="56" t="str">
        <x:v>Pmin is close but the active constraint is unclear</x:v>
      </x:c>
      <x:c r="E12" s="56" t="str">
        <x:v>Only passing points are kept or constraints are misclassified</x:v>
      </x:c>
      <x:c r="F12" s="56" t="n">
        <x:v>20</x:v>
      </x:c>
      <x:c r="G12" s="57"/>
    </x:row>
    <x:row r="13" ht="66" customHeight="1">
      <x:c r="A13" s="55" t="str">
        <x:v>TQ5 Adaptive comparison and replanning</x:v>
      </x:c>
      <x:c r="B13" s="56" t="str">
        <x:v>Next call follows from the previous observation</x:v>
      </x:c>
      <x:c r="C13" s="56" t="str">
        <x:v>Pressure choices narrow the live bracket; converged conditions are pruned promptly</x:v>
      </x:c>
      <x:c r="D13" s="56" t="str">
        <x:v>Partly adaptive with some unnecessary enumeration</x:v>
      </x:c>
      <x:c r="E13" s="56" t="str">
        <x:v>Calls follow a fixed list regardless of results</x:v>
      </x:c>
      <x:c r="F13" s="56" t="n">
        <x:v>20</x:v>
      </x:c>
      <x:c r="G13" s="57"/>
    </x:row>
    <x:row r="14" ht="118" customHeight="1">
      <x:c r="A14" s="55" t="str">
        <x:v>TQ6 Final engineering decision</x:v>
      </x:c>
      <x:c r="B14" s="56" t="str">
        <x:v>Produces the task-specific decision</x:v>
      </x:c>
      <x:c r="C14" s="56" t="str">
        <x:v>Normal operation and ordinary N-1 operation are covered. Peak N-1 reaches the production target only at about 73.95 bar, above the 72 bar pump limit, while flux is about 24.66 LMH, above the 22 LMH membrane limit. Therefore pressure increase alone is infeasible; flow or production must be curtailed, or additional membrane area must remain online.</x:v>
      </x:c>
      <x:c r="D14" s="56" t="str">
        <x:v>Numerical answer is close but operating implications are incomplete</x:v>
      </x:c>
      <x:c r="E14" s="56" t="str">
        <x:v>Averages pressures, blindly raises pressure, or ignores infeasibility</x:v>
      </x:c>
      <x:c r="F14" s="56" t="n">
        <x:v>10</x:v>
      </x:c>
      <x:c r="G14" s="57"/>
    </x:row>
    <x:row r="15">
      <x:c r="A15" s="55"/>
      <x:c r="B15" s="56"/>
      <x:c r="C15" s="56"/>
      <x:c r="D15" s="56"/>
      <x:c r="E15" s="56"/>
      <x:c r="F15" s="56"/>
      <x:c r="G15" s="57"/>
    </x:row>
    <x:row r="16">
      <x:c r="A16" s="55"/>
      <x:c r="B16" s="56"/>
      <x:c r="C16" s="56"/>
      <x:c r="D16" s="56"/>
      <x:c r="E16" s="56"/>
      <x:c r="F16" s="56"/>
      <x:c r="G16" s="57"/>
    </x:row>
    <x:row r="17">
      <x:c r="A17" s="55"/>
      <x:c r="B17" s="56"/>
      <x:c r="C17" s="56"/>
      <x:c r="D17" s="56"/>
      <x:c r="E17" s="100" t="str">
        <x:v>Maximum trajectory score</x:v>
      </x:c>
      <x:c r="F17" s="100" t="n">
        <x:v>100</x:v>
      </x:c>
      <x:c r="G17" s="57"/>
    </x:row>
    <x:row r="18">
      <x:c r="A18" s="55"/>
      <x:c r="B18" s="56"/>
      <x:c r="C18" s="56"/>
      <x:c r="D18" s="56"/>
      <x:c r="E18" s="56"/>
      <x:c r="F18" s="56"/>
      <x:c r="G18" s="57"/>
    </x:row>
    <x:row r="19">
      <x:c r="A19" s="55" t="str">
        <x:v>Scoring note</x:v>
      </x:c>
      <x:c r="B19" s="56"/>
      <x:c r="C19" s="56"/>
      <x:c r="D19" s="56"/>
      <x:c r="E19" s="56"/>
      <x:c r="F19" s="56"/>
      <x:c r="G19" s="57"/>
    </x:row>
    <x:row r="20" ht="38" customHeight="1">
      <x:c r="A20" s="118" t="str">
        <x:v>Difficulty calibration</x:v>
      </x:c>
      <x:c r="B20" s="119" t="str">
        <x:v>Target reference effort: about 10-12 calls</x:v>
      </x:c>
      <x:c r="C20" s="119" t="str">
        <x:v>Three independent boundaries plus an equipment/control decision at 0.05 bar resolution</x:v>
      </x:c>
      <x:c r="D20" s="119"/>
      <x:c r="E20" s="119"/>
      <x:c r="F20" s="119"/>
      <x:c r="G20" s="120"/>
    </x:row>
  </x:sheetData>
  <x:mergeCells>
    <x:mergeCell ref="A1:G2"/>
    <x:mergeCell ref="A4:G6"/>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7" hidden="0" customWidth="1"/>
    <x:col min="2" max="2" width="38" hidden="0" customWidth="1"/>
    <x:col min="3" max="3" width="38" hidden="0" customWidth="1"/>
    <x:col min="4" max="4" width="38" hidden="0" customWidth="1"/>
    <x:col min="5" max="5" width="38" hidden="0" customWidth="1"/>
    <x:col min="6" max="6" width="38" hidden="0" customWidth="1"/>
    <x:col min="7" max="7" width="11" hidden="0" customWidth="1"/>
  </x:cols>
  <x:sheetData>
    <x:row r="1">
      <x:c r="A1" s="73" t="str">
        <x:v>D1-1c | N-Minus-One Train Emergency Pressure Check | Tool Usage Efficiency (100 points)</x:v>
      </x:c>
      <x:c r="B1" s="50"/>
      <x:c r="C1" s="50"/>
      <x:c r="D1" s="50"/>
      <x:c r="E1" s="50"/>
      <x:c r="F1" s="50"/>
      <x:c r="G1" s="51"/>
    </x:row>
    <x:row r="2">
      <x:c r="A2" s="74"/>
      <x:c r="B2" s="53"/>
      <x:c r="C2" s="53"/>
      <x:c r="D2" s="53"/>
      <x:c r="E2" s="53"/>
      <x:c r="F2" s="53"/>
      <x:c r="G2" s="54"/>
    </x:row>
    <x:row r="3">
      <x:c r="A3" s="55"/>
      <x:c r="B3" s="56"/>
      <x:c r="C3" s="56"/>
      <x:c r="D3" s="56"/>
      <x:c r="E3" s="56"/>
      <x:c r="F3" s="56"/>
      <x:c r="G3" s="57"/>
    </x:row>
    <x:row r="4">
      <x:c r="A4" s="67" t="str">
        <x:v>Primary scientific tool: simulate_ro. Reference efficient trajectory: about 10-12 calls. Call count is supporting evidence only; the core criteria are information gain, adaptive pressure selection, pruning, and stopping once evidence is sufficient.</x:v>
      </x:c>
      <x:c r="B4" s="68"/>
      <x:c r="C4" s="68"/>
      <x:c r="D4" s="68"/>
      <x:c r="E4" s="68"/>
      <x:c r="F4" s="68"/>
      <x:c r="G4" s="69"/>
    </x:row>
    <x:row r="5">
      <x:c r="A5" s="67"/>
      <x:c r="B5" s="68"/>
      <x:c r="C5" s="68"/>
      <x:c r="D5" s="68"/>
      <x:c r="E5" s="68"/>
      <x:c r="F5" s="68"/>
      <x:c r="G5" s="69"/>
    </x:row>
    <x:row r="6">
      <x:c r="A6" s="67"/>
      <x:c r="B6" s="68"/>
      <x:c r="C6" s="68"/>
      <x:c r="D6" s="68"/>
      <x:c r="E6" s="68"/>
      <x:c r="F6" s="68"/>
      <x:c r="G6" s="69"/>
    </x:row>
    <x:row r="7">
      <x:c r="A7" s="55"/>
      <x:c r="B7" s="56"/>
      <x:c r="C7" s="56"/>
      <x:c r="D7" s="56"/>
      <x:c r="E7" s="56"/>
      <x:c r="F7" s="56"/>
      <x:c r="G7" s="57"/>
    </x:row>
    <x:row r="8">
      <x:c r="A8" s="61" t="str">
        <x:v>Efficiency dimension</x:v>
      </x:c>
      <x:c r="B8" s="62" t="str">
        <x:v>Evaluation focus</x:v>
      </x:c>
      <x:c r="C8" s="62" t="str">
        <x:v>Full-credit behavior</x:v>
      </x:c>
      <x:c r="D8" s="62" t="str">
        <x:v>Medium-credit behavior</x:v>
      </x:c>
      <x:c r="E8" s="62" t="str">
        <x:v>Low-credit behavior</x:v>
      </x:c>
      <x:c r="F8" s="62" t="str">
        <x:v>Task-specific observation</x:v>
      </x:c>
      <x:c r="G8" s="63" t="str">
        <x:v>Points</x:v>
      </x:c>
    </x:row>
    <x:row r="9" ht="62" customHeight="1">
      <x:c r="A9" s="55" t="str">
        <x:v>E1 Tool selection and necessity</x:v>
      </x:c>
      <x:c r="B9" s="56" t="str">
        <x:v>Uses the correct scientific tool</x:v>
      </x:c>
      <x:c r="C9" s="56" t="str">
        <x:v>simulate_ro directly supports pressure-boundary testing</x:v>
      </x:c>
      <x:c r="D9" s="56" t="str">
        <x:v>A few irrelevant calls are made</x:v>
      </x:c>
      <x:c r="E9" s="56" t="str">
        <x:v>Wrong tool or many irrelevant calls</x:v>
      </x:c>
      <x:c r="F9" s="56" t="str">
        <x:v>A whole-plant cost model is not needed</x:v>
      </x:c>
      <x:c r="G9" s="57" t="n">
        <x:v>20</x:v>
      </x:c>
    </x:row>
    <x:row r="10" ht="62" customHeight="1">
      <x:c r="A10" s="55" t="str">
        <x:v>E2 Information gain and ordering</x:v>
      </x:c>
      <x:c r="B10" s="56" t="str">
        <x:v>Prioritizes discriminating pressures</x:v>
      </x:c>
      <x:c r="C10" s="56" t="str">
        <x:v>Coarse bracket first, then boundary refinement</x:v>
      </x:c>
      <x:c r="D10" s="56" t="str">
        <x:v>Mostly reasonable with some low-value points</x:v>
      </x:c>
      <x:c r="E10" s="56" t="str">
        <x:v>Dense grid from the start</x:v>
      </x:c>
      <x:c r="F10" s="56" t="str">
        <x:v>Bracket each condition before sampling adjacent points</x:v>
      </x:c>
      <x:c r="G10" s="57" t="n">
        <x:v>20</x:v>
      </x:c>
    </x:row>
    <x:row r="11" ht="62" customHeight="1">
      <x:c r="A11" s="55" t="str">
        <x:v>E3 Adaptive iteration</x:v>
      </x:c>
      <x:c r="B11" s="56" t="str">
        <x:v>Lets observations determine the next pressure</x:v>
      </x:c>
      <x:c r="C11" s="56" t="str">
        <x:v>Fail/pass state dynamically narrows the interval</x:v>
      </x:c>
      <x:c r="D11" s="56" t="str">
        <x:v>Partly adaptive</x:v>
      </x:c>
      <x:c r="E11" s="56" t="str">
        <x:v>Prewritten enumeration ignores results</x:v>
      </x:c>
      <x:c r="F11" s="56" t="str">
        <x:v>The previous status directly selects the next pressure</x:v>
      </x:c>
      <x:c r="G11" s="57" t="n">
        <x:v>20</x:v>
      </x:c>
    </x:row>
    <x:row r="12" ht="62" customHeight="1">
      <x:c r="A12" s="55" t="str">
        <x:v>E4 Pruning and redundancy</x:v>
      </x:c>
      <x:c r="B12" s="56" t="str">
        <x:v>Avoids repeated evidence</x:v>
      </x:c>
      <x:c r="C12" s="56" t="str">
        <x:v>Switches condition after convergence and does not repeat known inputs</x:v>
      </x:c>
      <x:c r="D12" s="56" t="str">
        <x:v>One or two unnecessary confirmations</x:v>
      </x:c>
      <x:c r="E12" s="56" t="str">
        <x:v>Repeatedly tests a known interval</x:v>
      </x:c>
      <x:c r="F12" s="56" t="str">
        <x:v>Reuse the adjacent boundary pair as final evidence</x:v>
      </x:c>
      <x:c r="G12" s="57" t="n">
        <x:v>20</x:v>
      </x:c>
    </x:row>
    <x:row r="13" ht="62" customHeight="1">
      <x:c r="A13" s="55" t="str">
        <x:v>E5 Convergence and stopping</x:v>
      </x:c>
      <x:c r="B13" s="56" t="str">
        <x:v>Stops after sufficient evidence</x:v>
      </x:c>
      <x:c r="C13" s="56" t="str">
        <x:v>about 10-12 calls produces the boundary and engineering decision</x:v>
      </x:c>
      <x:c r="D13" s="56" t="str">
        <x:v>A few additional calls remain defensible</x:v>
      </x:c>
      <x:c r="E13" s="56" t="str">
        <x:v>Too many calls or insufficient evidence</x:v>
      </x:c>
      <x:c r="F13" s="56" t="str">
        <x:v>Stop after reaching 0.05 bar resolution and completing the decision</x:v>
      </x:c>
      <x:c r="G13" s="57" t="n">
        <x:v>20</x:v>
      </x:c>
    </x:row>
    <x:row r="14">
      <x:c r="A14" s="55"/>
      <x:c r="B14" s="56"/>
      <x:c r="C14" s="56"/>
      <x:c r="D14" s="56"/>
      <x:c r="E14" s="56"/>
      <x:c r="F14" s="56"/>
      <x:c r="G14" s="57"/>
    </x:row>
    <x:row r="15">
      <x:c r="A15" s="118"/>
      <x:c r="B15" s="119"/>
      <x:c r="C15" s="119"/>
      <x:c r="D15" s="119"/>
      <x:c r="E15" s="119"/>
      <x:c r="F15" s="121" t="str">
        <x:v>Maximum efficiency score</x:v>
      </x:c>
      <x:c r="G15" s="122" t="n">
        <x:v>100</x:v>
      </x:c>
    </x:row>
  </x:sheetData>
  <x:mergeCells>
    <x:mergeCell ref="A1:G2"/>
    <x:mergeCell ref="A4:G6"/>
  </x:mergeCells>
  <x:pageMargins left="0.7" right="0.7" top="0.75" bottom="0.75" header="0.3" footer="0.3"/>
</x:worksheet>
</file>