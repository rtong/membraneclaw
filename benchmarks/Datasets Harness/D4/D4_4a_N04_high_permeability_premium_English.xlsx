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69aebb32c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d7a49a0ab75e4366"/>
    <x:sheet xmlns:r="http://schemas.openxmlformats.org/officeDocument/2006/relationships" name="Gold_Answer_A" sheetId="2" r:id="Rb17cd0a78fdd43c9"/>
    <x:sheet xmlns:r="http://schemas.openxmlformats.org/officeDocument/2006/relationships" name="Trajectory_Rubric" sheetId="3" r:id="R2b768e69d9d24997"/>
    <x:sheet xmlns:r="http://schemas.openxmlformats.org/officeDocument/2006/relationships" name="Tool_Efficiency" sheetId="4" r:id="Rb36a5623d267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0.00E+00"/>
    <x:numFmt numFmtId="202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A63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8E8"/>
      </x:left>
      <x:right style="thin">
        <x:color rgb="FFC9D8E8"/>
      </x:right>
      <x:top style="thin">
        <x:color rgb="FFC9D8E8"/>
      </x:top>
      <x:bottom style="thin">
        <x:color rgb="FFC9D8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5b6433a0e4113" /><Relationship Type="http://schemas.openxmlformats.org/officeDocument/2006/relationships/theme" Target="/xl/theme/theme1.xml" Id="R3247efc067974afe" /><Relationship Type="http://schemas.openxmlformats.org/officeDocument/2006/relationships/sharedStrings" Target="/xl/sharedStrings.xml" Id="R95c902328e25478d" /><Relationship Type="http://schemas.openxmlformats.org/officeDocument/2006/relationships/worksheet" Target="/xl/worksheets/sheet1.xml" Id="Rd7a49a0ab75e4366" /><Relationship Type="http://schemas.openxmlformats.org/officeDocument/2006/relationships/worksheet" Target="/xl/worksheets/sheet2.xml" Id="Rb17cd0a78fdd43c9" /><Relationship Type="http://schemas.openxmlformats.org/officeDocument/2006/relationships/worksheet" Target="/xl/worksheets/sheet3.xml" Id="R2b768e69d9d24997" /><Relationship Type="http://schemas.openxmlformats.org/officeDocument/2006/relationships/worksheet" Target="/xl/worksheets/sheet4.xml" Id="Rb36a5623d2674c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878ab3cc0944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Option CAPEX (blue) vs reference (orange)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CAPEX $m</c:v>
          </c:tx>
          <c:cat>
            <c:strRef>
              <c:f>'Gold_Answer_A'!$T$19:$T$24</c:f>
              <c:strCache>
                <c:ptCount val="0"/>
              </c:strCache>
            </c:strRef>
          </c:cat>
          <c:val>
            <c:numRef>
              <c:f>'Gold_Answer_A'!$U$19:$U$24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Reference</c:v>
          </c:tx>
          <c:cat>
            <c:strRef>
              <c:f>'Gold_Answer_A'!$T$19:$T$24</c:f>
              <c:strCache>
                <c:ptCount val="0"/>
              </c:strCache>
            </c:strRef>
          </c:cat>
          <c:val>
            <c:numRef>
              <c:f>'Gold_Answer_A'!$V$19:$V$24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878ab3cc0944b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d8ecd718e2c40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32" hidden="0" customWidth="1"/>
    <x:col min="5" max="5" width="4" hidden="0" customWidth="1"/>
    <x:col min="6" max="6" width="25" hidden="0" customWidth="1"/>
    <x:col min="7" max="7" width="34" hidden="0" customWidth="1"/>
    <x:col min="8" max="8" width="39" hidden="0" customWidth="1"/>
  </x:cols>
  <x:sheetData>
    <x:row r="1" ht="26" customHeight="1">
      <x:c r="A1" s="4" t="str">
        <x:v>D4_4a N04: Break-Even Procurement Premium for High-Permeability Membranes</x:v>
      </x:c>
      <x:c r="B1" s="4" t="str">
        <x:v>D4_4a N04: Break-Even Procurement Premium for High-Permeability Membranes</x:v>
      </x:c>
      <x:c r="C1" s="4" t="str">
        <x:v>D4_4a N04: Break-Even Procurement Premium for High-Permeability Membranes</x:v>
      </x:c>
      <x:c r="D1" s="4" t="str">
        <x:v>D4_4a N04: Break-Even Procurement Premium for High-Permeability Membranes</x:v>
      </x:c>
      <x:c r="E1" s="4" t="str">
        <x:v>D4_4a N04: Break-Even Procurement Premium for High-Permeability Membranes</x:v>
      </x:c>
      <x:c r="F1" s="4" t="str">
        <x:v>D4_4a N04: Break-Even Procurement Premium for High-Permeability Membranes</x:v>
      </x:c>
      <x:c r="G1" s="4" t="str">
        <x:v>D4_4a N04: Break-Even Procurement Premium for High-Permeability Membranes</x:v>
      </x:c>
      <x:c r="H1" s="4" t="str">
        <x:v>D4_4a N04: Break-Even Procurement Premium for High-Permeability Membranes</x:v>
      </x:c>
    </x:row>
    <x:row r="2" ht="26" customHeight="1">
      <x:c r="A2" s="4" t="str">
        <x:v>D4_4a N04: Break-Even Procurement Premium for High-Permeability Membranes</x:v>
      </x:c>
      <x:c r="B2" s="4" t="str">
        <x:v>D4_4a N04: Break-Even Procurement Premium for High-Permeability Membranes</x:v>
      </x:c>
      <x:c r="C2" s="4" t="str">
        <x:v>D4_4a N04: Break-Even Procurement Premium for High-Permeability Membranes</x:v>
      </x:c>
      <x:c r="D2" s="4" t="str">
        <x:v>D4_4a N04: Break-Even Procurement Premium for High-Permeability Membranes</x:v>
      </x:c>
      <x:c r="E2" s="4" t="str">
        <x:v>D4_4a N04: Break-Even Procurement Premium for High-Permeability Membranes</x:v>
      </x:c>
      <x:c r="F2" s="4" t="str">
        <x:v>D4_4a N04: Break-Even Procurement Premium for High-Permeability Membranes</x:v>
      </x:c>
      <x:c r="G2" s="4" t="str">
        <x:v>D4_4a N04: Break-Even Procurement Premium for High-Permeability Membranes</x:v>
      </x:c>
      <x:c r="H2" s="4" t="str">
        <x:v>D4_4a N04: Break-Even Procurement Premium for High-Permeability Membranes</x:v>
      </x:c>
    </x:row>
    <x:row r="4" ht="25" customHeight="1">
      <x:c r="A4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B4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C4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D4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E4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F4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G4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H4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</x:row>
    <x:row r="5" ht="25" customHeight="1">
      <x:c r="A5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B5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C5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D5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E5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F5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G5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H5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</x:row>
    <x:row r="6" ht="25" customHeight="1">
      <x:c r="A6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B6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C6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D6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E6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F6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G6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H6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</x:row>
    <x:row r="7" ht="25" customHeight="1">
      <x:c r="A7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B7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C7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D7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E7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F7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G7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H7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</x:row>
    <x:row r="8" ht="25" customHeight="1">
      <x:c r="A8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B8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C8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D8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E8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F8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G8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  <x:c r="H8" s="8" t="str">
        <x:v>An SWRO design has feed 0.420 m³/s, TDS 38 g/L, 25°C, P1=70 bar(a) and PX efficiency 0.96, with product ≥13,500 m³/d. Standard membranes use A_comp=4.2×10⁻¹² with candidate areas 17/18/19 thousand m². High-permeability membranes use A_comp=5.0×10⁻¹² with the same B_comp=3.5×10⁻⁸ and candidate areas 14/15/16 thousand m². Each element provides 40.8 m². Find the minimum passing discrete area for each membrane, then use the simulator CAPEX difference to calculate the maximum allowable extra purchase premium per high-permeability element. Decide if the quoted premium is USD 450 per element.</x:v>
      </x:c>
    </x:row>
    <x:row r="10">
      <x:c r="A10" s="11" t="str">
        <x:v>Design inputs and constraints</x:v>
      </x:c>
      <x:c r="B10" s="11" t="str">
        <x:v>Design inputs and constraints</x:v>
      </x:c>
      <x:c r="C10" s="11" t="str">
        <x:v>Design inputs and constraints</x:v>
      </x:c>
      <x:c r="D10" s="11" t="str">
        <x:v>Design inputs and constraints</x:v>
      </x:c>
      <x:c r="F10" s="11" t="str">
        <x:v>Specified cases/trajectory</x:v>
      </x:c>
      <x:c r="G10" s="11" t="str">
        <x:v>Specified cases/trajectory</x:v>
      </x:c>
      <x:c r="H10" s="11" t="str">
        <x:v>Specified cases/trajectory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Option</x:v>
      </x:c>
      <x:c r="G11" s="17" t="str">
        <x:v>Case change</x:v>
      </x:c>
      <x:c r="H11" s="17" t="str">
        <x:v>Purpose</x:v>
      </x:c>
    </x:row>
    <x:row r="12" ht="38" customHeight="1">
      <x:c r="A12" s="21" t="str">
        <x:v>Feed</x:v>
      </x:c>
      <x:c r="B12" s="22" t="n">
        <x:v>0.42</x:v>
      </x:c>
      <x:c r="C12" s="21" t="str">
        <x:v>m³/s</x:v>
      </x:c>
      <x:c r="D12" s="21" t="str">
        <x:v>Fixed</x:v>
      </x:c>
      <x:c r="F12" s="21" t="str">
        <x:v>Standard membrane</x:v>
      </x:c>
      <x:c r="G12" s="21" t="str">
        <x:v>17/18/19 thousand m²</x:v>
      </x:c>
      <x:c r="H12" s="21" t="str">
        <x:v>Find minimum passing area</x:v>
      </x:c>
    </x:row>
    <x:row r="13" ht="38" customHeight="1">
      <x:c r="A13" s="21" t="str">
        <x:v>TDS</x:v>
      </x:c>
      <x:c r="B13" s="22" t="n">
        <x:v>38</x:v>
      </x:c>
      <x:c r="C13" s="21" t="str">
        <x:v>g/L</x:v>
      </x:c>
      <x:c r="D13" s="21" t="str">
        <x:v>Fixed</x:v>
      </x:c>
      <x:c r="F13" s="21" t="str">
        <x:v>High-permeability</x:v>
      </x:c>
      <x:c r="G13" s="21" t="str">
        <x:v>14/15/16 thousand m²</x:v>
      </x:c>
      <x:c r="H13" s="21" t="str">
        <x:v>Find minimum passing area</x:v>
      </x:c>
    </x:row>
    <x:row r="14" ht="38" customHeight="1">
      <x:c r="A14" s="21" t="str">
        <x:v>Temperature</x:v>
      </x:c>
      <x:c r="B14" s="22" t="n">
        <x:v>25</x:v>
      </x:c>
      <x:c r="C14" s="21" t="str">
        <x:v>°C</x:v>
      </x:c>
      <x:c r="D14" s="21" t="str">
        <x:v>Fixed</x:v>
      </x:c>
      <x:c r="F14" s="21" t="str">
        <x:v>Procurement</x:v>
      </x:c>
      <x:c r="G14" s="21" t="str">
        <x:v>Simulated CAPEX saving ÷ high-flux element count</x:v>
      </x:c>
      <x:c r="H14" s="21" t="str">
        <x:v>Premium threshold</x:v>
      </x:c>
    </x:row>
    <x:row r="15">
      <x:c r="A15" s="21" t="str">
        <x:v>P1 pressure</x:v>
      </x:c>
      <x:c r="B15" s="22" t="n">
        <x:v>70</x:v>
      </x:c>
      <x:c r="C15" s="21" t="str">
        <x:v>bar(a)</x:v>
      </x:c>
      <x:c r="D15" s="21" t="str">
        <x:v>Fixed</x:v>
      </x:c>
    </x:row>
    <x:row r="16">
      <x:c r="A16" s="21" t="str">
        <x:v>PX efficiency</x:v>
      </x:c>
      <x:c r="B16" s="22" t="n">
        <x:v>0.96</x:v>
      </x:c>
      <x:c r="C16" s="21" t="str">
        <x:v>-</x:v>
      </x:c>
      <x:c r="D16" s="21" t="str">
        <x:v>Fixed</x:v>
      </x:c>
    </x:row>
    <x:row r="17">
      <x:c r="A17" s="21" t="str">
        <x:v>Standard A_comp</x:v>
      </x:c>
      <x:c r="B17" s="30" t="n">
        <x:v>4.2e-12</x:v>
      </x:c>
      <x:c r="C17" s="21" t="str">
        <x:v>m/s/Pa</x:v>
      </x:c>
      <x:c r="D17" s="21" t="str">
        <x:v>Candidate</x:v>
      </x:c>
    </x:row>
    <x:row r="18">
      <x:c r="A18" s="21" t="str">
        <x:v>High-flux A_comp</x:v>
      </x:c>
      <x:c r="B18" s="30" t="n">
        <x:v>5e-12</x:v>
      </x:c>
      <x:c r="C18" s="21" t="str">
        <x:v>m/s/Pa</x:v>
      </x:c>
      <x:c r="D18" s="21" t="str">
        <x:v>Candidate</x:v>
      </x:c>
      <x:c r="F18" s="11" t="str">
        <x:v>Required deliverables</x:v>
      </x:c>
      <x:c r="G18" s="11" t="str">
        <x:v>Required deliverables</x:v>
      </x:c>
      <x:c r="H18" s="11" t="str">
        <x:v>Required deliverables</x:v>
      </x:c>
    </x:row>
    <x:row r="19" ht="37" customHeight="1">
      <x:c r="A19" s="21" t="str">
        <x:v>B_comp</x:v>
      </x:c>
      <x:c r="B19" s="30" t="n">
        <x:v>3.5e-8</x:v>
      </x:c>
      <x:c r="C19" s="21" t="str">
        <x:v>m/s</x:v>
      </x:c>
      <x:c r="D19" s="21" t="str">
        <x:v>Same for both</x:v>
      </x:c>
      <x:c r="F19" s="25" t="str">
        <x:v>1. Record every valid simulate_swro_system call.</x:v>
      </x:c>
      <x:c r="G19" s="25" t="str">
        <x:v>1. Record every valid simulate_swro_system call.</x:v>
      </x:c>
      <x:c r="H19" s="25" t="str">
        <x:v>1. Record every valid simulate_swro_system call.</x:v>
      </x:c>
    </x:row>
    <x:row r="20" ht="37" customHeight="1">
      <x:c r="A20" s="21" t="str">
        <x:v>Minimum product</x:v>
      </x:c>
      <x:c r="B20" s="22" t="n">
        <x:v>13500</x:v>
      </x:c>
      <x:c r="C20" s="21" t="str">
        <x:v>m³/d</x:v>
      </x:c>
      <x:c r="D20" s="21" t="str">
        <x:v>Criterion</x:v>
      </x:c>
      <x:c r="F20" s="25" t="str">
        <x:v>2. Calculate product scale, total CAPEX and capital intensity consistently.</x:v>
      </x:c>
      <x:c r="G20" s="25" t="str">
        <x:v>2. Calculate product scale, total CAPEX and capital intensity consistently.</x:v>
      </x:c>
      <x:c r="H20" s="25" t="str">
        <x:v>2. Calculate product scale, total CAPEX and capital intensity consistently.</x:v>
      </x:c>
    </x:row>
    <x:row r="21" ht="37" customHeight="1">
      <x:c r="A21" s="21" t="str">
        <x:v>Element area</x:v>
      </x:c>
      <x:c r="B21" s="22" t="n">
        <x:v>40.8</x:v>
      </x:c>
      <x:c r="C21" s="21" t="str">
        <x:v>m²/element</x:v>
      </x:c>
      <x:c r="D21" s="21" t="str">
        <x:v>Count</x:v>
      </x:c>
      <x:c r="F21" s="25" t="str">
        <x:v>3. Complete the specified increment, boundary or premium calculation.</x:v>
      </x:c>
      <x:c r="G21" s="25" t="str">
        <x:v>3. Complete the specified increment, boundary or premium calculation.</x:v>
      </x:c>
      <x:c r="H21" s="25" t="str">
        <x:v>3. Complete the specified increment, boundary or premium calculation.</x:v>
      </x:c>
    </x:row>
    <x:row r="22" ht="37" customHeight="1">
      <x:c r="A22" s="21" t="str">
        <x:v>Quoted premium</x:v>
      </x:c>
      <x:c r="B22" s="22" t="n">
        <x:v>450</x:v>
      </x:c>
      <x:c r="C22" s="21" t="str">
        <x:v>USD/element</x:v>
      </x:c>
      <x:c r="D22" s="21" t="str">
        <x:v>Procurement condition</x:v>
      </x:c>
      <x:c r="F22" s="25" t="str">
        <x:v>4. Separate tool outputs, external procurement add-ons and approval adjustments.</x:v>
      </x:c>
      <x:c r="G22" s="25" t="str">
        <x:v>4. Separate tool outputs, external procurement add-ons and approval adjustments.</x:v>
      </x:c>
      <x:c r="H22" s="25" t="str">
        <x:v>4. Separate tool outputs, external procurement add-ons and approval adjustments.</x:v>
      </x:c>
    </x:row>
    <x:row r="23" ht="37" customHeight="1">
      <x:c r="A23" s="21" t="str">
        <x:v>Area step</x:v>
      </x:c>
      <x:c r="B23" s="22" t="n">
        <x:v>1000</x:v>
      </x:c>
      <x:c r="C23" s="21" t="str">
        <x:v>m²</x:v>
      </x:c>
      <x:c r="D23" s="21" t="str">
        <x:v>Discrete candidates</x:v>
      </x:c>
      <x:c r="F23" s="25" t="str">
        <x:v>5. Give an actionable decision and model boundary.</x:v>
      </x:c>
      <x:c r="G23" s="25" t="str">
        <x:v>5. Give an actionable decision and model boundary.</x:v>
      </x:c>
      <x:c r="H23" s="25" t="str">
        <x:v>5. Give an actionable decision and model boundary.</x:v>
      </x:c>
    </x:row>
    <x:row r="26">
      <x:c r="A26" s="29" t="str">
        <x:v>The simulator does not contain membrane-model purchase premiums. Add the premium externally; do not treat simulated CAPEX as the final vendor quotation.</x:v>
      </x:c>
      <x:c r="B26" s="29" t="str">
        <x:v>The simulator does not contain membrane-model purchase premiums. Add the premium externally; do not treat simulated CAPEX as the final vendor quotation.</x:v>
      </x:c>
      <x:c r="C26" s="29" t="str">
        <x:v>The simulator does not contain membrane-model purchase premiums. Add the premium externally; do not treat simulated CAPEX as the final vendor quotation.</x:v>
      </x:c>
      <x:c r="D26" s="29" t="str">
        <x:v>The simulator does not contain membrane-model purchase premiums. Add the premium externally; do not treat simulated CAPEX as the final vendor quotation.</x:v>
      </x:c>
      <x:c r="E26" s="29" t="str">
        <x:v>The simulator does not contain membrane-model purchase premiums. Add the premium externally; do not treat simulated CAPEX as the final vendor quotation.</x:v>
      </x:c>
      <x:c r="F26" s="29" t="str">
        <x:v>The simulator does not contain membrane-model purchase premiums. Add the premium externally; do not treat simulated CAPEX as the final vendor quotation.</x:v>
      </x:c>
      <x:c r="G26" s="29" t="str">
        <x:v>The simulator does not contain membrane-model purchase premiums. Add the premium externally; do not treat simulated CAPEX as the final vendor quotation.</x:v>
      </x:c>
      <x:c r="H26" s="29" t="str">
        <x:v>The simulator does not contain membrane-model purchase premiums. Add the premium externally; do not treat simulated CAPEX as the final vendor quotation.</x:v>
      </x:c>
    </x:row>
    <x:row r="27">
      <x:c r="A27" s="29" t="str">
        <x:v>The simulator does not contain membrane-model purchase premiums. Add the premium externally; do not treat simulated CAPEX as the final vendor quotation.</x:v>
      </x:c>
      <x:c r="B27" s="29" t="str">
        <x:v>The simulator does not contain membrane-model purchase premiums. Add the premium externally; do not treat simulated CAPEX as the final vendor quotation.</x:v>
      </x:c>
      <x:c r="C27" s="29" t="str">
        <x:v>The simulator does not contain membrane-model purchase premiums. Add the premium externally; do not treat simulated CAPEX as the final vendor quotation.</x:v>
      </x:c>
      <x:c r="D27" s="29" t="str">
        <x:v>The simulator does not contain membrane-model purchase premiums. Add the premium externally; do not treat simulated CAPEX as the final vendor quotation.</x:v>
      </x:c>
      <x:c r="E27" s="29" t="str">
        <x:v>The simulator does not contain membrane-model purchase premiums. Add the premium externally; do not treat simulated CAPEX as the final vendor quotation.</x:v>
      </x:c>
      <x:c r="F27" s="29" t="str">
        <x:v>The simulator does not contain membrane-model purchase premiums. Add the premium externally; do not treat simulated CAPEX as the final vendor quotation.</x:v>
      </x:c>
      <x:c r="G27" s="29" t="str">
        <x:v>The simulator does not contain membrane-model purchase premiums. Add the premium externally; do not treat simulated CAPEX as the final vendor quotation.</x:v>
      </x:c>
      <x:c r="H27" s="29" t="str">
        <x:v>The simulator does not contain membrane-model purchase premiums. Add the premium externally; do not treat simulated CAPEX as the final vendor quotation.</x:v>
      </x:c>
    </x:row>
    <x:row r="28">
      <x:c r="A28" s="29" t="str">
        <x:v>The simulator does not contain membrane-model purchase premiums. Add the premium externally; do not treat simulated CAPEX as the final vendor quotation.</x:v>
      </x:c>
      <x:c r="B28" s="29" t="str">
        <x:v>The simulator does not contain membrane-model purchase premiums. Add the premium externally; do not treat simulated CAPEX as the final vendor quotation.</x:v>
      </x:c>
      <x:c r="C28" s="29" t="str">
        <x:v>The simulator does not contain membrane-model purchase premiums. Add the premium externally; do not treat simulated CAPEX as the final vendor quotation.</x:v>
      </x:c>
      <x:c r="D28" s="29" t="str">
        <x:v>The simulator does not contain membrane-model purchase premiums. Add the premium externally; do not treat simulated CAPEX as the final vendor quotation.</x:v>
      </x:c>
      <x:c r="E28" s="29" t="str">
        <x:v>The simulator does not contain membrane-model purchase premiums. Add the premium externally; do not treat simulated CAPEX as the final vendor quotation.</x:v>
      </x:c>
      <x:c r="F28" s="29" t="str">
        <x:v>The simulator does not contain membrane-model purchase premiums. Add the premium externally; do not treat simulated CAPEX as the final vendor quotation.</x:v>
      </x:c>
      <x:c r="G28" s="29" t="str">
        <x:v>The simulator does not contain membrane-model purchase premiums. Add the premium externally; do not treat simulated CAPEX as the final vendor quotation.</x:v>
      </x:c>
      <x:c r="H28" s="29" t="str">
        <x:v>The simulator does not contain membrane-model purchase premiums. Add the premium externally; do not treat simulated CAPEX as the final vendor quotation.</x:v>
      </x:c>
    </x:row>
    <x:row r="29">
      <x:c r="A29" s="29" t="str">
        <x:v>The simulator does not contain membrane-model purchase premiums. Add the premium externally; do not treat simulated CAPEX as the final vendor quotation.</x:v>
      </x:c>
      <x:c r="B29" s="29" t="str">
        <x:v>The simulator does not contain membrane-model purchase premiums. Add the premium externally; do not treat simulated CAPEX as the final vendor quotation.</x:v>
      </x:c>
      <x:c r="C29" s="29" t="str">
        <x:v>The simulator does not contain membrane-model purchase premiums. Add the premium externally; do not treat simulated CAPEX as the final vendor quotation.</x:v>
      </x:c>
      <x:c r="D29" s="29" t="str">
        <x:v>The simulator does not contain membrane-model purchase premiums. Add the premium externally; do not treat simulated CAPEX as the final vendor quotation.</x:v>
      </x:c>
      <x:c r="E29" s="29" t="str">
        <x:v>The simulator does not contain membrane-model purchase premiums. Add the premium externally; do not treat simulated CAPEX as the final vendor quotation.</x:v>
      </x:c>
      <x:c r="F29" s="29" t="str">
        <x:v>The simulator does not contain membrane-model purchase premiums. Add the premium externally; do not treat simulated CAPEX as the final vendor quotation.</x:v>
      </x:c>
      <x:c r="G29" s="29" t="str">
        <x:v>The simulator does not contain membrane-model purchase premiums. Add the premium externally; do not treat simulated CAPEX as the final vendor quotation.</x:v>
      </x:c>
      <x:c r="H29" s="29" t="str">
        <x:v>The simulator does not contain membrane-model purchase premiums. Add the premium externally; do not treat simulated CAPEX as the final vendor quotation.</x:v>
      </x:c>
    </x:row>
    <x:row r="30">
      <x:c r="A30" s="29" t="str">
        <x:v>The simulator does not contain membrane-model purchase premiums. Add the premium externally; do not treat simulated CAPEX as the final vendor quotation.</x:v>
      </x:c>
      <x:c r="B30" s="29" t="str">
        <x:v>The simulator does not contain membrane-model purchase premiums. Add the premium externally; do not treat simulated CAPEX as the final vendor quotation.</x:v>
      </x:c>
      <x:c r="C30" s="29" t="str">
        <x:v>The simulator does not contain membrane-model purchase premiums. Add the premium externally; do not treat simulated CAPEX as the final vendor quotation.</x:v>
      </x:c>
      <x:c r="D30" s="29" t="str">
        <x:v>The simulator does not contain membrane-model purchase premiums. Add the premium externally; do not treat simulated CAPEX as the final vendor quotation.</x:v>
      </x:c>
      <x:c r="E30" s="29" t="str">
        <x:v>The simulator does not contain membrane-model purchase premiums. Add the premium externally; do not treat simulated CAPEX as the final vendor quotation.</x:v>
      </x:c>
      <x:c r="F30" s="29" t="str">
        <x:v>The simulator does not contain membrane-model purchase premiums. Add the premium externally; do not treat simulated CAPEX as the final vendor quotation.</x:v>
      </x:c>
      <x:c r="G30" s="29" t="str">
        <x:v>The simulator does not contain membrane-model purchase premiums. Add the premium externally; do not treat simulated CAPEX as the final vendor quotation.</x:v>
      </x:c>
      <x:c r="H30" s="29" t="str">
        <x:v>The simulator does not contain membrane-model purchase premiums. Add the premium externally; do not treat simulated CAPEX as the final vendor quotation.</x:v>
      </x:c>
    </x:row>
  </x:sheetData>
  <x:mergeCells>
    <x:mergeCell ref="A1:H2"/>
    <x:mergeCell ref="A4:H8"/>
    <x:mergeCell ref="A10:D10"/>
    <x:mergeCell ref="F10:H10"/>
    <x:mergeCell ref="F18:H18"/>
    <x:mergeCell ref="F19:H19"/>
    <x:mergeCell ref="F20:H20"/>
    <x:mergeCell ref="F21:H21"/>
    <x:mergeCell ref="F22:H22"/>
    <x:mergeCell ref="F23:H23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19" hidden="0" customWidth="1"/>
    <x:col min="4" max="4" width="18" hidden="0" customWidth="1"/>
    <x:col min="5" max="5" width="14" hidden="0" customWidth="1"/>
    <x:col min="6" max="6" width="16" hidden="0" customWidth="1"/>
    <x:col min="7" max="7" width="13" hidden="0" customWidth="1"/>
    <x:col min="8" max="8" width="17" hidden="0" customWidth="1"/>
    <x:col min="9" max="9" width="11" hidden="0" customWidth="1"/>
    <x:col min="10" max="10" width="17" hidden="0" customWidth="1"/>
    <x:col min="11" max="11" width="16" hidden="0" customWidth="1"/>
    <x:col min="12" max="12" width="17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8" hidden="0" customWidth="1"/>
    <x:col min="18" max="18" width="30" hidden="0" customWidth="1"/>
    <x:col min="19" max="19" width="3" hidden="0" customWidth="1"/>
    <x:col min="20" max="20" width="23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D4_4a N04: Stepwise Gold Answer — Break-Even Procurement Premium for High-Permeability Membranes</x:v>
      </x:c>
      <x:c r="B1" s="4" t="str">
        <x:v>D4_4a N04: Stepwise Gold Answer — Break-Even Procurement Premium for High-Permeability Membranes</x:v>
      </x:c>
      <x:c r="C1" s="4" t="str">
        <x:v>D4_4a N04: Stepwise Gold Answer — Break-Even Procurement Premium for High-Permeability Membranes</x:v>
      </x:c>
      <x:c r="D1" s="4" t="str">
        <x:v>D4_4a N04: Stepwise Gold Answer — Break-Even Procurement Premium for High-Permeability Membranes</x:v>
      </x:c>
      <x:c r="E1" s="4" t="str">
        <x:v>D4_4a N04: Stepwise Gold Answer — Break-Even Procurement Premium for High-Permeability Membranes</x:v>
      </x:c>
      <x:c r="F1" s="4" t="str">
        <x:v>D4_4a N04: Stepwise Gold Answer — Break-Even Procurement Premium for High-Permeability Membranes</x:v>
      </x:c>
      <x:c r="G1" s="4" t="str">
        <x:v>D4_4a N04: Stepwise Gold Answer — Break-Even Procurement Premium for High-Permeability Membranes</x:v>
      </x:c>
      <x:c r="H1" s="4" t="str">
        <x:v>D4_4a N04: Stepwise Gold Answer — Break-Even Procurement Premium for High-Permeability Membranes</x:v>
      </x:c>
      <x:c r="I1" s="4" t="str">
        <x:v>D4_4a N04: Stepwise Gold Answer — Break-Even Procurement Premium for High-Permeability Membranes</x:v>
      </x:c>
      <x:c r="J1" s="4" t="str">
        <x:v>D4_4a N04: Stepwise Gold Answer — Break-Even Procurement Premium for High-Permeability Membranes</x:v>
      </x:c>
      <x:c r="K1" s="4" t="str">
        <x:v>D4_4a N04: Stepwise Gold Answer — Break-Even Procurement Premium for High-Permeability Membranes</x:v>
      </x:c>
      <x:c r="L1" s="4" t="str">
        <x:v>D4_4a N04: Stepwise Gold Answer — Break-Even Procurement Premium for High-Permeability Membranes</x:v>
      </x:c>
      <x:c r="M1" s="4" t="str">
        <x:v>D4_4a N04: Stepwise Gold Answer — Break-Even Procurement Premium for High-Permeability Membranes</x:v>
      </x:c>
      <x:c r="N1" s="4" t="str">
        <x:v>D4_4a N04: Stepwise Gold Answer — Break-Even Procurement Premium for High-Permeability Membranes</x:v>
      </x:c>
      <x:c r="O1" s="4" t="str">
        <x:v>D4_4a N04: Stepwise Gold Answer — Break-Even Procurement Premium for High-Permeability Membranes</x:v>
      </x:c>
      <x:c r="P1" s="4" t="str">
        <x:v>D4_4a N04: Stepwise Gold Answer — Break-Even Procurement Premium for High-Permeability Membranes</x:v>
      </x:c>
      <x:c r="Q1" s="4" t="str">
        <x:v>D4_4a N04: Stepwise Gold Answer — Break-Even Procurement Premium for High-Permeability Membranes</x:v>
      </x:c>
      <x:c r="R1" s="4" t="str">
        <x:v>D4_4a N04: Stepwise Gold Answer — Break-Even Procurement Premium for High-Permeability Membranes</x:v>
      </x:c>
      <x:c r="S1" s="4" t="str">
        <x:v>D4_4a N04: Stepwise Gold Answer — Break-Even Procurement Premium for High-Permeability Membranes</x:v>
      </x:c>
      <x:c r="T1" s="4" t="str">
        <x:v>D4_4a N04: Stepwise Gold Answer — Break-Even Procurement Premium for High-Permeability Membranes</x:v>
      </x:c>
      <x:c r="U1" s="4" t="str">
        <x:v>D4_4a N04: Stepwise Gold Answer — Break-Even Procurement Premium for High-Permeability Membranes</x:v>
      </x:c>
      <x:c r="V1" s="4" t="str">
        <x:v>D4_4a N04: Stepwise Gold Answer — Break-Even Procurement Premium for High-Permeability Membranes</x:v>
      </x:c>
    </x:row>
    <x:row r="2" ht="26" customHeight="1">
      <x:c r="A2" s="4" t="str">
        <x:v>D4_4a N04: Stepwise Gold Answer — Break-Even Procurement Premium for High-Permeability Membranes</x:v>
      </x:c>
      <x:c r="B2" s="4" t="str">
        <x:v>D4_4a N04: Stepwise Gold Answer — Break-Even Procurement Premium for High-Permeability Membranes</x:v>
      </x:c>
      <x:c r="C2" s="4" t="str">
        <x:v>D4_4a N04: Stepwise Gold Answer — Break-Even Procurement Premium for High-Permeability Membranes</x:v>
      </x:c>
      <x:c r="D2" s="4" t="str">
        <x:v>D4_4a N04: Stepwise Gold Answer — Break-Even Procurement Premium for High-Permeability Membranes</x:v>
      </x:c>
      <x:c r="E2" s="4" t="str">
        <x:v>D4_4a N04: Stepwise Gold Answer — Break-Even Procurement Premium for High-Permeability Membranes</x:v>
      </x:c>
      <x:c r="F2" s="4" t="str">
        <x:v>D4_4a N04: Stepwise Gold Answer — Break-Even Procurement Premium for High-Permeability Membranes</x:v>
      </x:c>
      <x:c r="G2" s="4" t="str">
        <x:v>D4_4a N04: Stepwise Gold Answer — Break-Even Procurement Premium for High-Permeability Membranes</x:v>
      </x:c>
      <x:c r="H2" s="4" t="str">
        <x:v>D4_4a N04: Stepwise Gold Answer — Break-Even Procurement Premium for High-Permeability Membranes</x:v>
      </x:c>
      <x:c r="I2" s="4" t="str">
        <x:v>D4_4a N04: Stepwise Gold Answer — Break-Even Procurement Premium for High-Permeability Membranes</x:v>
      </x:c>
      <x:c r="J2" s="4" t="str">
        <x:v>D4_4a N04: Stepwise Gold Answer — Break-Even Procurement Premium for High-Permeability Membranes</x:v>
      </x:c>
      <x:c r="K2" s="4" t="str">
        <x:v>D4_4a N04: Stepwise Gold Answer — Break-Even Procurement Premium for High-Permeability Membranes</x:v>
      </x:c>
      <x:c r="L2" s="4" t="str">
        <x:v>D4_4a N04: Stepwise Gold Answer — Break-Even Procurement Premium for High-Permeability Membranes</x:v>
      </x:c>
      <x:c r="M2" s="4" t="str">
        <x:v>D4_4a N04: Stepwise Gold Answer — Break-Even Procurement Premium for High-Permeability Membranes</x:v>
      </x:c>
      <x:c r="N2" s="4" t="str">
        <x:v>D4_4a N04: Stepwise Gold Answer — Break-Even Procurement Premium for High-Permeability Membranes</x:v>
      </x:c>
      <x:c r="O2" s="4" t="str">
        <x:v>D4_4a N04: Stepwise Gold Answer — Break-Even Procurement Premium for High-Permeability Membranes</x:v>
      </x:c>
      <x:c r="P2" s="4" t="str">
        <x:v>D4_4a N04: Stepwise Gold Answer — Break-Even Procurement Premium for High-Permeability Membranes</x:v>
      </x:c>
      <x:c r="Q2" s="4" t="str">
        <x:v>D4_4a N04: Stepwise Gold Answer — Break-Even Procurement Premium for High-Permeability Membranes</x:v>
      </x:c>
      <x:c r="R2" s="4" t="str">
        <x:v>D4_4a N04: Stepwise Gold Answer — Break-Even Procurement Premium for High-Permeability Membranes</x:v>
      </x:c>
      <x:c r="S2" s="4" t="str">
        <x:v>D4_4a N04: Stepwise Gold Answer — Break-Even Procurement Premium for High-Permeability Membranes</x:v>
      </x:c>
      <x:c r="T2" s="4" t="str">
        <x:v>D4_4a N04: Stepwise Gold Answer — Break-Even Procurement Premium for High-Permeability Membranes</x:v>
      </x:c>
      <x:c r="U2" s="4" t="str">
        <x:v>D4_4a N04: Stepwise Gold Answer — Break-Even Procurement Premium for High-Permeability Membranes</x:v>
      </x:c>
      <x:c r="V2" s="4" t="str">
        <x:v>D4_4a N04: Stepwise Gold Answer — Break-Even Procurement Premium for High-Permeability Membranes</x:v>
      </x:c>
    </x:row>
    <x:row r="4">
      <x:c r="A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B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C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D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E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F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G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H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I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J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K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L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M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N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O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P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Q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R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S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T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U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V4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</x:row>
    <x:row r="5">
      <x:c r="A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B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C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D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E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F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G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H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I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J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K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L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M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N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O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P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Q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R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S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T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U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V5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</x:row>
    <x:row r="6">
      <x:c r="A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B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C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D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E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F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G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H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I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J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K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L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M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N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O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P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Q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R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S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T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U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  <x:c r="V6" s="34" t="str">
        <x:v>The actual trajectory contains 6 valid simulate_swro_system calls. Gold Answer retains tool-reported CAPEX, product, SEC and LCOW, while train multipliers, procurement premiums or approval adjustments are calculated transparently in separate formulas.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  <x:c r="H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Calculation</x:v>
      </x:c>
      <x:c r="F9" s="17" t="str">
        <x:v>State update</x:v>
      </x:c>
      <x:c r="G9" s="17" t="str">
        <x:v>Next step</x:v>
      </x:c>
      <x:c r="H9" s="17" t="str">
        <x:v>Capability</x:v>
      </x:c>
    </x:row>
    <x:row r="10" ht="52" customHeight="1">
      <x:c r="A10" s="21" t="str">
        <x:v>1 Base</x:v>
      </x:c>
      <x:c r="B10" s="21" t="str">
        <x:v>Capital basis unlocked</x:v>
      </x:c>
      <x:c r="C10" s="21" t="str">
        <x:v>Run first design point</x:v>
      </x:c>
      <x:c r="D10" s="21" t="str">
        <x:v>Obtain product, CAPEX, SEC and LCOW</x:v>
      </x:c>
      <x:c r="E10" s="21" t="str">
        <x:v>Create common base</x:v>
      </x:c>
      <x:c r="F10" s="21" t="str">
        <x:v>Identify constraint direction</x:v>
      </x:c>
      <x:c r="G10" s="21" t="str">
        <x:v>Run alternatives</x:v>
      </x:c>
      <x:c r="H10" s="21" t="str">
        <x:v>State representation</x:v>
      </x:c>
    </x:row>
    <x:row r="11" ht="52" customHeight="1">
      <x:c r="A11" s="21" t="str">
        <x:v>2 Candidates</x:v>
      </x:c>
      <x:c r="B11" s="21" t="str">
        <x:v>Discrete set known</x:v>
      </x:c>
      <x:c r="C11" s="21" t="str">
        <x:v>Vary each specified input</x:v>
      </x:c>
      <x:c r="D11" s="21" t="str">
        <x:v>Hold non-target inputs fixed</x:v>
      </x:c>
      <x:c r="E11" s="21" t="str">
        <x:v>Product and total CAPEX</x:v>
      </x:c>
      <x:c r="F11" s="21" t="str">
        <x:v>Eliminate obvious failures</x:v>
      </x:c>
      <x:c r="G11" s="21" t="str">
        <x:v>Complete key boundary</x:v>
      </x:c>
      <x:c r="H11" s="21" t="str">
        <x:v>One-at-a-time control</x:v>
      </x:c>
    </x:row>
    <x:row r="12" ht="52" customHeight="1">
      <x:c r="A12" s="21" t="str">
        <x:v>3 Boundary</x:v>
      </x:c>
      <x:c r="B12" s="21" t="str">
        <x:v>Passing region formed</x:v>
      </x:c>
      <x:c r="C12" s="21" t="str">
        <x:v>Compare adjacent/alternative cases</x:v>
      </x:c>
      <x:c r="D12" s="21" t="str">
        <x:v>Identify controlling criterion</x:v>
      </x:c>
      <x:c r="E12" s="21" t="str">
        <x:v>Increment or capital intensity</x:v>
      </x:c>
      <x:c r="F12" s="21" t="str">
        <x:v>Lock candidate</x:v>
      </x:c>
      <x:c r="G12" s="21" t="str">
        <x:v>Handle external add-ons</x:v>
      </x:c>
      <x:c r="H12" s="21" t="str">
        <x:v>Boundary proof</x:v>
      </x:c>
    </x:row>
    <x:row r="13" ht="52" customHeight="1">
      <x:c r="A13" s="21" t="str">
        <x:v>4 External basis</x:v>
      </x:c>
      <x:c r="B13" s="21" t="str">
        <x:v>Tool outputs locked</x:v>
      </x:c>
      <x:c r="C13" s="21" t="str">
        <x:v>Add multiplier/premium/index/contingency</x:v>
      </x:c>
      <x:c r="D13" s="21" t="str">
        <x:v>Do not rewrite tool facts</x:v>
      </x:c>
      <x:c r="E13" s="21" t="str">
        <x:v>Transparent formulas</x:v>
      </x:c>
      <x:c r="F13" s="21" t="str">
        <x:v>Create approval basis</x:v>
      </x:c>
      <x:c r="G13" s="21" t="str">
        <x:v>Test budget</x:v>
      </x:c>
      <x:c r="H13" s="21" t="str">
        <x:v>Basis distinction</x:v>
      </x:c>
    </x:row>
    <x:row r="14" ht="52" customHeight="1">
      <x:c r="A14" s="21" t="str">
        <x:v>5 Decision</x:v>
      </x:c>
      <x:c r="B14" s="21" t="str">
        <x:v>Evidence complete</x:v>
      </x:c>
      <x:c r="C14" s="21" t="str">
        <x:v>Rank and screen</x:v>
      </x:c>
      <x:c r="D14" s="21" t="str">
        <x:v>The simulator does not contain membrane-model purchase premiums. Add the premium externally; do not treat simulated CAPEX as the final vendor quotation.</x:v>
      </x:c>
      <x:c r="E14" s="21" t="str">
        <x:v>Hard constraints before objective</x:v>
      </x:c>
      <x:c r="F14" s="21" t="str">
        <x:v>Recommend</x:v>
      </x:c>
      <x:c r="G14" s="21" t="str">
        <x:v>Check model boundary</x:v>
      </x:c>
      <x:c r="H14" s="21" t="str">
        <x:v>Engineering judgment</x:v>
      </x:c>
    </x:row>
    <x:row r="15" ht="52" customHeight="1">
      <x:c r="A15" s="21" t="str">
        <x:v>6 Stop</x:v>
      </x:c>
      <x:c r="B15" s="21" t="str">
        <x:v>Unique result or explicit tradeoff</x:v>
      </x:c>
      <x:c r="C15" s="21" t="str">
        <x:v>Summarize</x:v>
      </x:c>
      <x:c r="D15" s="21" t="str">
        <x:v>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E15" s="21" t="str">
        <x:v>Recheck units and currency</x:v>
      </x:c>
      <x:c r="F15" s="21" t="str">
        <x:v>Complete Gold Answer</x:v>
      </x:c>
      <x:c r="G15" s="21" t="str">
        <x:v>Stop</x:v>
      </x:c>
      <x:c r="H15" s="21" t="str">
        <x:v>Convergence</x:v>
      </x:c>
    </x:row>
    <x:row r="18">
      <x:c r="A18" s="11" t="str">
        <x:v>6 actual simulate_swro_system calls</x:v>
      </x:c>
      <x:c r="B18" s="11" t="str">
        <x:v>6 actual simulate_swro_system calls</x:v>
      </x:c>
      <x:c r="C18" s="11" t="str">
        <x:v>6 actual simulate_swro_system calls</x:v>
      </x:c>
      <x:c r="D18" s="11" t="str">
        <x:v>6 actual simulate_swro_system calls</x:v>
      </x:c>
      <x:c r="E18" s="11" t="str">
        <x:v>6 actual simulate_swro_system calls</x:v>
      </x:c>
      <x:c r="F18" s="11" t="str">
        <x:v>6 actual simulate_swro_system calls</x:v>
      </x:c>
      <x:c r="G18" s="11" t="str">
        <x:v>6 actual simulate_swro_system calls</x:v>
      </x:c>
      <x:c r="H18" s="11" t="str">
        <x:v>6 actual simulate_swro_system calls</x:v>
      </x:c>
      <x:c r="I18" s="11" t="str">
        <x:v>6 actual simulate_swro_system calls</x:v>
      </x:c>
      <x:c r="J18" s="11" t="str">
        <x:v>6 actual simulate_swro_system calls</x:v>
      </x:c>
      <x:c r="K18" s="11" t="str">
        <x:v>6 actual simulate_swro_system calls</x:v>
      </x:c>
      <x:c r="L18" s="11" t="str">
        <x:v>6 actual simulate_swro_system calls</x:v>
      </x:c>
      <x:c r="M18" s="11" t="str">
        <x:v>6 actual simulate_swro_system calls</x:v>
      </x:c>
      <x:c r="N18" s="11" t="str">
        <x:v>6 actual simulate_swro_system calls</x:v>
      </x:c>
      <x:c r="O18" s="11" t="str">
        <x:v>6 actual simulate_swro_system calls</x:v>
      </x:c>
      <x:c r="P18" s="11" t="str">
        <x:v>6 actual simulate_swro_system calls</x:v>
      </x:c>
      <x:c r="Q18" s="11" t="str">
        <x:v>6 actual simulate_swro_system calls</x:v>
      </x:c>
      <x:c r="R18" s="11" t="str">
        <x:v>6 actual simulate_swro_system calls</x:v>
      </x:c>
      <x:c r="T18" t="str">
        <x:v>Scenario</x:v>
      </x:c>
      <x:c r="U18" t="str">
        <x:v>Total CAPEX $m</x:v>
      </x:c>
      <x:c r="V18" t="str">
        <x:v>Reference</x:v>
      </x:c>
    </x:row>
    <x:row r="19">
      <x:c r="A19" s="17" t="str">
        <x:v>Call</x:v>
      </x:c>
      <x:c r="B19" s="17" t="str">
        <x:v>Scenario</x:v>
      </x:c>
      <x:c r="C19" s="17" t="str">
        <x:v>Decision variable</x:v>
      </x:c>
      <x:c r="D19" s="17" t="str">
        <x:v>Input/configuration</x:v>
      </x:c>
      <x:c r="E19" s="17" t="str">
        <x:v>Product m³/s</x:v>
      </x:c>
      <x:c r="F19" s="17" t="str">
        <x:v>Total product m³/d</x:v>
      </x:c>
      <x:c r="G19" s="17" t="str">
        <x:v>Recovery %</x:v>
      </x:c>
      <x:c r="H19" s="17" t="str">
        <x:v>Modeled CAPEX per call</x:v>
      </x:c>
      <x:c r="I19" s="17" t="str">
        <x:v>Train/multiplier</x:v>
      </x:c>
      <x:c r="J19" s="17" t="str">
        <x:v>Total CAPEX</x:v>
      </x:c>
      <x:c r="K19" s="17" t="str">
        <x:v>ΔCAPEX</x:v>
      </x:c>
      <x:c r="L19" s="17" t="str">
        <x:v>Capital intensity</x:v>
      </x:c>
      <x:c r="M19" s="17" t="str">
        <x:v>SEC</x:v>
      </x:c>
      <x:c r="N19" s="17" t="str">
        <x:v>LCOW</x:v>
      </x:c>
      <x:c r="O19" s="17" t="str">
        <x:v>P1 kW</x:v>
      </x:c>
      <x:c r="P19" s="17" t="str">
        <x:v>P2/ERD kW</x:v>
      </x:c>
      <x:c r="Q19" s="17" t="str">
        <x:v>Decision</x:v>
      </x:c>
      <x:c r="R19" s="17" t="str">
        <x:v>Observation</x:v>
      </x:c>
      <x:c r="T19" t="str">
        <x:f>B20</x:f>
        <x:v>Standard 17,000 m²</x:v>
      </x:c>
      <x:c r="U19" t="n">
        <x:f>J20/1000000</x:f>
        <x:v>27.699712417835507</x:v>
      </x:c>
      <x:c r="V19" t="n">
        <x:f>27699712.417835508/1000000</x:f>
        <x:v>27.699712417835507</x:v>
      </x:c>
    </x:row>
    <x:row r="20" ht="32" customHeight="1">
      <x:c r="A20" s="21" t="n">
        <x:v>1</x:v>
      </x:c>
      <x:c r="B20" s="21" t="str">
        <x:v>Standard 17,000 m²</x:v>
      </x:c>
      <x:c r="C20" s="21" t="str">
        <x:v>Membrane type / area</x:v>
      </x:c>
      <x:c r="D20" s="21" t="str">
        <x:v>4.2e-12/17000</x:v>
      </x:c>
      <x:c r="E20" s="35" t="n">
        <x:v>0.15713060380581048</x:v>
      </x:c>
      <x:c r="F20" s="22" t="n">
        <x:f>E20*86400*I20</x:f>
        <x:v>13576.084168822026</x:v>
      </x:c>
      <x:c r="G20" s="22" t="n">
        <x:v>37.59238503158498</x:v>
      </x:c>
      <x:c r="H20" s="22" t="n">
        <x:v>27699712.417835508</x:v>
      </x:c>
      <x:c r="I20" s="22" t="n">
        <x:v>1</x:v>
      </x:c>
      <x:c r="J20" s="22" t="n">
        <x:f>H20*I20</x:f>
        <x:v>27699712.417835508</x:v>
      </x:c>
      <x:c r="K20" s="22" t="n">
        <x:f>J20-$J$20</x:f>
        <x:v>0</x:v>
      </x:c>
      <x:c r="L20" s="22" t="n">
        <x:f>J20/F20</x:f>
        <x:v>2040.3315177913312</x:v>
      </x:c>
      <x:c r="M20" s="22" t="n">
        <x:v>3.126775762768327</x:v>
      </x:c>
      <x:c r="N20" s="22" t="n">
        <x:v>0.8472132514129721</x:v>
      </x:c>
      <x:c r="O20" s="22" t="n">
        <x:v>1308.5800501619156</x:v>
      </x:c>
      <x:c r="P20" s="22" t="n">
        <x:v>229.24719343880773</x:v>
      </x:c>
      <x:c r="Q20" s="21" t="str">
        <x:v>PASS; minimum standard</x:v>
      </x:c>
      <x:c r="R20" s="21" t="str">
        <x:v>Reference</x:v>
      </x:c>
      <x:c r="T20" t="str">
        <x:f>B21</x:f>
        <x:v>Standard 18,000 m²</x:v>
      </x:c>
      <x:c r="U20" t="n">
        <x:f>J21/1000000</x:f>
        <x:v>28.034333170281872</x:v>
      </x:c>
      <x:c r="V20" t="n">
        <x:f>27699712.417835508/1000000</x:f>
        <x:v>27.699712417835507</x:v>
      </x:c>
    </x:row>
    <x:row r="21" ht="32" customHeight="1">
      <x:c r="A21" s="21" t="n">
        <x:v>2</x:v>
      </x:c>
      <x:c r="B21" s="21" t="str">
        <x:v>Standard 18,000 m²</x:v>
      </x:c>
      <x:c r="C21" s="21" t="str">
        <x:v>Membrane type / area</x:v>
      </x:c>
      <x:c r="D21" s="21" t="str">
        <x:v>4.2e-12/18000</x:v>
      </x:c>
      <x:c r="E21" s="35" t="n">
        <x:v>0.16289006461580482</x:v>
      </x:c>
      <x:c r="F21" s="22" t="n">
        <x:f>E21*86400*I21</x:f>
        <x:v>14073.701582805537</x:v>
      </x:c>
      <x:c r="G21" s="22" t="n">
        <x:v>38.970100545417544</x:v>
      </x:c>
      <x:c r="H21" s="22" t="n">
        <x:v>28034333.170281872</x:v>
      </x:c>
      <x:c r="I21" s="22" t="n">
        <x:v>1</x:v>
      </x:c>
      <x:c r="J21" s="22" t="n">
        <x:f>H21*I21</x:f>
        <x:v>28034333.170281872</x:v>
      </x:c>
      <x:c r="K21" s="22" t="n">
        <x:f>J21-$J$20</x:f>
        <x:v>334620.7524463646</x:v>
      </x:c>
      <x:c r="L21" s="22" t="n">
        <x:f>J21/F21</x:f>
        <x:v>1991.965866643972</x:v>
      </x:c>
      <x:c r="M21" s="22" t="n">
        <x:v>3.1150147141178137</x:v>
      </x:c>
      <x:c r="N21" s="22" t="n">
        <x:v>0.8303964921183279</x:v>
      </x:c>
      <x:c r="O21" s="22" t="n">
        <x:v>1356.505759599477</x:v>
      </x:c>
      <x:c r="P21" s="22" t="n">
        <x:v>230.81524180869195</x:v>
      </x:c>
      <x:c r="Q21" s="21" t="str">
        <x:v>PASS</x:v>
      </x:c>
      <x:c r="R21" s="21" t="str">
        <x:v>Larger area</x:v>
      </x:c>
      <x:c r="T21" t="str">
        <x:f>B22</x:f>
        <x:v>Standard 19,000 m²</x:v>
      </x:c>
      <x:c r="U21" t="n">
        <x:f>J22/1000000</x:f>
        <x:v>28.35386306924908</x:v>
      </x:c>
      <x:c r="V21" t="n">
        <x:f>27699712.417835508/1000000</x:f>
        <x:v>27.699712417835507</x:v>
      </x:c>
    </x:row>
    <x:row r="22" ht="32" customHeight="1">
      <x:c r="A22" s="21" t="n">
        <x:v>3</x:v>
      </x:c>
      <x:c r="B22" s="21" t="str">
        <x:v>Standard 19,000 m²</x:v>
      </x:c>
      <x:c r="C22" s="21" t="str">
        <x:v>Membrane type / area</x:v>
      </x:c>
      <x:c r="D22" s="21" t="str">
        <x:v>4.2e-12/19000</x:v>
      </x:c>
      <x:c r="E22" s="35" t="n">
        <x:v>0.16836462527265172</x:v>
      </x:c>
      <x:c r="F22" s="22" t="n">
        <x:f>E22*86400*I22</x:f>
        <x:v>14546.703623557109</x:v>
      </x:c>
      <x:c r="G22" s="22" t="n">
        <x:v>40.27964029345388</x:v>
      </x:c>
      <x:c r="H22" s="22" t="n">
        <x:v>28353863.06924908</x:v>
      </x:c>
      <x:c r="I22" s="22" t="n">
        <x:v>1</x:v>
      </x:c>
      <x:c r="J22" s="22" t="n">
        <x:f>H22*I22</x:f>
        <x:v>28353863.06924908</x:v>
      </x:c>
      <x:c r="K22" s="22" t="n">
        <x:f>J22-$J$20</x:f>
        <x:v>654150.6514135711</x:v>
      </x:c>
      <x:c r="L22" s="22" t="n">
        <x:f>J22/F22</x:f>
        <x:v>1949.1607035515929</x:v>
      </x:c>
      <x:c r="M22" s="22" t="n">
        <x:v>3.1045420118685962</x:v>
      </x:c>
      <x:c r="N22" s="22" t="n">
        <x:v>0.8155620870599213</x:v>
      </x:c>
      <x:c r="O22" s="22" t="n">
        <x:v>1402.0565110356783</x:v>
      </x:c>
      <x:c r="P22" s="22" t="n">
        <x:v>232.28611000208457</x:v>
      </x:c>
      <x:c r="Q22" s="21" t="str">
        <x:v>PASS</x:v>
      </x:c>
      <x:c r="R22" s="21" t="str">
        <x:v>Larger area</x:v>
      </x:c>
      <x:c r="T22" t="str">
        <x:f>B23</x:f>
        <x:v>High-flux 14,000 m²</x:v>
      </x:c>
      <x:c r="U22" t="n">
        <x:f>J23/1000000</x:f>
        <x:v>27.119135850505955</x:v>
      </x:c>
      <x:c r="V22" t="n">
        <x:f>27699712.417835508/1000000</x:f>
        <x:v>27.699712417835507</x:v>
      </x:c>
    </x:row>
    <x:row r="23" ht="32" customHeight="1">
      <x:c r="A23" s="21" t="n">
        <x:v>4</x:v>
      </x:c>
      <x:c r="B23" s="21" t="str">
        <x:v>High-flux 14,000 m²</x:v>
      </x:c>
      <x:c r="C23" s="21" t="str">
        <x:v>Membrane type / area</x:v>
      </x:c>
      <x:c r="D23" s="21" t="str">
        <x:v>5.0e-12/14000</x:v>
      </x:c>
      <x:c r="E23" s="35" t="n">
        <x:v>0.15004868843995536</x:v>
      </x:c>
      <x:c r="F23" s="22" t="n">
        <x:f>E23*86400*I23</x:f>
        <x:v>12964.206681212143</x:v>
      </x:c>
      <x:c r="G23" s="22" t="n">
        <x:v>35.89883855738502</x:v>
      </x:c>
      <x:c r="H23" s="22" t="n">
        <x:v>27119135.850505956</x:v>
      </x:c>
      <x:c r="I23" s="22" t="n">
        <x:v>1</x:v>
      </x:c>
      <x:c r="J23" s="22" t="n">
        <x:f>H23*I23</x:f>
        <x:v>27119135.850505956</x:v>
      </x:c>
      <x:c r="K23" s="22" t="n">
        <x:f>J23-$J$20</x:f>
        <x:v>-580576.567329552</x:v>
      </x:c>
      <x:c r="L23" s="22" t="n">
        <x:f>J23/F23</x:f>
        <x:v>2091.8469226356347</x:v>
      </x:c>
      <x:c r="M23" s="22" t="n">
        <x:v>3.113044391498251</x:v>
      </x:c>
      <x:c r="N23" s="22" t="n">
        <x:v>0.8622919097828782</x:v>
      </x:c>
      <x:c r="O23" s="22" t="n">
        <x:v>1249.6615361745858</x:v>
      </x:c>
      <x:c r="P23" s="22" t="n">
        <x:v>211.4098115862513</x:v>
      </x:c>
      <x:c r="Q23" s="21" t="str">
        <x:v>FAIL</x:v>
      </x:c>
      <x:c r="R23" s="21" t="str">
        <x:v>Insufficient area</x:v>
      </x:c>
      <x:c r="T23" t="str">
        <x:f>B24</x:f>
        <x:v>High-flux 15,000 m²</x:v>
      </x:c>
      <x:c r="U23" t="n">
        <x:f>J24/1000000</x:f>
        <x:v>27.510124489778274</x:v>
      </x:c>
      <x:c r="V23" t="n">
        <x:f>27699712.417835508/1000000</x:f>
        <x:v>27.699712417835507</x:v>
      </x:c>
    </x:row>
    <x:row r="24" ht="32" customHeight="1">
      <x:c r="A24" s="21" t="n">
        <x:v>5</x:v>
      </x:c>
      <x:c r="B24" s="21" t="str">
        <x:v>High-flux 15,000 m²</x:v>
      </x:c>
      <x:c r="C24" s="21" t="str">
        <x:v>Membrane type / area</x:v>
      </x:c>
      <x:c r="D24" s="21" t="str">
        <x:v>5.0e-12/15000</x:v>
      </x:c>
      <x:c r="E24" s="35" t="n">
        <x:v>0.15698378628669096</x:v>
      </x:c>
      <x:c r="F24" s="22" t="n">
        <x:f>E24*86400*I24</x:f>
        <x:v>13563.399135170099</x:v>
      </x:c>
      <x:c r="G24" s="22" t="n">
        <x:v>37.557861353260655</x:v>
      </x:c>
      <x:c r="H24" s="22" t="n">
        <x:v>27510124.489778273</x:v>
      </x:c>
      <x:c r="I24" s="22" t="n">
        <x:v>1</x:v>
      </x:c>
      <x:c r="J24" s="22" t="n">
        <x:f>H24*I24</x:f>
        <x:v>27510124.489778273</x:v>
      </x:c>
      <x:c r="K24" s="22" t="n">
        <x:f>J24-$J$20</x:f>
        <x:v>-189587.92805723473</x:v>
      </x:c>
      <x:c r="L24" s="22" t="n">
        <x:f>J24/F24</x:f>
        <x:v>2028.2618107465485</x:v>
      </x:c>
      <x:c r="M24" s="22" t="n">
        <x:v>3.098078949576905</x:v>
      </x:c>
      <x:c r="N24" s="22" t="n">
        <x:v>0.8400793650782463</x:v>
      </x:c>
      <x:c r="O24" s="22" t="n">
        <x:v>1307.377357042437</x:v>
      </x:c>
      <x:c r="P24" s="22" t="n">
        <x:v>212.7946424783067</x:v>
      </x:c>
      <x:c r="Q24" s="21" t="str">
        <x:v>PASS; minimum high-flux</x:v>
      </x:c>
      <x:c r="R24" s="21" t="str">
        <x:v>Procurement candidate</x:v>
      </x:c>
      <x:c r="T24" t="str">
        <x:f>B25</x:f>
        <x:v>High-flux 16,000 m²</x:v>
      </x:c>
      <x:c r="U24" t="n">
        <x:f>J25/1000000</x:f>
        <x:v>27.880581678469074</x:v>
      </x:c>
      <x:c r="V24" t="n">
        <x:f>27699712.417835508/1000000</x:f>
        <x:v>27.699712417835507</x:v>
      </x:c>
    </x:row>
    <x:row r="25" ht="32" customHeight="1">
      <x:c r="A25" s="21" t="n">
        <x:v>6</x:v>
      </x:c>
      <x:c r="B25" s="21" t="str">
        <x:v>High-flux 16,000 m²</x:v>
      </x:c>
      <x:c r="C25" s="21" t="str">
        <x:v>Membrane type / area</x:v>
      </x:c>
      <x:c r="D25" s="21" t="str">
        <x:v>5.0e-12/16000</x:v>
      </x:c>
      <x:c r="E25" s="35" t="n">
        <x:v>0.16353872768875596</x:v>
      </x:c>
      <x:c r="F25" s="22" t="n">
        <x:f>E25*86400*I25</x:f>
        <x:v>14129.746072308515</x:v>
      </x:c>
      <x:c r="G25" s="22" t="n">
        <x:v>39.12591436391865</x:v>
      </x:c>
      <x:c r="H25" s="22" t="n">
        <x:v>27880581.678469073</x:v>
      </x:c>
      <x:c r="I25" s="22" t="n">
        <x:v>1</x:v>
      </x:c>
      <x:c r="J25" s="22" t="n">
        <x:f>H25*I25</x:f>
        <x:v>27880581.678469073</x:v>
      </x:c>
      <x:c r="K25" s="22" t="n">
        <x:f>J25-$J$20</x:f>
        <x:v>180869.2606335655</x:v>
      </x:c>
      <x:c r="L25" s="22" t="n">
        <x:f>J25/F25</x:f>
        <x:v>1973.1834907570953</x:v>
      </x:c>
      <x:c r="M25" s="22" t="n">
        <x:v>3.0849993768432453</x:v>
      </x:c>
      <x:c r="N25" s="22" t="n">
        <x:v>0.8208972438687367</x:v>
      </x:c>
      <x:c r="O25" s="22" t="n">
        <x:v>1361.9238446365714</x:v>
      </x:c>
      <x:c r="P25" s="22" t="n">
        <x:v>214.04949601626637</x:v>
      </x:c>
      <x:c r="Q25" s="21" t="str">
        <x:v>PASS</x:v>
      </x:c>
      <x:c r="R25" s="21" t="str">
        <x:v>Larger area</x:v>
      </x:c>
    </x:row>
    <x:row r="30">
      <x:c r="A30" s="11" t="str">
        <x:v>Decision calculations</x:v>
      </x:c>
      <x:c r="B30" s="11" t="str">
        <x:v>Decision calculations</x:v>
      </x:c>
      <x:c r="C30" s="11" t="str">
        <x:v>Decision calculations</x:v>
      </x:c>
      <x:c r="D30" s="11" t="str">
        <x:v>Decision calculations</x:v>
      </x:c>
      <x:c r="E30" s="11" t="str">
        <x:v>Decision calculations</x:v>
      </x:c>
      <x:c r="F30" s="11" t="str">
        <x:v>Decision calculations</x:v>
      </x:c>
      <x:c r="G30" s="11" t="str">
        <x:v>Decision calculations</x:v>
      </x:c>
      <x:c r="H30" s="11" t="str">
        <x:v>Decision calculations</x:v>
      </x:c>
    </x:row>
    <x:row r="31">
      <x:c r="A31" s="17" t="str">
        <x:v>Item</x:v>
      </x:c>
      <x:c r="B31" s="17" t="str">
        <x:v>Option A</x:v>
      </x:c>
      <x:c r="C31" s="17" t="str">
        <x:v>Option B</x:v>
      </x:c>
      <x:c r="D31" s="17" t="str">
        <x:v>Option C</x:v>
      </x:c>
      <x:c r="E31" s="17" t="str">
        <x:v>Formula/basis</x:v>
      </x:c>
      <x:c r="F31" s="17" t="str">
        <x:v>Constraint</x:v>
      </x:c>
      <x:c r="G31" s="17" t="str">
        <x:v>Result</x:v>
      </x:c>
      <x:c r="H31" s="17" t="str">
        <x:v>Engineering interpretation</x:v>
      </x:c>
    </x:row>
    <x:row r="32" ht="50" customHeight="1">
      <x:c r="A32" s="21" t="str">
        <x:v>Minimum passing area</x:v>
      </x:c>
      <x:c r="B32" s="22" t="n">
        <x:v>17000</x:v>
      </x:c>
      <x:c r="C32" s="22" t="n">
        <x:v>15000</x:v>
      </x:c>
      <x:c r="D32" s="22"/>
      <x:c r="E32" s="21" t="str">
        <x:v>Specified area grid</x:v>
      </x:c>
      <x:c r="F32" s="21" t="str">
        <x:v>&gt;= 13,500</x:v>
      </x:c>
      <x:c r="G32" s="21" t="str">
        <x:v>High-flux saves 2,000 m²</x:v>
      </x:c>
      <x:c r="H32" s="21" t="str">
        <x:v>Similar product</x:v>
      </x:c>
    </x:row>
    <x:row r="33" ht="50" customHeight="1">
      <x:c r="A33" s="21" t="str">
        <x:v>Modeled CAPEX saving</x:v>
      </x:c>
      <x:c r="B33" s="22" t="n">
        <x:f>J20-J24</x:f>
        <x:v>189587.92805723473</x:v>
      </x:c>
      <x:c r="C33" s="22"/>
      <x:c r="D33" s="22"/>
      <x:c r="E33" s="21" t="str">
        <x:v>Standard − high-flux</x:v>
      </x:c>
      <x:c r="F33" s="21" t="str">
        <x:v>—</x:v>
      </x:c>
      <x:c r="G33" s="21" t="str">
        <x:v>$189,587.93</x:v>
      </x:c>
      <x:c r="H33" s="21" t="str">
        <x:v>Excludes membrane premium</x:v>
      </x:c>
    </x:row>
    <x:row r="34" ht="50" customHeight="1">
      <x:c r="A34" s="21" t="str">
        <x:v>High-flux element count</x:v>
      </x:c>
      <x:c r="B34" s="22" t="n">
        <x:f>ROUNDUP(15000/40.8,0)</x:f>
        <x:v>368</x:v>
      </x:c>
      <x:c r="C34" s="22"/>
      <x:c r="D34" s="22"/>
      <x:c r="E34" s="21" t="str">
        <x:v>ROUNDUP(15,000/40.8,0)</x:v>
      </x:c>
      <x:c r="F34" s="21" t="str">
        <x:v>Integer</x:v>
      </x:c>
      <x:c r="G34" s="21" t="str">
        <x:v>368 elements</x:v>
      </x:c>
      <x:c r="H34" s="21" t="str">
        <x:v>Round up</x:v>
      </x:c>
    </x:row>
    <x:row r="35" ht="50" customHeight="1">
      <x:c r="A35" s="21" t="str">
        <x:v>Maximum premium</x:v>
      </x:c>
      <x:c r="B35" s="22" t="n">
        <x:f>B33/B34</x:f>
        <x:v>515.184587112051</x:v>
      </x:c>
      <x:c r="C35" s="22"/>
      <x:c r="D35" s="22"/>
      <x:c r="E35" s="21" t="str">
        <x:v>CAPEX saving / 368</x:v>
      </x:c>
      <x:c r="F35" s="21" t="str">
        <x:v>—</x:v>
      </x:c>
      <x:c r="G35" s="21" t="str">
        <x:v>$515.18/element</x:v>
      </x:c>
      <x:c r="H35" s="21" t="str">
        <x:v>$450 quote acceptable</x:v>
      </x:c>
    </x:row>
    <x:row r="36" ht="50" customHeight="1">
      <x:c r="A36" s="21" t="str">
        <x:v>Net saving after quote</x:v>
      </x:c>
      <x:c r="B36" s="22" t="n">
        <x:f>B33-450*B34</x:f>
        <x:v>23987.928057234734</x:v>
      </x:c>
      <x:c r="C36" s="22"/>
      <x:c r="D36" s="22"/>
      <x:c r="E36" s="21" t="str">
        <x:v>Saving − 450 × 368</x:v>
      </x:c>
      <x:c r="F36" s="21" t="str">
        <x:v>&gt; 0</x:v>
      </x:c>
      <x:c r="G36" s="21" t="str">
        <x:v>About $23,988</x:v>
      </x:c>
      <x:c r="H36" s="21" t="str">
        <x:v>Choose high-flux membrane</x:v>
      </x:c>
    </x:row>
    <x:row r="37">
      <x:c r="B37" s="36"/>
      <x:c r="C37" s="36"/>
      <x:c r="D37" s="36"/>
    </x:row>
    <x:row r="39">
      <x:c r="A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B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C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D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E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F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G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H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I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J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K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L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M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N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O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P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Q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R39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</x:row>
    <x:row r="40">
      <x:c r="A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B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C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D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E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F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G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H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I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J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K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L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M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N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O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P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Q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R40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</x:row>
    <x:row r="41">
      <x:c r="A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B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C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D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E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F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G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H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I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J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K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L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M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N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O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P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Q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R41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</x:row>
    <x:row r="42">
      <x:c r="A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B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C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D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E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F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G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H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I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J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K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L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M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N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O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P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Q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R42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</x:row>
    <x:row r="43">
      <x:c r="A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B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C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D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E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F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G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H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I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J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K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L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M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N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O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P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Q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R43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</x:row>
    <x:row r="44">
      <x:c r="A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B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C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D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E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F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G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H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I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J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K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L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M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N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O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P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Q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R44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</x:row>
    <x:row r="45">
      <x:c r="A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B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C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D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E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F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G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H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I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J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K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L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M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N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O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P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Q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R45" s="34" t="str">
        <x:v>Final conclusion
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</x:row>
  </x:sheetData>
  <x:mergeCells>
    <x:mergeCell ref="A1:V2"/>
    <x:mergeCell ref="A4:V6"/>
    <x:mergeCell ref="A8:H8"/>
    <x:mergeCell ref="A18:R18"/>
    <x:mergeCell ref="A30:H30"/>
    <x:mergeCell ref="A39:R45"/>
  </x:mergeCells>
  <x:pageMargins left="0.7" right="0.7" top="0.75" bottom="0.75" header="0.3" footer="0.3"/>
  <x:drawing xmlns:r="http://schemas.openxmlformats.org/officeDocument/2006/relationships" r:id="R2d8ecd718e2c407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D4_4a N04: Trajectory Rubric (100 points)</x:v>
      </x:c>
      <x:c r="B1" s="4" t="str">
        <x:v>D4_4a N04: Trajectory Rubric (100 points)</x:v>
      </x:c>
      <x:c r="C1" s="4" t="str">
        <x:v>D4_4a N04: Trajectory Rubric (100 points)</x:v>
      </x:c>
      <x:c r="D1" s="4" t="str">
        <x:v>D4_4a N04: Trajectory Rubric (100 points)</x:v>
      </x:c>
      <x:c r="E1" s="4" t="str">
        <x:v>D4_4a N04: Trajectory Rubric (100 points)</x:v>
      </x:c>
      <x:c r="F1" s="4" t="str">
        <x:v>D4_4a N04: Trajectory Rubric (100 points)</x:v>
      </x:c>
      <x:c r="G1" s="4" t="str">
        <x:v>D4_4a N04: Trajectory Rubric (100 points)</x:v>
      </x:c>
    </x:row>
    <x:row r="2" ht="26" customHeight="1">
      <x:c r="A2" s="4" t="str">
        <x:v>D4_4a N04: Trajectory Rubric (100 points)</x:v>
      </x:c>
      <x:c r="B2" s="4" t="str">
        <x:v>D4_4a N04: Trajectory Rubric (100 points)</x:v>
      </x:c>
      <x:c r="C2" s="4" t="str">
        <x:v>D4_4a N04: Trajectory Rubric (100 points)</x:v>
      </x:c>
      <x:c r="D2" s="4" t="str">
        <x:v>D4_4a N04: Trajectory Rubric (100 points)</x:v>
      </x:c>
      <x:c r="E2" s="4" t="str">
        <x:v>D4_4a N04: Trajectory Rubric (100 points)</x:v>
      </x:c>
      <x:c r="F2" s="4" t="str">
        <x:v>D4_4a N04: Trajectory Rubric (100 points)</x:v>
      </x:c>
      <x:c r="G2" s="4" t="str">
        <x:v>D4_4a N04: Trajectory Rubric (100 points)</x:v>
      </x:c>
    </x:row>
    <x:row r="4">
      <x:c r="A4" s="29" t="str">
        <x:v>Evaluate whether the agent converts design scale, equipment configuration, cost basis and hard constraints into an auditable full-plant simulation decision.</x:v>
      </x:c>
      <x:c r="B4" s="29" t="str">
        <x:v>Evaluate whether the agent converts design scale, equipment configuration, cost basis and hard constraints into an auditable full-plant simulation decision.</x:v>
      </x:c>
      <x:c r="C4" s="29" t="str">
        <x:v>Evaluate whether the agent converts design scale, equipment configuration, cost basis and hard constraints into an auditable full-plant simulation decision.</x:v>
      </x:c>
      <x:c r="D4" s="29" t="str">
        <x:v>Evaluate whether the agent converts design scale, equipment configuration, cost basis and hard constraints into an auditable full-plant simulation decision.</x:v>
      </x:c>
      <x:c r="E4" s="29" t="str">
        <x:v>Evaluate whether the agent converts design scale, equipment configuration, cost basis and hard constraints into an auditable full-plant simulation decision.</x:v>
      </x:c>
      <x:c r="F4" s="29" t="str">
        <x:v>Evaluate whether the agent converts design scale, equipment configuration, cost basis and hard constraints into an auditable full-plant simulation decision.</x:v>
      </x:c>
      <x:c r="G4" s="29" t="str">
        <x:v>Evaluate whether the agent converts design scale, equipment configuration, cost basis and hard constraints into an auditable full-plant simulation decision.</x:v>
      </x:c>
    </x:row>
    <x:row r="5">
      <x:c r="A5" s="29" t="str">
        <x:v>Evaluate whether the agent converts design scale, equipment configuration, cost basis and hard constraints into an auditable full-plant simulation decision.</x:v>
      </x:c>
      <x:c r="B5" s="29" t="str">
        <x:v>Evaluate whether the agent converts design scale, equipment configuration, cost basis and hard constraints into an auditable full-plant simulation decision.</x:v>
      </x:c>
      <x:c r="C5" s="29" t="str">
        <x:v>Evaluate whether the agent converts design scale, equipment configuration, cost basis and hard constraints into an auditable full-plant simulation decision.</x:v>
      </x:c>
      <x:c r="D5" s="29" t="str">
        <x:v>Evaluate whether the agent converts design scale, equipment configuration, cost basis and hard constraints into an auditable full-plant simulation decision.</x:v>
      </x:c>
      <x:c r="E5" s="29" t="str">
        <x:v>Evaluate whether the agent converts design scale, equipment configuration, cost basis and hard constraints into an auditable full-plant simulation decision.</x:v>
      </x:c>
      <x:c r="F5" s="29" t="str">
        <x:v>Evaluate whether the agent converts design scale, equipment configuration, cost basis and hard constraints into an auditable full-plant simulation decision.</x:v>
      </x:c>
      <x:c r="G5" s="29" t="str">
        <x:v>Evaluate whether the agent converts design scale, equipment configuration, cost basis and hard constraints into an auditable full-plant simulation decision.</x:v>
      </x:c>
    </x:row>
    <x:row r="6">
      <x:c r="A6" s="29" t="str">
        <x:v>Evaluate whether the agent converts design scale, equipment configuration, cost basis and hard constraints into an auditable full-plant simulation decision.</x:v>
      </x:c>
      <x:c r="B6" s="29" t="str">
        <x:v>Evaluate whether the agent converts design scale, equipment configuration, cost basis and hard constraints into an auditable full-plant simulation decision.</x:v>
      </x:c>
      <x:c r="C6" s="29" t="str">
        <x:v>Evaluate whether the agent converts design scale, equipment configuration, cost basis and hard constraints into an auditable full-plant simulation decision.</x:v>
      </x:c>
      <x:c r="D6" s="29" t="str">
        <x:v>Evaluate whether the agent converts design scale, equipment configuration, cost basis and hard constraints into an auditable full-plant simulation decision.</x:v>
      </x:c>
      <x:c r="E6" s="29" t="str">
        <x:v>Evaluate whether the agent converts design scale, equipment configuration, cost basis and hard constraints into an auditable full-plant simulation decision.</x:v>
      </x:c>
      <x:c r="F6" s="29" t="str">
        <x:v>Evaluate whether the agent converts design scale, equipment configuration, cost basis and hard constraints into an auditable full-plant simulation decision.</x:v>
      </x:c>
      <x:c r="G6" s="29" t="str">
        <x:v>Evaluate whether the agent converts design scale, equipment configuration, cost basis and hard constraints into an auditable full-plant simulation decision.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4" customHeight="1">
      <x:c r="A9" s="21" t="str">
        <x:v>TQ1 State</x:v>
      </x:c>
      <x:c r="B9" s="21" t="str">
        <x:v>Identify design boundary and hard constraints</x:v>
      </x:c>
      <x:c r="C9" s="21" t="str">
        <x:v>State currency, scale, candidate set and criteria</x:v>
      </x:c>
      <x:c r="D9" s="21" t="str">
        <x:v>One non-controlling constraint missing</x:v>
      </x:c>
      <x:c r="E9" s="21" t="str">
        <x:v>Mix scale or currency</x:v>
      </x:c>
      <x:c r="F9" s="21" t="n">
        <x:v>15</x:v>
      </x:c>
      <x:c r="G9" s="21"/>
    </x:row>
    <x:row r="10" ht="74" customHeight="1">
      <x:c r="A10" s="21" t="str">
        <x:v>TQ2 Tool calls</x:v>
      </x:c>
      <x:c r="B10" s="21" t="str">
        <x:v>Use whole-plant cost tool</x:v>
      </x:c>
      <x:c r="C10" s="21" t="str">
        <x:v>Complete valid simulate_swro_system calls for specified cases</x:v>
      </x:c>
      <x:c r="D10" s="21" t="str">
        <x:v>Minor noncritical deviations</x:v>
      </x:c>
      <x:c r="E10" s="21" t="str">
        <x:v>Use simulate_ro for whole-plant CAPEX</x:v>
      </x:c>
      <x:c r="F10" s="21" t="n">
        <x:v>20</x:v>
      </x:c>
      <x:c r="G10" s="21"/>
    </x:row>
    <x:row r="11" ht="74" customHeight="1">
      <x:c r="A11" s="21" t="str">
        <x:v>TQ3 Capital calculation</x:v>
      </x:c>
      <x:c r="B11" s="21" t="str">
        <x:v>Handle multipliers and units correctly</x:v>
      </x:c>
      <x:c r="C11" s="21" t="str">
        <x:v>Consistent product, total CAPEX and capital intensity</x:v>
      </x:c>
      <x:c r="D11" s="21" t="str">
        <x:v>Mostly right with one unclear basis</x:v>
      </x:c>
      <x:c r="E11" s="21" t="str">
        <x:v>Treat per-call/per-train cost as total</x:v>
      </x:c>
      <x:c r="F11" s="21" t="n">
        <x:v>20</x:v>
      </x:c>
      <x:c r="G11" s="21"/>
    </x:row>
    <x:row r="12" ht="74" customHeight="1">
      <x:c r="A12" s="21" t="str">
        <x:v>TQ4 Specialized calculation</x:v>
      </x:c>
      <x:c r="B12" s="21" t="str">
        <x:v>Complete case-specific increment/premium/escalation formula</x:v>
      </x:c>
      <x:c r="C12" s="21" t="str">
        <x:v>The simulator does not contain membrane-model purchase premiums. Add the premium externally; do not treat simulated CAPEX as the final vendor quotation.</x:v>
      </x:c>
      <x:c r="D12" s="21" t="str">
        <x:v>Close but one external add-on missing</x:v>
      </x:c>
      <x:c r="E12" s="21" t="str">
        <x:v>Present external add-on as tool output</x:v>
      </x:c>
      <x:c r="F12" s="21" t="n">
        <x:v>20</x:v>
      </x:c>
      <x:c r="G12" s="21"/>
    </x:row>
    <x:row r="13" ht="74" customHeight="1">
      <x:c r="A13" s="21" t="str">
        <x:v>TQ5 Interpretation</x:v>
      </x:c>
      <x:c r="B13" s="21" t="str">
        <x:v>Separate CAPEX, SEC, LCOW and model boundary</x:v>
      </x:c>
      <x:c r="C13" s="21" t="str">
        <x:v>Hard constraints first; explain tradeoff or counterintuitive result</x:v>
      </x:c>
      <x:c r="D13" s="21" t="str">
        <x:v>Conclusion right but explanation incomplete</x:v>
      </x:c>
      <x:c r="E13" s="21" t="str">
        <x:v>Substitute LCOW for CAPEX or omit model boundary</x:v>
      </x:c>
      <x:c r="F13" s="21" t="n">
        <x:v>15</x:v>
      </x:c>
      <x:c r="G13" s="21"/>
    </x:row>
    <x:row r="14" ht="74" customHeight="1">
      <x:c r="A14" s="21" t="str">
        <x:v>TQ6 Decision</x:v>
      </x:c>
      <x:c r="B14" s="21" t="str">
        <x:v>Give actionable conclusion</x:v>
      </x:c>
      <x:c r="C14" s="21" t="str">
        <x:v>The minimum passing standard area is 17,000 m², producing 13,576.</x:v>
      </x:c>
      <x:c r="D14" s="21" t="str">
        <x:v>Key result right but one number missing</x:v>
      </x:c>
      <x:c r="E14" s="21" t="str">
        <x:v>Recommend failing or over-budget option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55" customHeight="1">
      <x:c r="A18" s="21" t="str">
        <x:v>Tool evidence</x:v>
      </x:c>
      <x:c r="B18" s="21" t="str">
        <x:v>6 actual calls</x:v>
      </x:c>
      <x:c r="C18" s="21"/>
      <x:c r="D18" s="21"/>
      <x:c r="E18" s="21"/>
      <x:c r="F18" s="21"/>
      <x:c r="G18" s="21"/>
    </x:row>
    <x:row r="19" ht="78" customHeight="1">
      <x:c r="A19" s="21" t="str">
        <x:v>Final answer</x:v>
      </x:c>
      <x:c r="B19" s="21" t="str">
        <x:v>The minimum passing standard area is 17,000 m², producing 13,576.08 m³/d at CAPEX USD 27.700 million. The minimum passing high-permeability area is 15,000 m², producing 13,563.40 m³/d at modeled CAPEX USD 27.510 million. Modeled capital saving is USD 189,587.93. Rounding 15,000/40.8 up gives 368 elements, so the maximum extra premium is about USD 515.18 per element. A USD 450 premium costs USD 165,600 and leaves about USD 23,988 net capital saving; select the high-permeability membrane under the specified equal-B_comp and performance guarantee.</x:v>
      </x:c>
      <x:c r="C19" s="21"/>
      <x:c r="D19" s="21"/>
      <x:c r="E19" s="21"/>
      <x:c r="F19" s="21"/>
      <x:c r="G19" s="21"/>
    </x:row>
    <x:row r="20" ht="78" customHeight="1">
      <x:c r="A20" s="21" t="str">
        <x:v>Model boundary</x:v>
      </x:c>
      <x:c r="B20" s="21" t="str">
        <x:v>The simulator does not contain membrane-model purchase premiums. Add the premium externally; do not treat simulated CAPEX as the final vendor quotation.</x:v>
      </x:c>
      <x:c r="C20" s="21"/>
      <x:c r="D20" s="21"/>
      <x:c r="E20" s="21"/>
      <x:c r="F20" s="21"/>
      <x:c r="G20" s="21"/>
    </x:row>
    <x:row r="21" ht="55" customHeight="1">
      <x:c r="A21" s="21" t="str">
        <x:v>Tolerance</x:v>
      </x:c>
      <x:c r="B21" s="21" t="str">
        <x:v>CAPEX ±$0.02m; product ±5 m³/d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1" hidden="0" customWidth="1"/>
  </x:cols>
  <x:sheetData>
    <x:row r="1" ht="26" customHeight="1">
      <x:c r="A1" s="4" t="str">
        <x:v>D4_4a N04: Tool-Efficiency Rubric (100 points)</x:v>
      </x:c>
      <x:c r="B1" s="4" t="str">
        <x:v>D4_4a N04: Tool-Efficiency Rubric (100 points)</x:v>
      </x:c>
      <x:c r="C1" s="4" t="str">
        <x:v>D4_4a N04: Tool-Efficiency Rubric (100 points)</x:v>
      </x:c>
      <x:c r="D1" s="4" t="str">
        <x:v>D4_4a N04: Tool-Efficiency Rubric (100 points)</x:v>
      </x:c>
      <x:c r="E1" s="4" t="str">
        <x:v>D4_4a N04: Tool-Efficiency Rubric (100 points)</x:v>
      </x:c>
      <x:c r="F1" s="4" t="str">
        <x:v>D4_4a N04: Tool-Efficiency Rubric (100 points)</x:v>
      </x:c>
      <x:c r="G1" s="4" t="str">
        <x:v>D4_4a N04: Tool-Efficiency Rubric (100 points)</x:v>
      </x:c>
    </x:row>
    <x:row r="2" ht="26" customHeight="1">
      <x:c r="A2" s="4" t="str">
        <x:v>D4_4a N04: Tool-Efficiency Rubric (100 points)</x:v>
      </x:c>
      <x:c r="B2" s="4" t="str">
        <x:v>D4_4a N04: Tool-Efficiency Rubric (100 points)</x:v>
      </x:c>
      <x:c r="C2" s="4" t="str">
        <x:v>D4_4a N04: Tool-Efficiency Rubric (100 points)</x:v>
      </x:c>
      <x:c r="D2" s="4" t="str">
        <x:v>D4_4a N04: Tool-Efficiency Rubric (100 points)</x:v>
      </x:c>
      <x:c r="E2" s="4" t="str">
        <x:v>D4_4a N04: Tool-Efficiency Rubric (100 points)</x:v>
      </x:c>
      <x:c r="F2" s="4" t="str">
        <x:v>D4_4a N04: Tool-Efficiency Rubric (100 points)</x:v>
      </x:c>
      <x:c r="G2" s="4" t="str">
        <x:v>D4_4a N04: Tool-Efficiency Rubric (100 points)</x:v>
      </x:c>
    </x:row>
    <x:row r="4">
      <x:c r="A4" s="29" t="str">
        <x:v>The reference path uses 6 valid full-plant simulations. Score common baselining, variable control, information gain, transparent external calculations and timely stopping.</x:v>
      </x:c>
      <x:c r="B4" s="29" t="str">
        <x:v>The reference path uses 6 valid full-plant simulations. Score common baselining, variable control, information gain, transparent external calculations and timely stopping.</x:v>
      </x:c>
      <x:c r="C4" s="29" t="str">
        <x:v>The reference path uses 6 valid full-plant simulations. Score common baselining, variable control, information gain, transparent external calculations and timely stopping.</x:v>
      </x:c>
      <x:c r="D4" s="29" t="str">
        <x:v>The reference path uses 6 valid full-plant simulations. Score common baselining, variable control, information gain, transparent external calculations and timely stopping.</x:v>
      </x:c>
      <x:c r="E4" s="29" t="str">
        <x:v>The reference path uses 6 valid full-plant simulations. Score common baselining, variable control, information gain, transparent external calculations and timely stopping.</x:v>
      </x:c>
      <x:c r="F4" s="29" t="str">
        <x:v>The reference path uses 6 valid full-plant simulations. Score common baselining, variable control, information gain, transparent external calculations and timely stopping.</x:v>
      </x:c>
      <x:c r="G4" s="29" t="str">
        <x:v>The reference path uses 6 valid full-plant simulations. Score common baselining, variable control, information gain, transparent external calculations and timely stopping.</x:v>
      </x:c>
    </x:row>
    <x:row r="5">
      <x:c r="A5" s="29" t="str">
        <x:v>The reference path uses 6 valid full-plant simulations. Score common baselining, variable control, information gain, transparent external calculations and timely stopping.</x:v>
      </x:c>
      <x:c r="B5" s="29" t="str">
        <x:v>The reference path uses 6 valid full-plant simulations. Score common baselining, variable control, information gain, transparent external calculations and timely stopping.</x:v>
      </x:c>
      <x:c r="C5" s="29" t="str">
        <x:v>The reference path uses 6 valid full-plant simulations. Score common baselining, variable control, information gain, transparent external calculations and timely stopping.</x:v>
      </x:c>
      <x:c r="D5" s="29" t="str">
        <x:v>The reference path uses 6 valid full-plant simulations. Score common baselining, variable control, information gain, transparent external calculations and timely stopping.</x:v>
      </x:c>
      <x:c r="E5" s="29" t="str">
        <x:v>The reference path uses 6 valid full-plant simulations. Score common baselining, variable control, information gain, transparent external calculations and timely stopping.</x:v>
      </x:c>
      <x:c r="F5" s="29" t="str">
        <x:v>The reference path uses 6 valid full-plant simulations. Score common baselining, variable control, information gain, transparent external calculations and timely stopping.</x:v>
      </x:c>
      <x:c r="G5" s="29" t="str">
        <x:v>The reference path uses 6 valid full-plant simulations. Score common baselining, variable control, information gain, transparent external calculations and timely stopping.</x:v>
      </x:c>
    </x:row>
    <x:row r="6">
      <x:c r="A6" s="29" t="str">
        <x:v>The reference path uses 6 valid full-plant simulations. Score common baselining, variable control, information gain, transparent external calculations and timely stopping.</x:v>
      </x:c>
      <x:c r="B6" s="29" t="str">
        <x:v>The reference path uses 6 valid full-plant simulations. Score common baselining, variable control, information gain, transparent external calculations and timely stopping.</x:v>
      </x:c>
      <x:c r="C6" s="29" t="str">
        <x:v>The reference path uses 6 valid full-plant simulations. Score common baselining, variable control, information gain, transparent external calculations and timely stopping.</x:v>
      </x:c>
      <x:c r="D6" s="29" t="str">
        <x:v>The reference path uses 6 valid full-plant simulations. Score common baselining, variable control, information gain, transparent external calculations and timely stopping.</x:v>
      </x:c>
      <x:c r="E6" s="29" t="str">
        <x:v>The reference path uses 6 valid full-plant simulations. Score common baselining, variable control, information gain, transparent external calculations and timely stopping.</x:v>
      </x:c>
      <x:c r="F6" s="29" t="str">
        <x:v>The reference path uses 6 valid full-plant simulations. Score common baselining, variable control, information gain, transparent external calculations and timely stopping.</x:v>
      </x:c>
      <x:c r="G6" s="29" t="str">
        <x:v>The reference path uses 6 valid full-plant simulations. Score common baselining, variable control, information gain, transparent external calculations and timely stopping.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1" t="str">
        <x:v>E1 Tool choice</x:v>
      </x:c>
      <x:c r="B9" s="21" t="str">
        <x:v>Use whole-plant cost tool</x:v>
      </x:c>
      <x:c r="C9" s="21" t="str">
        <x:v>Primarily simulate_swro_system</x:v>
      </x:c>
      <x:c r="D9" s="21" t="str">
        <x:v>A few irrelevant metadata calls</x:v>
      </x:c>
      <x:c r="E9" s="21" t="str">
        <x:v>Use single-membrane tool for plant CAPEX</x:v>
      </x:c>
      <x:c r="F9" s="21" t="str">
        <x:v>total_capital_cost_usd</x:v>
      </x:c>
      <x:c r="G9" s="21" t="n">
        <x:v>20</x:v>
      </x:c>
    </x:row>
    <x:row r="10" ht="72" customHeight="1">
      <x:c r="A10" s="21" t="str">
        <x:v>E2 Base/invariants</x:v>
      </x:c>
      <x:c r="B10" s="21" t="str">
        <x:v>Maintain comparability</x:v>
      </x:c>
      <x:c r="C10" s="21" t="str">
        <x:v>Change only the specified input or configuration</x:v>
      </x:c>
      <x:c r="D10" s="21" t="str">
        <x:v>One noncritical co-change</x:v>
      </x:c>
      <x:c r="E10" s="21" t="str">
        <x:v>Multiple co-changes prevent attribution</x:v>
      </x:c>
      <x:c r="F10" s="21" t="str">
        <x:v>N04</x:v>
      </x:c>
      <x:c r="G10" s="21" t="n">
        <x:v>20</x:v>
      </x:c>
    </x:row>
    <x:row r="11" ht="72" customHeight="1">
      <x:c r="A11" s="21" t="str">
        <x:v>E3 Information gain</x:v>
      </x:c>
      <x:c r="B11" s="21" t="str">
        <x:v>Cover every required decision boundary</x:v>
      </x:c>
      <x:c r="C11" s="21" t="str">
        <x:v>Each call supports screening, adjacent proof or configuration comparison</x:v>
      </x:c>
      <x:c r="D11" s="21" t="str">
        <x:v>One or two extra confirmations</x:v>
      </x:c>
      <x:c r="E11" s="21" t="str">
        <x:v>Blind large-grid scan</x:v>
      </x:c>
      <x:c r="F11" s="21" t="str">
        <x:v>6 calls</x:v>
      </x:c>
      <x:c r="G11" s="21" t="n">
        <x:v>20</x:v>
      </x:c>
    </x:row>
    <x:row r="12" ht="72" customHeight="1">
      <x:c r="A12" s="21" t="str">
        <x:v>E4 External basis</x:v>
      </x:c>
      <x:c r="B12" s="21" t="str">
        <x:v>Calculate multiplier/premium/index transparently outside tool</x:v>
      </x:c>
      <x:c r="C12" s="21" t="str">
        <x:v>Preserve raw tool facts and show separate formulas</x:v>
      </x:c>
      <x:c r="D12" s="21" t="str">
        <x:v>Correct result but unclear source</x:v>
      </x:c>
      <x:c r="E12" s="21" t="str">
        <x:v>Rewrite tool output</x:v>
      </x:c>
      <x:c r="F12" s="21" t="str">
        <x:v>The simulator does not contain membrane-model purchase premiums. Add the premium externally; do not treat simulated CAPEX as the final vendor quotation.</x:v>
      </x:c>
      <x:c r="G12" s="21" t="n">
        <x:v>20</x:v>
      </x:c>
    </x:row>
    <x:row r="13" ht="72" customHeight="1">
      <x:c r="A13" s="21" t="str">
        <x:v>E5 Convergence</x:v>
      </x:c>
      <x:c r="B13" s="21" t="str">
        <x:v>Stop when evidence is sufficient</x:v>
      </x:c>
      <x:c r="C13" s="21" t="str">
        <x:v>About 5–7 calls</x:v>
      </x:c>
      <x:c r="D13" s="21" t="str">
        <x:v>Minor redundancy</x:v>
      </x:c>
      <x:c r="E13" s="21" t="str">
        <x:v>Too few calls or excessive enumeration</x:v>
      </x:c>
      <x:c r="F13" s="21" t="str">
        <x:v>Timely stop</x:v>
      </x:c>
      <x:c r="G13" s="21" t="n">
        <x:v>20</x:v>
      </x:c>
    </x:row>
    <x:row r="15">
      <x:c r="F15" s="37" t="str">
        <x:v>Tool-efficiency total</x:v>
      </x:c>
      <x:c r="G15" s="37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