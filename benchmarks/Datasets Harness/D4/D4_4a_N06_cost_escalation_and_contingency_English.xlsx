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cc5d4ae37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3626e879f5bb44b9"/>
    <x:sheet xmlns:r="http://schemas.openxmlformats.org/officeDocument/2006/relationships" name="Gold_Answer_A" sheetId="2" r:id="Rb3880422bbd2428a"/>
    <x:sheet xmlns:r="http://schemas.openxmlformats.org/officeDocument/2006/relationships" name="Trajectory_Rubric" sheetId="3" r:id="Rf5a1565c59664699"/>
    <x:sheet xmlns:r="http://schemas.openxmlformats.org/officeDocument/2006/relationships" name="Tool_Efficiency" sheetId="4" r:id="Raa733a2cb0a1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A63"/>
      <x:name val="Carlito"/>
    </x:font>
    <x:font>
      <x:b/>
      <x:sz val="11"/>
      <x:color rgb="FFFFFFFF"/>
      <x:name val="Carlito"/>
    </x:font>
    <x:font>
      <x:sz val="11"/>
      <x:color rgb="FF172B4D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63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C9D8E8"/>
      </x:left>
      <x:right style="thin">
        <x:color rgb="FFC9D8E8"/>
      </x:right>
      <x:top style="thin">
        <x:color rgb="FFC9D8E8"/>
      </x:top>
      <x:bottom style="thin">
        <x:color rgb="FFC9D8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c7805db5c45a3" /><Relationship Type="http://schemas.openxmlformats.org/officeDocument/2006/relationships/theme" Target="/xl/theme/theme1.xml" Id="R79d6b9bbda054616" /><Relationship Type="http://schemas.openxmlformats.org/officeDocument/2006/relationships/sharedStrings" Target="/xl/sharedStrings.xml" Id="R5002fde8f5e44332" /><Relationship Type="http://schemas.openxmlformats.org/officeDocument/2006/relationships/worksheet" Target="/xl/worksheets/sheet1.xml" Id="R3626e879f5bb44b9" /><Relationship Type="http://schemas.openxmlformats.org/officeDocument/2006/relationships/worksheet" Target="/xl/worksheets/sheet2.xml" Id="Rb3880422bbd2428a" /><Relationship Type="http://schemas.openxmlformats.org/officeDocument/2006/relationships/worksheet" Target="/xl/worksheets/sheet3.xml" Id="Rf5a1565c59664699" /><Relationship Type="http://schemas.openxmlformats.org/officeDocument/2006/relationships/worksheet" Target="/xl/worksheets/sheet4.xml" Id="Raa733a2cb0a141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2c802f4c8744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Approval CAPEX (blue) vs budget (orange)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Approval CAPEX $m</c:v>
          </c:tx>
          <c:cat>
            <c:strRef>
              <c:f>'Gold_Answer_A'!$T$19:$T$21</c:f>
              <c:strCache>
                <c:ptCount val="0"/>
              </c:strCache>
            </c:strRef>
          </c:cat>
          <c:val>
            <c:numRef>
              <c:f>'Gold_Answer_A'!$U$19:$U$21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Reference</c:v>
          </c:tx>
          <c:cat>
            <c:strRef>
              <c:f>'Gold_Answer_A'!$T$19:$T$21</c:f>
              <c:strCache>
                <c:ptCount val="0"/>
              </c:strCache>
            </c:strRef>
          </c:cat>
          <c:val>
            <c:numRef>
              <c:f>'Gold_Answer_A'!$V$19:$V$21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2c802f4c8744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876c9da322a41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32" hidden="0" customWidth="1"/>
    <x:col min="5" max="5" width="4" hidden="0" customWidth="1"/>
    <x:col min="6" max="6" width="25" hidden="0" customWidth="1"/>
    <x:col min="7" max="7" width="34" hidden="0" customWidth="1"/>
    <x:col min="8" max="8" width="39" hidden="0" customWidth="1"/>
  </x:cols>
  <x:sheetData>
    <x:row r="1" ht="26" customHeight="1">
      <x:c r="A1" s="4" t="str">
        <x:v>D4_4a N06: USD_2018 Cost Escalation, Contingency and a 2026 Approval Budget</x:v>
      </x:c>
      <x:c r="B1" s="4" t="str">
        <x:v>D4_4a N06: USD_2018 Cost Escalation, Contingency and a 2026 Approval Budget</x:v>
      </x:c>
      <x:c r="C1" s="4" t="str">
        <x:v>D4_4a N06: USD_2018 Cost Escalation, Contingency and a 2026 Approval Budget</x:v>
      </x:c>
      <x:c r="D1" s="4" t="str">
        <x:v>D4_4a N06: USD_2018 Cost Escalation, Contingency and a 2026 Approval Budget</x:v>
      </x:c>
      <x:c r="E1" s="4" t="str">
        <x:v>D4_4a N06: USD_2018 Cost Escalation, Contingency and a 2026 Approval Budget</x:v>
      </x:c>
      <x:c r="F1" s="4" t="str">
        <x:v>D4_4a N06: USD_2018 Cost Escalation, Contingency and a 2026 Approval Budget</x:v>
      </x:c>
      <x:c r="G1" s="4" t="str">
        <x:v>D4_4a N06: USD_2018 Cost Escalation, Contingency and a 2026 Approval Budget</x:v>
      </x:c>
      <x:c r="H1" s="4" t="str">
        <x:v>D4_4a N06: USD_2018 Cost Escalation, Contingency and a 2026 Approval Budget</x:v>
      </x:c>
    </x:row>
    <x:row r="2" ht="26" customHeight="1">
      <x:c r="A2" s="4" t="str">
        <x:v>D4_4a N06: USD_2018 Cost Escalation, Contingency and a 2026 Approval Budget</x:v>
      </x:c>
      <x:c r="B2" s="4" t="str">
        <x:v>D4_4a N06: USD_2018 Cost Escalation, Contingency and a 2026 Approval Budget</x:v>
      </x:c>
      <x:c r="C2" s="4" t="str">
        <x:v>D4_4a N06: USD_2018 Cost Escalation, Contingency and a 2026 Approval Budget</x:v>
      </x:c>
      <x:c r="D2" s="4" t="str">
        <x:v>D4_4a N06: USD_2018 Cost Escalation, Contingency and a 2026 Approval Budget</x:v>
      </x:c>
      <x:c r="E2" s="4" t="str">
        <x:v>D4_4a N06: USD_2018 Cost Escalation, Contingency and a 2026 Approval Budget</x:v>
      </x:c>
      <x:c r="F2" s="4" t="str">
        <x:v>D4_4a N06: USD_2018 Cost Escalation, Contingency and a 2026 Approval Budget</x:v>
      </x:c>
      <x:c r="G2" s="4" t="str">
        <x:v>D4_4a N06: USD_2018 Cost Escalation, Contingency and a 2026 Approval Budget</x:v>
      </x:c>
      <x:c r="H2" s="4" t="str">
        <x:v>D4_4a N06: USD_2018 Cost Escalation, Contingency and a 2026 Approval Budget</x:v>
      </x:c>
    </x:row>
    <x:row r="4" ht="25" customHeight="1">
      <x:c r="A4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B4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C4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D4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E4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F4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G4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H4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</x:row>
    <x:row r="5" ht="25" customHeight="1">
      <x:c r="A5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B5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C5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D5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E5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F5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G5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H5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</x:row>
    <x:row r="6" ht="25" customHeight="1">
      <x:c r="A6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B6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C6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D6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E6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F6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G6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H6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</x:row>
    <x:row r="7" ht="25" customHeight="1">
      <x:c r="A7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B7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C7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D7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E7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F7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G7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H7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</x:row>
    <x:row r="8" ht="25" customHeight="1">
      <x:c r="A8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B8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C8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D8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E8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F8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G8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  <x:c r="H8" s="8" t="str">
        <x:v>A project is at a 2026 funding-gate review. SWRO feed is 0.380 m³/s, TDS 37 g/L, 24°C, area 17,000 m² and ηP1=ηP2=0.82. Compare 70-bar PX (ηPX=0.95), 74-bar PX, and 70-bar PAT (ηERD=0.85). simulate_swro_system reports USD_2018. The specified 2018-to-2026 cost-index ratio is 1.31, followed by 12% project contingency. Approved budget is USD 40.0 million (2026) and minimum product is 13,000 m³/d. Calculate approval-basis CAPEX and select a passing option.</x:v>
      </x:c>
    </x:row>
    <x:row r="10">
      <x:c r="A10" s="11" t="str">
        <x:v>Design inputs and constraints</x:v>
      </x:c>
      <x:c r="B10" s="11" t="str">
        <x:v>Design inputs and constraints</x:v>
      </x:c>
      <x:c r="C10" s="11" t="str">
        <x:v>Design inputs and constraints</x:v>
      </x:c>
      <x:c r="D10" s="11" t="str">
        <x:v>Design inputs and constraints</x:v>
      </x:c>
      <x:c r="F10" s="11" t="str">
        <x:v>Specified cases/trajectory</x:v>
      </x:c>
      <x:c r="G10" s="11" t="str">
        <x:v>Specified cases/trajectory</x:v>
      </x:c>
      <x:c r="H10" s="11" t="str">
        <x:v>Specified cases/trajectory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Option</x:v>
      </x:c>
      <x:c r="G11" s="17" t="str">
        <x:v>Case change</x:v>
      </x:c>
      <x:c r="H11" s="17" t="str">
        <x:v>Purpose</x:v>
      </x:c>
    </x:row>
    <x:row r="12" ht="38" customHeight="1">
      <x:c r="A12" s="21" t="str">
        <x:v>Feed</x:v>
      </x:c>
      <x:c r="B12" s="22" t="n">
        <x:v>0.38</x:v>
      </x:c>
      <x:c r="C12" s="21" t="str">
        <x:v>m³/s</x:v>
      </x:c>
      <x:c r="D12" s="21" t="str">
        <x:v>Fixed</x:v>
      </x:c>
      <x:c r="F12" s="21" t="str">
        <x:v>Base PX</x:v>
      </x:c>
      <x:c r="G12" s="21" t="str">
        <x:v>70 bar; PX 0.95</x:v>
      </x:c>
      <x:c r="H12" s="21" t="str">
        <x:v>Lower-pressure option</x:v>
      </x:c>
    </x:row>
    <x:row r="13" ht="38" customHeight="1">
      <x:c r="A13" s="21" t="str">
        <x:v>TDS</x:v>
      </x:c>
      <x:c r="B13" s="22" t="n">
        <x:v>37</x:v>
      </x:c>
      <x:c r="C13" s="21" t="str">
        <x:v>g/L</x:v>
      </x:c>
      <x:c r="D13" s="21" t="str">
        <x:v>Fixed</x:v>
      </x:c>
      <x:c r="F13" s="21" t="str">
        <x:v>Pressure uprate</x:v>
      </x:c>
      <x:c r="G13" s="21" t="str">
        <x:v>74 bar; PX 0.95</x:v>
      </x:c>
      <x:c r="H13" s="21" t="str">
        <x:v>Higher-production option</x:v>
      </x:c>
    </x:row>
    <x:row r="14" ht="38" customHeight="1">
      <x:c r="A14" s="21" t="str">
        <x:v>Temperature</x:v>
      </x:c>
      <x:c r="B14" s="22" t="n">
        <x:v>24</x:v>
      </x:c>
      <x:c r="C14" s="21" t="str">
        <x:v>°C</x:v>
      </x:c>
      <x:c r="D14" s="21" t="str">
        <x:v>Fixed</x:v>
      </x:c>
      <x:c r="F14" s="21" t="str">
        <x:v>PAT</x:v>
      </x:c>
      <x:c r="G14" s="21" t="str">
        <x:v>70 bar; PAT 0.85</x:v>
      </x:c>
      <x:c r="H14" s="21" t="str">
        <x:v>Configuration alternative</x:v>
      </x:c>
    </x:row>
    <x:row r="15" ht="38" customHeight="1">
      <x:c r="A15" s="21" t="str">
        <x:v>Membrane area</x:v>
      </x:c>
      <x:c r="B15" s="22" t="n">
        <x:v>17000</x:v>
      </x:c>
      <x:c r="C15" s="21" t="str">
        <x:v>m²</x:v>
      </x:c>
      <x:c r="D15" s="21" t="str">
        <x:v>Fixed</x:v>
      </x:c>
      <x:c r="F15" s="21" t="str">
        <x:v>Approval basis</x:v>
      </x:c>
      <x:c r="G15" s="21" t="str">
        <x:v>CAPEX2018×1.31×1.12</x:v>
      </x:c>
      <x:c r="H15" s="21" t="str">
        <x:v>Common comparison</x:v>
      </x:c>
    </x:row>
    <x:row r="16">
      <x:c r="A16" s="21" t="str">
        <x:v>P1/P2 efficiency</x:v>
      </x:c>
      <x:c r="B16" s="22" t="n">
        <x:v>0.82</x:v>
      </x:c>
      <x:c r="C16" s="21" t="str">
        <x:v>-</x:v>
      </x:c>
      <x:c r="D16" s="21" t="str">
        <x:v>Fixed</x:v>
      </x:c>
    </x:row>
    <x:row r="17">
      <x:c r="A17" s="21" t="str">
        <x:v>PX efficiency</x:v>
      </x:c>
      <x:c r="B17" s="22" t="n">
        <x:v>0.95</x:v>
      </x:c>
      <x:c r="C17" s="21" t="str">
        <x:v>-</x:v>
      </x:c>
      <x:c r="D17" s="21" t="str">
        <x:v>PX option</x:v>
      </x:c>
    </x:row>
    <x:row r="18">
      <x:c r="A18" s="21" t="str">
        <x:v>PAT efficiency</x:v>
      </x:c>
      <x:c r="B18" s="22" t="n">
        <x:v>0.85</x:v>
      </x:c>
      <x:c r="C18" s="21" t="str">
        <x:v>-</x:v>
      </x:c>
      <x:c r="D18" s="21" t="str">
        <x:v>PAT option</x:v>
      </x:c>
      <x:c r="F18" s="11" t="str">
        <x:v>Required deliverables</x:v>
      </x:c>
      <x:c r="G18" s="11" t="str">
        <x:v>Required deliverables</x:v>
      </x:c>
      <x:c r="H18" s="11" t="str">
        <x:v>Required deliverables</x:v>
      </x:c>
    </x:row>
    <x:row r="19" ht="37" customHeight="1">
      <x:c r="A19" s="21" t="str">
        <x:v>Cost currency</x:v>
      </x:c>
      <x:c r="B19" s="22" t="str">
        <x:v>USD_2018</x:v>
      </x:c>
      <x:c r="C19" s="21" t="str">
        <x:v>-</x:v>
      </x:c>
      <x:c r="D19" s="21" t="str">
        <x:v>Tool output</x:v>
      </x:c>
      <x:c r="F19" s="25" t="str">
        <x:v>1. Record every valid simulate_swro_system call.</x:v>
      </x:c>
      <x:c r="G19" s="25" t="str">
        <x:v>1. Record every valid simulate_swro_system call.</x:v>
      </x:c>
      <x:c r="H19" s="25" t="str">
        <x:v>1. Record every valid simulate_swro_system call.</x:v>
      </x:c>
    </x:row>
    <x:row r="20" ht="37" customHeight="1">
      <x:c r="A20" s="21" t="str">
        <x:v>Cost-index ratio</x:v>
      </x:c>
      <x:c r="B20" s="22" t="n">
        <x:v>1.31</x:v>
      </x:c>
      <x:c r="C20" s="21" t="str">
        <x:v>-</x:v>
      </x:c>
      <x:c r="D20" s="21" t="str">
        <x:v>2018→2026</x:v>
      </x:c>
      <x:c r="F20" s="25" t="str">
        <x:v>2. Calculate product scale, total CAPEX and capital intensity consistently.</x:v>
      </x:c>
      <x:c r="G20" s="25" t="str">
        <x:v>2. Calculate product scale, total CAPEX and capital intensity consistently.</x:v>
      </x:c>
      <x:c r="H20" s="25" t="str">
        <x:v>2. Calculate product scale, total CAPEX and capital intensity consistently.</x:v>
      </x:c>
    </x:row>
    <x:row r="21" ht="37" customHeight="1">
      <x:c r="A21" s="21" t="str">
        <x:v>Project contingency</x:v>
      </x:c>
      <x:c r="B21" s="22" t="n">
        <x:v>0.12</x:v>
      </x:c>
      <x:c r="C21" s="21" t="str">
        <x:v>-</x:v>
      </x:c>
      <x:c r="D21" s="21" t="str">
        <x:v>After escalation</x:v>
      </x:c>
      <x:c r="F21" s="25" t="str">
        <x:v>3. Complete the specified increment, boundary or premium calculation.</x:v>
      </x:c>
      <x:c r="G21" s="25" t="str">
        <x:v>3. Complete the specified increment, boundary or premium calculation.</x:v>
      </x:c>
      <x:c r="H21" s="25" t="str">
        <x:v>3. Complete the specified increment, boundary or premium calculation.</x:v>
      </x:c>
    </x:row>
    <x:row r="22" ht="37" customHeight="1">
      <x:c r="A22" s="21" t="str">
        <x:v>Approved budget</x:v>
      </x:c>
      <x:c r="B22" s="22" t="n">
        <x:v>40000000</x:v>
      </x:c>
      <x:c r="C22" s="21" t="str">
        <x:v>USD_2026</x:v>
      </x:c>
      <x:c r="D22" s="21" t="str">
        <x:v>Criterion</x:v>
      </x:c>
      <x:c r="F22" s="25" t="str">
        <x:v>4. Separate tool outputs, external procurement add-ons and approval adjustments.</x:v>
      </x:c>
      <x:c r="G22" s="25" t="str">
        <x:v>4. Separate tool outputs, external procurement add-ons and approval adjustments.</x:v>
      </x:c>
      <x:c r="H22" s="25" t="str">
        <x:v>4. Separate tool outputs, external procurement add-ons and approval adjustments.</x:v>
      </x:c>
    </x:row>
    <x:row r="23" ht="37" customHeight="1">
      <x:c r="A23" s="21" t="str">
        <x:v>Minimum product</x:v>
      </x:c>
      <x:c r="B23" s="22" t="n">
        <x:v>13000</x:v>
      </x:c>
      <x:c r="C23" s="21" t="str">
        <x:v>m³/d</x:v>
      </x:c>
      <x:c r="D23" s="21" t="str">
        <x:v>Criterion</x:v>
      </x:c>
      <x:c r="F23" s="25" t="str">
        <x:v>5. Give an actionable decision and model boundary.</x:v>
      </x:c>
      <x:c r="G23" s="25" t="str">
        <x:v>5. Give an actionable decision and model boundary.</x:v>
      </x:c>
      <x:c r="H23" s="25" t="str">
        <x:v>5. Give an actionable decision and model boundary.</x:v>
      </x:c>
    </x:row>
    <x:row r="26">
      <x:c r="A26" s="29" t="str">
        <x:v>Cost escalation and contingency are specified approval adjustments, not simulator outputs, and must be added explicitly.</x:v>
      </x:c>
      <x:c r="B26" s="29" t="str">
        <x:v>Cost escalation and contingency are specified approval adjustments, not simulator outputs, and must be added explicitly.</x:v>
      </x:c>
      <x:c r="C26" s="29" t="str">
        <x:v>Cost escalation and contingency are specified approval adjustments, not simulator outputs, and must be added explicitly.</x:v>
      </x:c>
      <x:c r="D26" s="29" t="str">
        <x:v>Cost escalation and contingency are specified approval adjustments, not simulator outputs, and must be added explicitly.</x:v>
      </x:c>
      <x:c r="E26" s="29" t="str">
        <x:v>Cost escalation and contingency are specified approval adjustments, not simulator outputs, and must be added explicitly.</x:v>
      </x:c>
      <x:c r="F26" s="29" t="str">
        <x:v>Cost escalation and contingency are specified approval adjustments, not simulator outputs, and must be added explicitly.</x:v>
      </x:c>
      <x:c r="G26" s="29" t="str">
        <x:v>Cost escalation and contingency are specified approval adjustments, not simulator outputs, and must be added explicitly.</x:v>
      </x:c>
      <x:c r="H26" s="29" t="str">
        <x:v>Cost escalation and contingency are specified approval adjustments, not simulator outputs, and must be added explicitly.</x:v>
      </x:c>
    </x:row>
    <x:row r="27">
      <x:c r="A27" s="29" t="str">
        <x:v>Cost escalation and contingency are specified approval adjustments, not simulator outputs, and must be added explicitly.</x:v>
      </x:c>
      <x:c r="B27" s="29" t="str">
        <x:v>Cost escalation and contingency are specified approval adjustments, not simulator outputs, and must be added explicitly.</x:v>
      </x:c>
      <x:c r="C27" s="29" t="str">
        <x:v>Cost escalation and contingency are specified approval adjustments, not simulator outputs, and must be added explicitly.</x:v>
      </x:c>
      <x:c r="D27" s="29" t="str">
        <x:v>Cost escalation and contingency are specified approval adjustments, not simulator outputs, and must be added explicitly.</x:v>
      </x:c>
      <x:c r="E27" s="29" t="str">
        <x:v>Cost escalation and contingency are specified approval adjustments, not simulator outputs, and must be added explicitly.</x:v>
      </x:c>
      <x:c r="F27" s="29" t="str">
        <x:v>Cost escalation and contingency are specified approval adjustments, not simulator outputs, and must be added explicitly.</x:v>
      </x:c>
      <x:c r="G27" s="29" t="str">
        <x:v>Cost escalation and contingency are specified approval adjustments, not simulator outputs, and must be added explicitly.</x:v>
      </x:c>
      <x:c r="H27" s="29" t="str">
        <x:v>Cost escalation and contingency are specified approval adjustments, not simulator outputs, and must be added explicitly.</x:v>
      </x:c>
    </x:row>
    <x:row r="28">
      <x:c r="A28" s="29" t="str">
        <x:v>Cost escalation and contingency are specified approval adjustments, not simulator outputs, and must be added explicitly.</x:v>
      </x:c>
      <x:c r="B28" s="29" t="str">
        <x:v>Cost escalation and contingency are specified approval adjustments, not simulator outputs, and must be added explicitly.</x:v>
      </x:c>
      <x:c r="C28" s="29" t="str">
        <x:v>Cost escalation and contingency are specified approval adjustments, not simulator outputs, and must be added explicitly.</x:v>
      </x:c>
      <x:c r="D28" s="29" t="str">
        <x:v>Cost escalation and contingency are specified approval adjustments, not simulator outputs, and must be added explicitly.</x:v>
      </x:c>
      <x:c r="E28" s="29" t="str">
        <x:v>Cost escalation and contingency are specified approval adjustments, not simulator outputs, and must be added explicitly.</x:v>
      </x:c>
      <x:c r="F28" s="29" t="str">
        <x:v>Cost escalation and contingency are specified approval adjustments, not simulator outputs, and must be added explicitly.</x:v>
      </x:c>
      <x:c r="G28" s="29" t="str">
        <x:v>Cost escalation and contingency are specified approval adjustments, not simulator outputs, and must be added explicitly.</x:v>
      </x:c>
      <x:c r="H28" s="29" t="str">
        <x:v>Cost escalation and contingency are specified approval adjustments, not simulator outputs, and must be added explicitly.</x:v>
      </x:c>
    </x:row>
    <x:row r="29">
      <x:c r="A29" s="29" t="str">
        <x:v>Cost escalation and contingency are specified approval adjustments, not simulator outputs, and must be added explicitly.</x:v>
      </x:c>
      <x:c r="B29" s="29" t="str">
        <x:v>Cost escalation and contingency are specified approval adjustments, not simulator outputs, and must be added explicitly.</x:v>
      </x:c>
      <x:c r="C29" s="29" t="str">
        <x:v>Cost escalation and contingency are specified approval adjustments, not simulator outputs, and must be added explicitly.</x:v>
      </x:c>
      <x:c r="D29" s="29" t="str">
        <x:v>Cost escalation and contingency are specified approval adjustments, not simulator outputs, and must be added explicitly.</x:v>
      </x:c>
      <x:c r="E29" s="29" t="str">
        <x:v>Cost escalation and contingency are specified approval adjustments, not simulator outputs, and must be added explicitly.</x:v>
      </x:c>
      <x:c r="F29" s="29" t="str">
        <x:v>Cost escalation and contingency are specified approval adjustments, not simulator outputs, and must be added explicitly.</x:v>
      </x:c>
      <x:c r="G29" s="29" t="str">
        <x:v>Cost escalation and contingency are specified approval adjustments, not simulator outputs, and must be added explicitly.</x:v>
      </x:c>
      <x:c r="H29" s="29" t="str">
        <x:v>Cost escalation and contingency are specified approval adjustments, not simulator outputs, and must be added explicitly.</x:v>
      </x:c>
    </x:row>
    <x:row r="30">
      <x:c r="A30" s="29" t="str">
        <x:v>Cost escalation and contingency are specified approval adjustments, not simulator outputs, and must be added explicitly.</x:v>
      </x:c>
      <x:c r="B30" s="29" t="str">
        <x:v>Cost escalation and contingency are specified approval adjustments, not simulator outputs, and must be added explicitly.</x:v>
      </x:c>
      <x:c r="C30" s="29" t="str">
        <x:v>Cost escalation and contingency are specified approval adjustments, not simulator outputs, and must be added explicitly.</x:v>
      </x:c>
      <x:c r="D30" s="29" t="str">
        <x:v>Cost escalation and contingency are specified approval adjustments, not simulator outputs, and must be added explicitly.</x:v>
      </x:c>
      <x:c r="E30" s="29" t="str">
        <x:v>Cost escalation and contingency are specified approval adjustments, not simulator outputs, and must be added explicitly.</x:v>
      </x:c>
      <x:c r="F30" s="29" t="str">
        <x:v>Cost escalation and contingency are specified approval adjustments, not simulator outputs, and must be added explicitly.</x:v>
      </x:c>
      <x:c r="G30" s="29" t="str">
        <x:v>Cost escalation and contingency are specified approval adjustments, not simulator outputs, and must be added explicitly.</x:v>
      </x:c>
      <x:c r="H30" s="29" t="str">
        <x:v>Cost escalation and contingency are specified approval adjustments, not simulator outputs, and must be added explicitly.</x:v>
      </x:c>
    </x:row>
  </x:sheetData>
  <x:mergeCells>
    <x:mergeCell ref="A1:H2"/>
    <x:mergeCell ref="A4:H8"/>
    <x:mergeCell ref="A10:D10"/>
    <x:mergeCell ref="F10:H10"/>
    <x:mergeCell ref="F18:H18"/>
    <x:mergeCell ref="F19:H19"/>
    <x:mergeCell ref="F20:H20"/>
    <x:mergeCell ref="F21:H21"/>
    <x:mergeCell ref="F22:H22"/>
    <x:mergeCell ref="F23:H23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19" hidden="0" customWidth="1"/>
    <x:col min="4" max="4" width="18" hidden="0" customWidth="1"/>
    <x:col min="5" max="5" width="14" hidden="0" customWidth="1"/>
    <x:col min="6" max="6" width="16" hidden="0" customWidth="1"/>
    <x:col min="7" max="7" width="13" hidden="0" customWidth="1"/>
    <x:col min="8" max="8" width="17" hidden="0" customWidth="1"/>
    <x:col min="9" max="9" width="11" hidden="0" customWidth="1"/>
    <x:col min="10" max="10" width="17" hidden="0" customWidth="1"/>
    <x:col min="11" max="11" width="16" hidden="0" customWidth="1"/>
    <x:col min="12" max="12" width="17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8" hidden="0" customWidth="1"/>
    <x:col min="18" max="18" width="30" hidden="0" customWidth="1"/>
    <x:col min="19" max="19" width="3" hidden="0" customWidth="1"/>
    <x:col min="20" max="20" width="23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D4_4a N06: Stepwise Gold Answer — USD_2018 Cost Escalation, Contingency and a 2026 Approval Budget</x:v>
      </x:c>
      <x:c r="B1" s="4" t="str">
        <x:v>D4_4a N06: Stepwise Gold Answer — USD_2018 Cost Escalation, Contingency and a 2026 Approval Budget</x:v>
      </x:c>
      <x:c r="C1" s="4" t="str">
        <x:v>D4_4a N06: Stepwise Gold Answer — USD_2018 Cost Escalation, Contingency and a 2026 Approval Budget</x:v>
      </x:c>
      <x:c r="D1" s="4" t="str">
        <x:v>D4_4a N06: Stepwise Gold Answer — USD_2018 Cost Escalation, Contingency and a 2026 Approval Budget</x:v>
      </x:c>
      <x:c r="E1" s="4" t="str">
        <x:v>D4_4a N06: Stepwise Gold Answer — USD_2018 Cost Escalation, Contingency and a 2026 Approval Budget</x:v>
      </x:c>
      <x:c r="F1" s="4" t="str">
        <x:v>D4_4a N06: Stepwise Gold Answer — USD_2018 Cost Escalation, Contingency and a 2026 Approval Budget</x:v>
      </x:c>
      <x:c r="G1" s="4" t="str">
        <x:v>D4_4a N06: Stepwise Gold Answer — USD_2018 Cost Escalation, Contingency and a 2026 Approval Budget</x:v>
      </x:c>
      <x:c r="H1" s="4" t="str">
        <x:v>D4_4a N06: Stepwise Gold Answer — USD_2018 Cost Escalation, Contingency and a 2026 Approval Budget</x:v>
      </x:c>
      <x:c r="I1" s="4" t="str">
        <x:v>D4_4a N06: Stepwise Gold Answer — USD_2018 Cost Escalation, Contingency and a 2026 Approval Budget</x:v>
      </x:c>
      <x:c r="J1" s="4" t="str">
        <x:v>D4_4a N06: Stepwise Gold Answer — USD_2018 Cost Escalation, Contingency and a 2026 Approval Budget</x:v>
      </x:c>
      <x:c r="K1" s="4" t="str">
        <x:v>D4_4a N06: Stepwise Gold Answer — USD_2018 Cost Escalation, Contingency and a 2026 Approval Budget</x:v>
      </x:c>
      <x:c r="L1" s="4" t="str">
        <x:v>D4_4a N06: Stepwise Gold Answer — USD_2018 Cost Escalation, Contingency and a 2026 Approval Budget</x:v>
      </x:c>
      <x:c r="M1" s="4" t="str">
        <x:v>D4_4a N06: Stepwise Gold Answer — USD_2018 Cost Escalation, Contingency and a 2026 Approval Budget</x:v>
      </x:c>
      <x:c r="N1" s="4" t="str">
        <x:v>D4_4a N06: Stepwise Gold Answer — USD_2018 Cost Escalation, Contingency and a 2026 Approval Budget</x:v>
      </x:c>
      <x:c r="O1" s="4" t="str">
        <x:v>D4_4a N06: Stepwise Gold Answer — USD_2018 Cost Escalation, Contingency and a 2026 Approval Budget</x:v>
      </x:c>
      <x:c r="P1" s="4" t="str">
        <x:v>D4_4a N06: Stepwise Gold Answer — USD_2018 Cost Escalation, Contingency and a 2026 Approval Budget</x:v>
      </x:c>
      <x:c r="Q1" s="4" t="str">
        <x:v>D4_4a N06: Stepwise Gold Answer — USD_2018 Cost Escalation, Contingency and a 2026 Approval Budget</x:v>
      </x:c>
      <x:c r="R1" s="4" t="str">
        <x:v>D4_4a N06: Stepwise Gold Answer — USD_2018 Cost Escalation, Contingency and a 2026 Approval Budget</x:v>
      </x:c>
      <x:c r="S1" s="4" t="str">
        <x:v>D4_4a N06: Stepwise Gold Answer — USD_2018 Cost Escalation, Contingency and a 2026 Approval Budget</x:v>
      </x:c>
      <x:c r="T1" s="4" t="str">
        <x:v>D4_4a N06: Stepwise Gold Answer — USD_2018 Cost Escalation, Contingency and a 2026 Approval Budget</x:v>
      </x:c>
      <x:c r="U1" s="4" t="str">
        <x:v>D4_4a N06: Stepwise Gold Answer — USD_2018 Cost Escalation, Contingency and a 2026 Approval Budget</x:v>
      </x:c>
      <x:c r="V1" s="4" t="str">
        <x:v>D4_4a N06: Stepwise Gold Answer — USD_2018 Cost Escalation, Contingency and a 2026 Approval Budget</x:v>
      </x:c>
    </x:row>
    <x:row r="2" ht="26" customHeight="1">
      <x:c r="A2" s="4" t="str">
        <x:v>D4_4a N06: Stepwise Gold Answer — USD_2018 Cost Escalation, Contingency and a 2026 Approval Budget</x:v>
      </x:c>
      <x:c r="B2" s="4" t="str">
        <x:v>D4_4a N06: Stepwise Gold Answer — USD_2018 Cost Escalation, Contingency and a 2026 Approval Budget</x:v>
      </x:c>
      <x:c r="C2" s="4" t="str">
        <x:v>D4_4a N06: Stepwise Gold Answer — USD_2018 Cost Escalation, Contingency and a 2026 Approval Budget</x:v>
      </x:c>
      <x:c r="D2" s="4" t="str">
        <x:v>D4_4a N06: Stepwise Gold Answer — USD_2018 Cost Escalation, Contingency and a 2026 Approval Budget</x:v>
      </x:c>
      <x:c r="E2" s="4" t="str">
        <x:v>D4_4a N06: Stepwise Gold Answer — USD_2018 Cost Escalation, Contingency and a 2026 Approval Budget</x:v>
      </x:c>
      <x:c r="F2" s="4" t="str">
        <x:v>D4_4a N06: Stepwise Gold Answer — USD_2018 Cost Escalation, Contingency and a 2026 Approval Budget</x:v>
      </x:c>
      <x:c r="G2" s="4" t="str">
        <x:v>D4_4a N06: Stepwise Gold Answer — USD_2018 Cost Escalation, Contingency and a 2026 Approval Budget</x:v>
      </x:c>
      <x:c r="H2" s="4" t="str">
        <x:v>D4_4a N06: Stepwise Gold Answer — USD_2018 Cost Escalation, Contingency and a 2026 Approval Budget</x:v>
      </x:c>
      <x:c r="I2" s="4" t="str">
        <x:v>D4_4a N06: Stepwise Gold Answer — USD_2018 Cost Escalation, Contingency and a 2026 Approval Budget</x:v>
      </x:c>
      <x:c r="J2" s="4" t="str">
        <x:v>D4_4a N06: Stepwise Gold Answer — USD_2018 Cost Escalation, Contingency and a 2026 Approval Budget</x:v>
      </x:c>
      <x:c r="K2" s="4" t="str">
        <x:v>D4_4a N06: Stepwise Gold Answer — USD_2018 Cost Escalation, Contingency and a 2026 Approval Budget</x:v>
      </x:c>
      <x:c r="L2" s="4" t="str">
        <x:v>D4_4a N06: Stepwise Gold Answer — USD_2018 Cost Escalation, Contingency and a 2026 Approval Budget</x:v>
      </x:c>
      <x:c r="M2" s="4" t="str">
        <x:v>D4_4a N06: Stepwise Gold Answer — USD_2018 Cost Escalation, Contingency and a 2026 Approval Budget</x:v>
      </x:c>
      <x:c r="N2" s="4" t="str">
        <x:v>D4_4a N06: Stepwise Gold Answer — USD_2018 Cost Escalation, Contingency and a 2026 Approval Budget</x:v>
      </x:c>
      <x:c r="O2" s="4" t="str">
        <x:v>D4_4a N06: Stepwise Gold Answer — USD_2018 Cost Escalation, Contingency and a 2026 Approval Budget</x:v>
      </x:c>
      <x:c r="P2" s="4" t="str">
        <x:v>D4_4a N06: Stepwise Gold Answer — USD_2018 Cost Escalation, Contingency and a 2026 Approval Budget</x:v>
      </x:c>
      <x:c r="Q2" s="4" t="str">
        <x:v>D4_4a N06: Stepwise Gold Answer — USD_2018 Cost Escalation, Contingency and a 2026 Approval Budget</x:v>
      </x:c>
      <x:c r="R2" s="4" t="str">
        <x:v>D4_4a N06: Stepwise Gold Answer — USD_2018 Cost Escalation, Contingency and a 2026 Approval Budget</x:v>
      </x:c>
      <x:c r="S2" s="4" t="str">
        <x:v>D4_4a N06: Stepwise Gold Answer — USD_2018 Cost Escalation, Contingency and a 2026 Approval Budget</x:v>
      </x:c>
      <x:c r="T2" s="4" t="str">
        <x:v>D4_4a N06: Stepwise Gold Answer — USD_2018 Cost Escalation, Contingency and a 2026 Approval Budget</x:v>
      </x:c>
      <x:c r="U2" s="4" t="str">
        <x:v>D4_4a N06: Stepwise Gold Answer — USD_2018 Cost Escalation, Contingency and a 2026 Approval Budget</x:v>
      </x:c>
      <x:c r="V2" s="4" t="str">
        <x:v>D4_4a N06: Stepwise Gold Answer — USD_2018 Cost Escalation, Contingency and a 2026 Approval Budget</x:v>
      </x:c>
    </x:row>
    <x:row r="4">
      <x:c r="A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B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C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D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E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F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G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H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I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J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K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L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M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N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O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P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Q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R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S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T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U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V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</x:row>
    <x:row r="5">
      <x:c r="A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B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C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D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E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F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G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H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I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J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K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L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M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N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O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P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Q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R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S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T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U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V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</x:row>
    <x:row r="6">
      <x:c r="A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B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C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D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E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F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G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H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I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J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K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L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M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N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O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P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Q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R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S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T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U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V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  <x:c r="H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Calculation</x:v>
      </x:c>
      <x:c r="F9" s="17" t="str">
        <x:v>State update</x:v>
      </x:c>
      <x:c r="G9" s="17" t="str">
        <x:v>Next step</x:v>
      </x:c>
      <x:c r="H9" s="17" t="str">
        <x:v>Capability</x:v>
      </x:c>
    </x:row>
    <x:row r="10" ht="52" customHeight="1">
      <x:c r="A10" s="21" t="str">
        <x:v>1 Base</x:v>
      </x:c>
      <x:c r="B10" s="21" t="str">
        <x:v>Capital basis unlocked</x:v>
      </x:c>
      <x:c r="C10" s="21" t="str">
        <x:v>Run first design point</x:v>
      </x:c>
      <x:c r="D10" s="21" t="str">
        <x:v>Obtain product, CAPEX, SEC and LCOW</x:v>
      </x:c>
      <x:c r="E10" s="21" t="str">
        <x:v>Create common base</x:v>
      </x:c>
      <x:c r="F10" s="21" t="str">
        <x:v>Identify constraint direction</x:v>
      </x:c>
      <x:c r="G10" s="21" t="str">
        <x:v>Run alternatives</x:v>
      </x:c>
      <x:c r="H10" s="21" t="str">
        <x:v>State representation</x:v>
      </x:c>
    </x:row>
    <x:row r="11" ht="52" customHeight="1">
      <x:c r="A11" s="21" t="str">
        <x:v>2 Candidates</x:v>
      </x:c>
      <x:c r="B11" s="21" t="str">
        <x:v>Discrete set known</x:v>
      </x:c>
      <x:c r="C11" s="21" t="str">
        <x:v>Vary each specified input</x:v>
      </x:c>
      <x:c r="D11" s="21" t="str">
        <x:v>Hold non-target inputs fixed</x:v>
      </x:c>
      <x:c r="E11" s="21" t="str">
        <x:v>Product and total CAPEX</x:v>
      </x:c>
      <x:c r="F11" s="21" t="str">
        <x:v>Eliminate obvious failures</x:v>
      </x:c>
      <x:c r="G11" s="21" t="str">
        <x:v>Complete key boundary</x:v>
      </x:c>
      <x:c r="H11" s="21" t="str">
        <x:v>One-at-a-time control</x:v>
      </x:c>
    </x:row>
    <x:row r="12" ht="52" customHeight="1">
      <x:c r="A12" s="21" t="str">
        <x:v>3 Boundary</x:v>
      </x:c>
      <x:c r="B12" s="21" t="str">
        <x:v>Passing region formed</x:v>
      </x:c>
      <x:c r="C12" s="21" t="str">
        <x:v>Compare adjacent/alternative cases</x:v>
      </x:c>
      <x:c r="D12" s="21" t="str">
        <x:v>Identify controlling criterion</x:v>
      </x:c>
      <x:c r="E12" s="21" t="str">
        <x:v>Increment or capital intensity</x:v>
      </x:c>
      <x:c r="F12" s="21" t="str">
        <x:v>Lock candidate</x:v>
      </x:c>
      <x:c r="G12" s="21" t="str">
        <x:v>Handle external add-ons</x:v>
      </x:c>
      <x:c r="H12" s="21" t="str">
        <x:v>Boundary proof</x:v>
      </x:c>
    </x:row>
    <x:row r="13" ht="52" customHeight="1">
      <x:c r="A13" s="21" t="str">
        <x:v>4 External basis</x:v>
      </x:c>
      <x:c r="B13" s="21" t="str">
        <x:v>Tool outputs locked</x:v>
      </x:c>
      <x:c r="C13" s="21" t="str">
        <x:v>Add multiplier/premium/index/contingency</x:v>
      </x:c>
      <x:c r="D13" s="21" t="str">
        <x:v>Do not rewrite tool facts</x:v>
      </x:c>
      <x:c r="E13" s="21" t="str">
        <x:v>Transparent formulas</x:v>
      </x:c>
      <x:c r="F13" s="21" t="str">
        <x:v>Create approval basis</x:v>
      </x:c>
      <x:c r="G13" s="21" t="str">
        <x:v>Test budget</x:v>
      </x:c>
      <x:c r="H13" s="21" t="str">
        <x:v>Basis distinction</x:v>
      </x:c>
    </x:row>
    <x:row r="14" ht="52" customHeight="1">
      <x:c r="A14" s="21" t="str">
        <x:v>5 Decision</x:v>
      </x:c>
      <x:c r="B14" s="21" t="str">
        <x:v>Evidence complete</x:v>
      </x:c>
      <x:c r="C14" s="21" t="str">
        <x:v>Rank and screen</x:v>
      </x:c>
      <x:c r="D14" s="21" t="str">
        <x:v>Cost escalation and contingency are specified approval adjustments, not simulator outputs, and must be added explicitly.</x:v>
      </x:c>
      <x:c r="E14" s="21" t="str">
        <x:v>Hard constraints before objective</x:v>
      </x:c>
      <x:c r="F14" s="21" t="str">
        <x:v>Recommend</x:v>
      </x:c>
      <x:c r="G14" s="21" t="str">
        <x:v>Check model boundary</x:v>
      </x:c>
      <x:c r="H14" s="21" t="str">
        <x:v>Engineering judgment</x:v>
      </x:c>
    </x:row>
    <x:row r="15" ht="52" customHeight="1">
      <x:c r="A15" s="21" t="str">
        <x:v>6 Stop</x:v>
      </x:c>
      <x:c r="B15" s="21" t="str">
        <x:v>Unique result or explicit tradeoff</x:v>
      </x:c>
      <x:c r="C15" s="21" t="str">
        <x:v>Summarize</x:v>
      </x:c>
      <x:c r="D15" s="21" t="str">
        <x:v>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E15" s="21" t="str">
        <x:v>Recheck units and currency</x:v>
      </x:c>
      <x:c r="F15" s="21" t="str">
        <x:v>Complete Gold Answer</x:v>
      </x:c>
      <x:c r="G15" s="21" t="str">
        <x:v>Stop</x:v>
      </x:c>
      <x:c r="H15" s="21" t="str">
        <x:v>Convergence</x:v>
      </x:c>
    </x:row>
    <x:row r="18">
      <x:c r="A18" s="11" t="str">
        <x:v>3 actual simulate_swro_system calls</x:v>
      </x:c>
      <x:c r="B18" s="11" t="str">
        <x:v>3 actual simulate_swro_system calls</x:v>
      </x:c>
      <x:c r="C18" s="11" t="str">
        <x:v>3 actual simulate_swro_system calls</x:v>
      </x:c>
      <x:c r="D18" s="11" t="str">
        <x:v>3 actual simulate_swro_system calls</x:v>
      </x:c>
      <x:c r="E18" s="11" t="str">
        <x:v>3 actual simulate_swro_system calls</x:v>
      </x:c>
      <x:c r="F18" s="11" t="str">
        <x:v>3 actual simulate_swro_system calls</x:v>
      </x:c>
      <x:c r="G18" s="11" t="str">
        <x:v>3 actual simulate_swro_system calls</x:v>
      </x:c>
      <x:c r="H18" s="11" t="str">
        <x:v>3 actual simulate_swro_system calls</x:v>
      </x:c>
      <x:c r="I18" s="11" t="str">
        <x:v>3 actual simulate_swro_system calls</x:v>
      </x:c>
      <x:c r="J18" s="11" t="str">
        <x:v>3 actual simulate_swro_system calls</x:v>
      </x:c>
      <x:c r="K18" s="11" t="str">
        <x:v>3 actual simulate_swro_system calls</x:v>
      </x:c>
      <x:c r="L18" s="11" t="str">
        <x:v>3 actual simulate_swro_system calls</x:v>
      </x:c>
      <x:c r="M18" s="11" t="str">
        <x:v>3 actual simulate_swro_system calls</x:v>
      </x:c>
      <x:c r="N18" s="11" t="str">
        <x:v>3 actual simulate_swro_system calls</x:v>
      </x:c>
      <x:c r="O18" s="11" t="str">
        <x:v>3 actual simulate_swro_system calls</x:v>
      </x:c>
      <x:c r="P18" s="11" t="str">
        <x:v>3 actual simulate_swro_system calls</x:v>
      </x:c>
      <x:c r="Q18" s="11" t="str">
        <x:v>3 actual simulate_swro_system calls</x:v>
      </x:c>
      <x:c r="R18" s="11" t="str">
        <x:v>3 actual simulate_swro_system calls</x:v>
      </x:c>
      <x:c r="T18" t="str">
        <x:v>Scenario</x:v>
      </x:c>
      <x:c r="U18" t="str">
        <x:v>Approval CAPEX $m</x:v>
      </x:c>
      <x:c r="V18" t="str">
        <x:v>Reference</x:v>
      </x:c>
    </x:row>
    <x:row r="19">
      <x:c r="A19" s="17" t="str">
        <x:v>Call</x:v>
      </x:c>
      <x:c r="B19" s="17" t="str">
        <x:v>Scenario</x:v>
      </x:c>
      <x:c r="C19" s="17" t="str">
        <x:v>Decision variable</x:v>
      </x:c>
      <x:c r="D19" s="17" t="str">
        <x:v>Input/configuration</x:v>
      </x:c>
      <x:c r="E19" s="17" t="str">
        <x:v>Product m³/s</x:v>
      </x:c>
      <x:c r="F19" s="17" t="str">
        <x:v>Total product m³/d</x:v>
      </x:c>
      <x:c r="G19" s="17" t="str">
        <x:v>Recovery %</x:v>
      </x:c>
      <x:c r="H19" s="17" t="str">
        <x:v>Modeled CAPEX per call</x:v>
      </x:c>
      <x:c r="I19" s="17" t="str">
        <x:v>Train/multiplier</x:v>
      </x:c>
      <x:c r="J19" s="17" t="str">
        <x:v>Total CAPEX</x:v>
      </x:c>
      <x:c r="K19" s="17" t="str">
        <x:v>ΔCAPEX</x:v>
      </x:c>
      <x:c r="L19" s="17" t="str">
        <x:v>Capital intensity</x:v>
      </x:c>
      <x:c r="M19" s="17" t="str">
        <x:v>SEC</x:v>
      </x:c>
      <x:c r="N19" s="17" t="str">
        <x:v>LCOW</x:v>
      </x:c>
      <x:c r="O19" s="17" t="str">
        <x:v>P1 kW</x:v>
      </x:c>
      <x:c r="P19" s="17" t="str">
        <x:v>P2/ERD kW</x:v>
      </x:c>
      <x:c r="Q19" s="17" t="str">
        <x:v>Decision</x:v>
      </x:c>
      <x:c r="R19" s="17" t="str">
        <x:v>Observation</x:v>
      </x:c>
      <x:c r="T19" t="str">
        <x:f>B20</x:f>
        <x:v>70-bar PX</x:v>
      </x:c>
      <x:c r="U19" t="n">
        <x:f>J20*1.31*1.12/1000000</x:f>
        <x:v>39.398912853347284</x:v>
      </x:c>
      <x:c r="V19" t="n">
        <x:f>40000000/1000000</x:f>
        <x:v>40</x:v>
      </x:c>
    </x:row>
    <x:row r="20" ht="32" customHeight="1">
      <x:c r="A20" s="21" t="n">
        <x:v>1</x:v>
      </x:c>
      <x:c r="B20" s="21" t="str">
        <x:v>70-bar PX</x:v>
      </x:c>
      <x:c r="C20" s="21" t="str">
        <x:v>Pressure / ERD</x:v>
      </x:c>
      <x:c r="D20" s="21" t="str">
        <x:v>70/PX</x:v>
      </x:c>
      <x:c r="E20" s="34" t="n">
        <x:v>0.1561502076240079</x:v>
      </x:c>
      <x:c r="F20" s="22" t="n">
        <x:f>E20*86400*I20</x:f>
        <x:v>13491.377938714282</x:v>
      </x:c>
      <x:c r="G20" s="22" t="n">
        <x:v>41.2616255655663</x:v>
      </x:c>
      <x:c r="H20" s="22" t="n">
        <x:v>26853130.352608565</x:v>
      </x:c>
      <x:c r="I20" s="22" t="n">
        <x:v>1</x:v>
      </x:c>
      <x:c r="J20" s="22" t="n">
        <x:f>H20*I20</x:f>
        <x:v>26853130.352608565</x:v>
      </x:c>
      <x:c r="K20" s="22" t="n">
        <x:f>J20-$J$20</x:f>
        <x:v>0</x:v>
      </x:c>
      <x:c r="L20" s="22" t="n">
        <x:f>J20/F20</x:f>
        <x:v>1990.3919729023355</x:v>
      </x:c>
      <x:c r="M20" s="22" t="n">
        <x:v>3.0933113527433886</x:v>
      </x:c>
      <x:c r="N20" s="22" t="n">
        <x:v>0.818976928788392</x:v>
      </x:c>
      <x:c r="O20" s="22" t="n">
        <x:v>1315.937619624335</x:v>
      </x:c>
      <x:c r="P20" s="22" t="n">
        <x:v>193.53869487063218</x:v>
      </x:c>
      <x:c r="Q20" s="21" t="str">
        <x:v>PASS approval basis</x:v>
      </x:c>
      <x:c r="R20" s="21" t="str">
        <x:v>Only option within budget</x:v>
      </x:c>
      <x:c r="T20" t="str">
        <x:f>B21</x:f>
        <x:v>74-bar PX</x:v>
      </x:c>
      <x:c r="U20" t="n">
        <x:f>J21*1.31*1.12/1000000</x:f>
        <x:v>40.620678071667214</x:v>
      </x:c>
      <x:c r="V20" t="n">
        <x:f>40000000/1000000</x:f>
        <x:v>40</x:v>
      </x:c>
    </x:row>
    <x:row r="21" ht="32" customHeight="1">
      <x:c r="A21" s="21" t="n">
        <x:v>2</x:v>
      </x:c>
      <x:c r="B21" s="21" t="str">
        <x:v>74-bar PX</x:v>
      </x:c>
      <x:c r="C21" s="21" t="str">
        <x:v>Pressure / ERD</x:v>
      </x:c>
      <x:c r="D21" s="21" t="str">
        <x:v>74/PX</x:v>
      </x:c>
      <x:c r="E21" s="34" t="n">
        <x:v>0.1678014835834962</x:v>
      </x:c>
      <x:c r="F21" s="22" t="n">
        <x:f>E21*86400*I21</x:f>
        <x:v>14498.048181614071</x:v>
      </x:c>
      <x:c r="G21" s="22" t="n">
        <x:v>44.3405851936925</x:v>
      </x:c>
      <x:c r="H21" s="22" t="n">
        <x:v>27685849.285487466</x:v>
      </x:c>
      <x:c r="I21" s="22" t="n">
        <x:v>1</x:v>
      </x:c>
      <x:c r="J21" s="22" t="n">
        <x:f>H21*I21</x:f>
        <x:v>27685849.285487466</x:v>
      </x:c>
      <x:c r="K21" s="22" t="n">
        <x:f>J21-$J$20</x:f>
        <x:v>832718.9328789003</x:v>
      </x:c>
      <x:c r="L21" s="22" t="n">
        <x:f>J21/F21</x:f>
        <x:v>1909.6259674869693</x:v>
      </x:c>
      <x:c r="M21" s="22" t="n">
        <x:v>3.1932262947829666</x:v>
      </x:c>
      <x:c r="N21" s="22" t="n">
        <x:v>0.7955495121801868</x:v>
      </x:c>
      <x:c r="O21" s="22" t="n">
        <x:v>1496.0230981327327</x:v>
      </x:c>
      <x:c r="P21" s="22" t="n">
        <x:v>186.48356242131428</x:v>
      </x:c>
      <x:c r="Q21" s="21" t="str">
        <x:v>OVER approval budget</x:v>
      </x:c>
      <x:c r="R21" s="21" t="str">
        <x:v>2018 cost appears affordable</x:v>
      </x:c>
      <x:c r="T21" t="str">
        <x:f>B22</x:f>
        <x:v>70-bar PAT</x:v>
      </x:c>
      <x:c r="U21" t="n">
        <x:f>J22*1.31*1.12/1000000</x:f>
        <x:v>47.16202384650188</x:v>
      </x:c>
      <x:c r="V21" t="n">
        <x:f>40000000/1000000</x:f>
        <x:v>40</x:v>
      </x:c>
    </x:row>
    <x:row r="22" ht="32" customHeight="1">
      <x:c r="A22" s="21" t="n">
        <x:v>3</x:v>
      </x:c>
      <x:c r="B22" s="21" t="str">
        <x:v>70-bar PAT</x:v>
      </x:c>
      <x:c r="C22" s="21" t="str">
        <x:v>Pressure / ERD</x:v>
      </x:c>
      <x:c r="D22" s="21" t="str">
        <x:v>70/PAT</x:v>
      </x:c>
      <x:c r="E22" s="34" t="n">
        <x:v>0.1561502076240079</x:v>
      </x:c>
      <x:c r="F22" s="22" t="n">
        <x:f>E22*86400*I22</x:f>
        <x:v>13491.377938714282</x:v>
      </x:c>
      <x:c r="G22" s="22" t="n">
        <x:v>41.261625565566305</x:v>
      </x:c>
      <x:c r="H22" s="22" t="n">
        <x:v>32144236.536601603</x:v>
      </x:c>
      <x:c r="I22" s="22" t="n">
        <x:v>1</x:v>
      </x:c>
      <x:c r="J22" s="22" t="n">
        <x:f>H22*I22</x:f>
        <x:v>32144236.536601603</x:v>
      </x:c>
      <x:c r="K22" s="22" t="n">
        <x:f>J22-$J$20</x:f>
        <x:v>5291106.183993038</x:v>
      </x:c>
      <x:c r="L22" s="22" t="n">
        <x:f>J22/F22</x:f>
        <x:v>2382.576241108914</x:v>
      </x:c>
      <x:c r="M22" s="22" t="n">
        <x:v>6.088165205790288</x:v>
      </x:c>
      <x:c r="N22" s="22" t="n">
        <x:v>1.0979408299628552</x:v>
      </x:c>
      <x:c r="O22" s="22" t="n">
        <x:v>3193.005697939566</x:v>
      </x:c>
      <x:c r="P22" s="22" t="n">
        <x:v>1234.927691909677</x:v>
      </x:c>
      <x:c r="Q22" s="21" t="str">
        <x:v>OVER approval budget</x:v>
      </x:c>
      <x:c r="R22" s="21" t="str">
        <x:v>Configuration and energy unfavorable</x:v>
      </x:c>
    </x:row>
    <x:row r="30">
      <x:c r="A30" s="11" t="str">
        <x:v>Decision calculations</x:v>
      </x:c>
      <x:c r="B30" s="11" t="str">
        <x:v>Decision calculations</x:v>
      </x:c>
      <x:c r="C30" s="11" t="str">
        <x:v>Decision calculations</x:v>
      </x:c>
      <x:c r="D30" s="11" t="str">
        <x:v>Decision calculations</x:v>
      </x:c>
      <x:c r="E30" s="11" t="str">
        <x:v>Decision calculations</x:v>
      </x:c>
      <x:c r="F30" s="11" t="str">
        <x:v>Decision calculations</x:v>
      </x:c>
      <x:c r="G30" s="11" t="str">
        <x:v>Decision calculations</x:v>
      </x:c>
      <x:c r="H30" s="11" t="str">
        <x:v>Decision calculations</x:v>
      </x:c>
    </x:row>
    <x:row r="31">
      <x:c r="A31" s="17" t="str">
        <x:v>Item</x:v>
      </x:c>
      <x:c r="B31" s="17" t="str">
        <x:v>Option A</x:v>
      </x:c>
      <x:c r="C31" s="17" t="str">
        <x:v>Option B</x:v>
      </x:c>
      <x:c r="D31" s="17" t="str">
        <x:v>Option C</x:v>
      </x:c>
      <x:c r="E31" s="17" t="str">
        <x:v>Formula/basis</x:v>
      </x:c>
      <x:c r="F31" s="17" t="str">
        <x:v>Constraint</x:v>
      </x:c>
      <x:c r="G31" s="17" t="str">
        <x:v>Result</x:v>
      </x:c>
      <x:c r="H31" s="17" t="str">
        <x:v>Engineering interpretation</x:v>
      </x:c>
    </x:row>
    <x:row r="32" ht="50" customHeight="1">
      <x:c r="A32" s="21" t="str">
        <x:v>Approval formula</x:v>
      </x:c>
      <x:c r="B32" s="22" t="n">
        <x:v>1.31</x:v>
      </x:c>
      <x:c r="C32" s="22" t="n">
        <x:v>0.12</x:v>
      </x:c>
      <x:c r="D32" s="22"/>
      <x:c r="E32" s="21" t="str">
        <x:v>CAPEX2018 × 1.31 × (1+12%)</x:v>
      </x:c>
      <x:c r="F32" s="21" t="str">
        <x:v>USD_2026</x:v>
      </x:c>
      <x:c r="G32" s="21" t="str">
        <x:v>Common escalation</x:v>
      </x:c>
      <x:c r="H32" s="21" t="str">
        <x:v>Do not compare raw cost</x:v>
      </x:c>
    </x:row>
    <x:row r="33" ht="50" customHeight="1">
      <x:c r="A33" s="21" t="str">
        <x:v>Approval CAPEX</x:v>
      </x:c>
      <x:c r="B33" s="22" t="n">
        <x:f>J20*1.31*1.12</x:f>
        <x:v>39398912.85334729</x:v>
      </x:c>
      <x:c r="C33" s="22" t="n">
        <x:f>J21*1.31*1.12</x:f>
        <x:v>40620678.07166722</x:v>
      </x:c>
      <x:c r="D33" s="22" t="n">
        <x:f>J22*1.31*1.12</x:f>
        <x:v>47162023.84650188</x:v>
      </x:c>
      <x:c r="E33" s="21" t="str">
        <x:v>J × 1.31 × 1.12</x:v>
      </x:c>
      <x:c r="F33" s="21" t="str">
        <x:v>&lt;= $40m</x:v>
      </x:c>
      <x:c r="G33" s="21" t="str">
        <x:v>Only 70-bar PX passes</x:v>
      </x:c>
      <x:c r="H33" s="21" t="str">
        <x:v>74 bar over by $0.621m</x:v>
      </x:c>
    </x:row>
    <x:row r="34" ht="50" customHeight="1">
      <x:c r="A34" s="21" t="str">
        <x:v>Product</x:v>
      </x:c>
      <x:c r="B34" s="22" t="n">
        <x:f>F20</x:f>
        <x:v>13491.377938714282</x:v>
      </x:c>
      <x:c r="C34" s="22" t="n">
        <x:f>F21</x:f>
        <x:v>14498.048181614071</x:v>
      </x:c>
      <x:c r="D34" s="22" t="n">
        <x:f>F22</x:f>
        <x:v>13491.377938714282</x:v>
      </x:c>
      <x:c r="E34" s="21" t="str">
        <x:v>Qp × 86,400</x:v>
      </x:c>
      <x:c r="F34" s="21" t="str">
        <x:v>&gt;= 13,000</x:v>
      </x:c>
      <x:c r="G34" s="21" t="str">
        <x:v>All three pass</x:v>
      </x:c>
      <x:c r="H34" s="21" t="str">
        <x:v>Budget is discriminating criterion</x:v>
      </x:c>
    </x:row>
    <x:row r="35" ht="50" customHeight="1">
      <x:c r="A35" s="21" t="str">
        <x:v>Recommendation</x:v>
      </x:c>
      <x:c r="B35" s="22" t="str">
        <x:v>70 bar PX</x:v>
      </x:c>
      <x:c r="C35" s="22" t="str">
        <x:v>74 bar PX</x:v>
      </x:c>
      <x:c r="D35" s="22" t="str">
        <x:v>70 bar PAT</x:v>
      </x:c>
      <x:c r="E35" s="21" t="str">
        <x:v>Capacity → approval budget</x:v>
      </x:c>
      <x:c r="F35" s="21" t="str">
        <x:v>Dual criteria</x:v>
      </x:c>
      <x:c r="G35" s="21" t="str">
        <x:v>70-bar PX</x:v>
      </x:c>
      <x:c r="H35" s="21" t="str">
        <x:v>Headroom about $0.601m</x:v>
      </x:c>
    </x:row>
    <x:row r="36">
      <x:c r="B36" s="35"/>
      <x:c r="C36" s="35"/>
      <x:c r="D36" s="35"/>
    </x:row>
    <x:row r="37">
      <x:c r="B37" s="35"/>
      <x:c r="C37" s="35"/>
      <x:c r="D37" s="35"/>
    </x:row>
    <x:row r="39">
      <x:c r="A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B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C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D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E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F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G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H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I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J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K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L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M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N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O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P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Q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R39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</x:row>
    <x:row r="40">
      <x:c r="A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B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C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D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E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F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G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H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I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J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K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L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M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N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O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P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Q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R40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</x:row>
    <x:row r="41">
      <x:c r="A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B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C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D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E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F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G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H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I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J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K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L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M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N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O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P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Q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R41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</x:row>
    <x:row r="42">
      <x:c r="A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B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C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D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E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F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G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H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I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J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K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L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M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N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O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P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Q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R42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</x:row>
    <x:row r="43">
      <x:c r="A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B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C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D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E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F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G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H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I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J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K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L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M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N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O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P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Q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R43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</x:row>
    <x:row r="44">
      <x:c r="A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B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C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D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E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F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G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H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I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J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K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L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M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N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O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P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Q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R44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</x:row>
    <x:row r="45">
      <x:c r="A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B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C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D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E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F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G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H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I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J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K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L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M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N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O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P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Q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R45" s="33" t="str">
        <x:v>Final conclusion
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</x:row>
  </x:sheetData>
  <x:mergeCells>
    <x:mergeCell ref="A1:V2"/>
    <x:mergeCell ref="A4:V6"/>
    <x:mergeCell ref="A8:H8"/>
    <x:mergeCell ref="A18:R18"/>
    <x:mergeCell ref="A30:H30"/>
    <x:mergeCell ref="A39:R45"/>
  </x:mergeCells>
  <x:pageMargins left="0.7" right="0.7" top="0.75" bottom="0.75" header="0.3" footer="0.3"/>
  <x:drawing xmlns:r="http://schemas.openxmlformats.org/officeDocument/2006/relationships" r:id="R1876c9da322a416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D4_4a N06: Trajectory Rubric (100 points)</x:v>
      </x:c>
      <x:c r="B1" s="4" t="str">
        <x:v>D4_4a N06: Trajectory Rubric (100 points)</x:v>
      </x:c>
      <x:c r="C1" s="4" t="str">
        <x:v>D4_4a N06: Trajectory Rubric (100 points)</x:v>
      </x:c>
      <x:c r="D1" s="4" t="str">
        <x:v>D4_4a N06: Trajectory Rubric (100 points)</x:v>
      </x:c>
      <x:c r="E1" s="4" t="str">
        <x:v>D4_4a N06: Trajectory Rubric (100 points)</x:v>
      </x:c>
      <x:c r="F1" s="4" t="str">
        <x:v>D4_4a N06: Trajectory Rubric (100 points)</x:v>
      </x:c>
      <x:c r="G1" s="4" t="str">
        <x:v>D4_4a N06: Trajectory Rubric (100 points)</x:v>
      </x:c>
    </x:row>
    <x:row r="2" ht="26" customHeight="1">
      <x:c r="A2" s="4" t="str">
        <x:v>D4_4a N06: Trajectory Rubric (100 points)</x:v>
      </x:c>
      <x:c r="B2" s="4" t="str">
        <x:v>D4_4a N06: Trajectory Rubric (100 points)</x:v>
      </x:c>
      <x:c r="C2" s="4" t="str">
        <x:v>D4_4a N06: Trajectory Rubric (100 points)</x:v>
      </x:c>
      <x:c r="D2" s="4" t="str">
        <x:v>D4_4a N06: Trajectory Rubric (100 points)</x:v>
      </x:c>
      <x:c r="E2" s="4" t="str">
        <x:v>D4_4a N06: Trajectory Rubric (100 points)</x:v>
      </x:c>
      <x:c r="F2" s="4" t="str">
        <x:v>D4_4a N06: Trajectory Rubric (100 points)</x:v>
      </x:c>
      <x:c r="G2" s="4" t="str">
        <x:v>D4_4a N06: Trajectory Rubric (100 points)</x:v>
      </x:c>
    </x:row>
    <x:row r="4">
      <x:c r="A4" s="29" t="str">
        <x:v>Evaluate whether the agent converts design scale, equipment configuration, cost basis and hard constraints into an auditable full-plant simulation decision.</x:v>
      </x:c>
      <x:c r="B4" s="29" t="str">
        <x:v>Evaluate whether the agent converts design scale, equipment configuration, cost basis and hard constraints into an auditable full-plant simulation decision.</x:v>
      </x:c>
      <x:c r="C4" s="29" t="str">
        <x:v>Evaluate whether the agent converts design scale, equipment configuration, cost basis and hard constraints into an auditable full-plant simulation decision.</x:v>
      </x:c>
      <x:c r="D4" s="29" t="str">
        <x:v>Evaluate whether the agent converts design scale, equipment configuration, cost basis and hard constraints into an auditable full-plant simulation decision.</x:v>
      </x:c>
      <x:c r="E4" s="29" t="str">
        <x:v>Evaluate whether the agent converts design scale, equipment configuration, cost basis and hard constraints into an auditable full-plant simulation decision.</x:v>
      </x:c>
      <x:c r="F4" s="29" t="str">
        <x:v>Evaluate whether the agent converts design scale, equipment configuration, cost basis and hard constraints into an auditable full-plant simulation decision.</x:v>
      </x:c>
      <x:c r="G4" s="29" t="str">
        <x:v>Evaluate whether the agent converts design scale, equipment configuration, cost basis and hard constraints into an auditable full-plant simulation decision.</x:v>
      </x:c>
    </x:row>
    <x:row r="5">
      <x:c r="A5" s="29" t="str">
        <x:v>Evaluate whether the agent converts design scale, equipment configuration, cost basis and hard constraints into an auditable full-plant simulation decision.</x:v>
      </x:c>
      <x:c r="B5" s="29" t="str">
        <x:v>Evaluate whether the agent converts design scale, equipment configuration, cost basis and hard constraints into an auditable full-plant simulation decision.</x:v>
      </x:c>
      <x:c r="C5" s="29" t="str">
        <x:v>Evaluate whether the agent converts design scale, equipment configuration, cost basis and hard constraints into an auditable full-plant simulation decision.</x:v>
      </x:c>
      <x:c r="D5" s="29" t="str">
        <x:v>Evaluate whether the agent converts design scale, equipment configuration, cost basis and hard constraints into an auditable full-plant simulation decision.</x:v>
      </x:c>
      <x:c r="E5" s="29" t="str">
        <x:v>Evaluate whether the agent converts design scale, equipment configuration, cost basis and hard constraints into an auditable full-plant simulation decision.</x:v>
      </x:c>
      <x:c r="F5" s="29" t="str">
        <x:v>Evaluate whether the agent converts design scale, equipment configuration, cost basis and hard constraints into an auditable full-plant simulation decision.</x:v>
      </x:c>
      <x:c r="G5" s="29" t="str">
        <x:v>Evaluate whether the agent converts design scale, equipment configuration, cost basis and hard constraints into an auditable full-plant simulation decision.</x:v>
      </x:c>
    </x:row>
    <x:row r="6">
      <x:c r="A6" s="29" t="str">
        <x:v>Evaluate whether the agent converts design scale, equipment configuration, cost basis and hard constraints into an auditable full-plant simulation decision.</x:v>
      </x:c>
      <x:c r="B6" s="29" t="str">
        <x:v>Evaluate whether the agent converts design scale, equipment configuration, cost basis and hard constraints into an auditable full-plant simulation decision.</x:v>
      </x:c>
      <x:c r="C6" s="29" t="str">
        <x:v>Evaluate whether the agent converts design scale, equipment configuration, cost basis and hard constraints into an auditable full-plant simulation decision.</x:v>
      </x:c>
      <x:c r="D6" s="29" t="str">
        <x:v>Evaluate whether the agent converts design scale, equipment configuration, cost basis and hard constraints into an auditable full-plant simulation decision.</x:v>
      </x:c>
      <x:c r="E6" s="29" t="str">
        <x:v>Evaluate whether the agent converts design scale, equipment configuration, cost basis and hard constraints into an auditable full-plant simulation decision.</x:v>
      </x:c>
      <x:c r="F6" s="29" t="str">
        <x:v>Evaluate whether the agent converts design scale, equipment configuration, cost basis and hard constraints into an auditable full-plant simulation decision.</x:v>
      </x:c>
      <x:c r="G6" s="29" t="str">
        <x:v>Evaluate whether the agent converts design scale, equipment configuration, cost basis and hard constraints into an auditable full-plant simulation decision.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4" customHeight="1">
      <x:c r="A9" s="21" t="str">
        <x:v>TQ1 State</x:v>
      </x:c>
      <x:c r="B9" s="21" t="str">
        <x:v>Identify design boundary and hard constraints</x:v>
      </x:c>
      <x:c r="C9" s="21" t="str">
        <x:v>State currency, scale, candidate set and criteria</x:v>
      </x:c>
      <x:c r="D9" s="21" t="str">
        <x:v>One non-controlling constraint missing</x:v>
      </x:c>
      <x:c r="E9" s="21" t="str">
        <x:v>Mix scale or currency</x:v>
      </x:c>
      <x:c r="F9" s="21" t="n">
        <x:v>15</x:v>
      </x:c>
      <x:c r="G9" s="21"/>
    </x:row>
    <x:row r="10" ht="74" customHeight="1">
      <x:c r="A10" s="21" t="str">
        <x:v>TQ2 Tool calls</x:v>
      </x:c>
      <x:c r="B10" s="21" t="str">
        <x:v>Use whole-plant cost tool</x:v>
      </x:c>
      <x:c r="C10" s="21" t="str">
        <x:v>Complete valid simulate_swro_system calls for specified cases</x:v>
      </x:c>
      <x:c r="D10" s="21" t="str">
        <x:v>Minor noncritical deviations</x:v>
      </x:c>
      <x:c r="E10" s="21" t="str">
        <x:v>Use simulate_ro for whole-plant CAPEX</x:v>
      </x:c>
      <x:c r="F10" s="21" t="n">
        <x:v>20</x:v>
      </x:c>
      <x:c r="G10" s="21"/>
    </x:row>
    <x:row r="11" ht="74" customHeight="1">
      <x:c r="A11" s="21" t="str">
        <x:v>TQ3 Capital calculation</x:v>
      </x:c>
      <x:c r="B11" s="21" t="str">
        <x:v>Handle multipliers and units correctly</x:v>
      </x:c>
      <x:c r="C11" s="21" t="str">
        <x:v>Consistent product, total CAPEX and capital intensity</x:v>
      </x:c>
      <x:c r="D11" s="21" t="str">
        <x:v>Mostly right with one unclear basis</x:v>
      </x:c>
      <x:c r="E11" s="21" t="str">
        <x:v>Treat per-call/per-train cost as total</x:v>
      </x:c>
      <x:c r="F11" s="21" t="n">
        <x:v>20</x:v>
      </x:c>
      <x:c r="G11" s="21"/>
    </x:row>
    <x:row r="12" ht="74" customHeight="1">
      <x:c r="A12" s="21" t="str">
        <x:v>TQ4 Specialized calculation</x:v>
      </x:c>
      <x:c r="B12" s="21" t="str">
        <x:v>Complete case-specific increment/premium/escalation formula</x:v>
      </x:c>
      <x:c r="C12" s="21" t="str">
        <x:v>Cost escalation and contingency are specified approval adjustments, not simulator outputs, and must be added explicitly.</x:v>
      </x:c>
      <x:c r="D12" s="21" t="str">
        <x:v>Close but one external add-on missing</x:v>
      </x:c>
      <x:c r="E12" s="21" t="str">
        <x:v>Present external add-on as tool output</x:v>
      </x:c>
      <x:c r="F12" s="21" t="n">
        <x:v>20</x:v>
      </x:c>
      <x:c r="G12" s="21"/>
    </x:row>
    <x:row r="13" ht="74" customHeight="1">
      <x:c r="A13" s="21" t="str">
        <x:v>TQ5 Interpretation</x:v>
      </x:c>
      <x:c r="B13" s="21" t="str">
        <x:v>Separate CAPEX, SEC, LCOW and model boundary</x:v>
      </x:c>
      <x:c r="C13" s="21" t="str">
        <x:v>Hard constraints first; explain tradeoff or counterintuitive result</x:v>
      </x:c>
      <x:c r="D13" s="21" t="str">
        <x:v>Conclusion right but explanation incomplete</x:v>
      </x:c>
      <x:c r="E13" s="21" t="str">
        <x:v>Substitute LCOW for CAPEX or omit model boundary</x:v>
      </x:c>
      <x:c r="F13" s="21" t="n">
        <x:v>15</x:v>
      </x:c>
      <x:c r="G13" s="21"/>
    </x:row>
    <x:row r="14" ht="74" customHeight="1">
      <x:c r="A14" s="21" t="str">
        <x:v>TQ6 Decision</x:v>
      </x:c>
      <x:c r="B14" s="21" t="str">
        <x:v>Give actionable conclusion</x:v>
      </x:c>
      <x:c r="C14" s="21" t="str">
        <x:v>Approval-basis CAPEX equals tool-reported USD_2018 cost ×1.</x:v>
      </x:c>
      <x:c r="D14" s="21" t="str">
        <x:v>Key result right but one number missing</x:v>
      </x:c>
      <x:c r="E14" s="21" t="str">
        <x:v>Recommend failing or over-budget option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55" customHeight="1">
      <x:c r="A18" s="21" t="str">
        <x:v>Tool evidence</x:v>
      </x:c>
      <x:c r="B18" s="21" t="str">
        <x:v>3 actual calls</x:v>
      </x:c>
      <x:c r="C18" s="21"/>
      <x:c r="D18" s="21"/>
      <x:c r="E18" s="21"/>
      <x:c r="F18" s="21"/>
      <x:c r="G18" s="21"/>
    </x:row>
    <x:row r="19" ht="78" customHeight="1">
      <x:c r="A19" s="21" t="str">
        <x:v>Final answer</x:v>
      </x:c>
      <x:c r="B19" s="21" t="str">
        <x:v>Approval-basis CAPEX equals tool-reported USD_2018 cost ×1.31×1.12. The 70-bar PX option is USD 39.399 million (2026), produces 13,491.38 m³/d and has USD 0.601 million headroom, so it is the only passing option. The 74-bar PX option escalates to USD 40.621 million and exceeds budget by USD 0.621 million. PAT is USD 47.162 million and exceeds budget by USD 7.162 million. Comparing raw USD_2018 tool output directly with the 2026 budget would incorrectly approve the 74-bar option.</x:v>
      </x:c>
      <x:c r="C19" s="21"/>
      <x:c r="D19" s="21"/>
      <x:c r="E19" s="21"/>
      <x:c r="F19" s="21"/>
      <x:c r="G19" s="21"/>
    </x:row>
    <x:row r="20" ht="78" customHeight="1">
      <x:c r="A20" s="21" t="str">
        <x:v>Model boundary</x:v>
      </x:c>
      <x:c r="B20" s="21" t="str">
        <x:v>Cost escalation and contingency are specified approval adjustments, not simulator outputs, and must be added explicitly.</x:v>
      </x:c>
      <x:c r="C20" s="21"/>
      <x:c r="D20" s="21"/>
      <x:c r="E20" s="21"/>
      <x:c r="F20" s="21"/>
      <x:c r="G20" s="21"/>
    </x:row>
    <x:row r="21" ht="55" customHeight="1">
      <x:c r="A21" s="21" t="str">
        <x:v>Tolerance</x:v>
      </x:c>
      <x:c r="B21" s="21" t="str">
        <x:v>CAPEX ±$0.02m; product ±5 m³/d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1" hidden="0" customWidth="1"/>
  </x:cols>
  <x:sheetData>
    <x:row r="1" ht="26" customHeight="1">
      <x:c r="A1" s="4" t="str">
        <x:v>D4_4a N06: Tool-Efficiency Rubric (100 points)</x:v>
      </x:c>
      <x:c r="B1" s="4" t="str">
        <x:v>D4_4a N06: Tool-Efficiency Rubric (100 points)</x:v>
      </x:c>
      <x:c r="C1" s="4" t="str">
        <x:v>D4_4a N06: Tool-Efficiency Rubric (100 points)</x:v>
      </x:c>
      <x:c r="D1" s="4" t="str">
        <x:v>D4_4a N06: Tool-Efficiency Rubric (100 points)</x:v>
      </x:c>
      <x:c r="E1" s="4" t="str">
        <x:v>D4_4a N06: Tool-Efficiency Rubric (100 points)</x:v>
      </x:c>
      <x:c r="F1" s="4" t="str">
        <x:v>D4_4a N06: Tool-Efficiency Rubric (100 points)</x:v>
      </x:c>
      <x:c r="G1" s="4" t="str">
        <x:v>D4_4a N06: Tool-Efficiency Rubric (100 points)</x:v>
      </x:c>
    </x:row>
    <x:row r="2" ht="26" customHeight="1">
      <x:c r="A2" s="4" t="str">
        <x:v>D4_4a N06: Tool-Efficiency Rubric (100 points)</x:v>
      </x:c>
      <x:c r="B2" s="4" t="str">
        <x:v>D4_4a N06: Tool-Efficiency Rubric (100 points)</x:v>
      </x:c>
      <x:c r="C2" s="4" t="str">
        <x:v>D4_4a N06: Tool-Efficiency Rubric (100 points)</x:v>
      </x:c>
      <x:c r="D2" s="4" t="str">
        <x:v>D4_4a N06: Tool-Efficiency Rubric (100 points)</x:v>
      </x:c>
      <x:c r="E2" s="4" t="str">
        <x:v>D4_4a N06: Tool-Efficiency Rubric (100 points)</x:v>
      </x:c>
      <x:c r="F2" s="4" t="str">
        <x:v>D4_4a N06: Tool-Efficiency Rubric (100 points)</x:v>
      </x:c>
      <x:c r="G2" s="4" t="str">
        <x:v>D4_4a N06: Tool-Efficiency Rubric (100 points)</x:v>
      </x:c>
    </x:row>
    <x:row r="4">
      <x:c r="A4" s="29" t="str">
        <x:v>The reference path uses 3 valid full-plant simulations. Score common baselining, variable control, information gain, transparent external calculations and timely stopping.</x:v>
      </x:c>
      <x:c r="B4" s="29" t="str">
        <x:v>The reference path uses 3 valid full-plant simulations. Score common baselining, variable control, information gain, transparent external calculations and timely stopping.</x:v>
      </x:c>
      <x:c r="C4" s="29" t="str">
        <x:v>The reference path uses 3 valid full-plant simulations. Score common baselining, variable control, information gain, transparent external calculations and timely stopping.</x:v>
      </x:c>
      <x:c r="D4" s="29" t="str">
        <x:v>The reference path uses 3 valid full-plant simulations. Score common baselining, variable control, information gain, transparent external calculations and timely stopping.</x:v>
      </x:c>
      <x:c r="E4" s="29" t="str">
        <x:v>The reference path uses 3 valid full-plant simulations. Score common baselining, variable control, information gain, transparent external calculations and timely stopping.</x:v>
      </x:c>
      <x:c r="F4" s="29" t="str">
        <x:v>The reference path uses 3 valid full-plant simulations. Score common baselining, variable control, information gain, transparent external calculations and timely stopping.</x:v>
      </x:c>
      <x:c r="G4" s="29" t="str">
        <x:v>The reference path uses 3 valid full-plant simulations. Score common baselining, variable control, information gain, transparent external calculations and timely stopping.</x:v>
      </x:c>
    </x:row>
    <x:row r="5">
      <x:c r="A5" s="29" t="str">
        <x:v>The reference path uses 3 valid full-plant simulations. Score common baselining, variable control, information gain, transparent external calculations and timely stopping.</x:v>
      </x:c>
      <x:c r="B5" s="29" t="str">
        <x:v>The reference path uses 3 valid full-plant simulations. Score common baselining, variable control, information gain, transparent external calculations and timely stopping.</x:v>
      </x:c>
      <x:c r="C5" s="29" t="str">
        <x:v>The reference path uses 3 valid full-plant simulations. Score common baselining, variable control, information gain, transparent external calculations and timely stopping.</x:v>
      </x:c>
      <x:c r="D5" s="29" t="str">
        <x:v>The reference path uses 3 valid full-plant simulations. Score common baselining, variable control, information gain, transparent external calculations and timely stopping.</x:v>
      </x:c>
      <x:c r="E5" s="29" t="str">
        <x:v>The reference path uses 3 valid full-plant simulations. Score common baselining, variable control, information gain, transparent external calculations and timely stopping.</x:v>
      </x:c>
      <x:c r="F5" s="29" t="str">
        <x:v>The reference path uses 3 valid full-plant simulations. Score common baselining, variable control, information gain, transparent external calculations and timely stopping.</x:v>
      </x:c>
      <x:c r="G5" s="29" t="str">
        <x:v>The reference path uses 3 valid full-plant simulations. Score common baselining, variable control, information gain, transparent external calculations and timely stopping.</x:v>
      </x:c>
    </x:row>
    <x:row r="6">
      <x:c r="A6" s="29" t="str">
        <x:v>The reference path uses 3 valid full-plant simulations. Score common baselining, variable control, information gain, transparent external calculations and timely stopping.</x:v>
      </x:c>
      <x:c r="B6" s="29" t="str">
        <x:v>The reference path uses 3 valid full-plant simulations. Score common baselining, variable control, information gain, transparent external calculations and timely stopping.</x:v>
      </x:c>
      <x:c r="C6" s="29" t="str">
        <x:v>The reference path uses 3 valid full-plant simulations. Score common baselining, variable control, information gain, transparent external calculations and timely stopping.</x:v>
      </x:c>
      <x:c r="D6" s="29" t="str">
        <x:v>The reference path uses 3 valid full-plant simulations. Score common baselining, variable control, information gain, transparent external calculations and timely stopping.</x:v>
      </x:c>
      <x:c r="E6" s="29" t="str">
        <x:v>The reference path uses 3 valid full-plant simulations. Score common baselining, variable control, information gain, transparent external calculations and timely stopping.</x:v>
      </x:c>
      <x:c r="F6" s="29" t="str">
        <x:v>The reference path uses 3 valid full-plant simulations. Score common baselining, variable control, information gain, transparent external calculations and timely stopping.</x:v>
      </x:c>
      <x:c r="G6" s="29" t="str">
        <x:v>The reference path uses 3 valid full-plant simulations. Score common baselining, variable control, information gain, transparent external calculations and timely stopping.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1" t="str">
        <x:v>E1 Tool choice</x:v>
      </x:c>
      <x:c r="B9" s="21" t="str">
        <x:v>Use whole-plant cost tool</x:v>
      </x:c>
      <x:c r="C9" s="21" t="str">
        <x:v>Primarily simulate_swro_system</x:v>
      </x:c>
      <x:c r="D9" s="21" t="str">
        <x:v>A few irrelevant metadata calls</x:v>
      </x:c>
      <x:c r="E9" s="21" t="str">
        <x:v>Use single-membrane tool for plant CAPEX</x:v>
      </x:c>
      <x:c r="F9" s="21" t="str">
        <x:v>total_capital_cost_usd</x:v>
      </x:c>
      <x:c r="G9" s="21" t="n">
        <x:v>20</x:v>
      </x:c>
    </x:row>
    <x:row r="10" ht="72" customHeight="1">
      <x:c r="A10" s="21" t="str">
        <x:v>E2 Base/invariants</x:v>
      </x:c>
      <x:c r="B10" s="21" t="str">
        <x:v>Maintain comparability</x:v>
      </x:c>
      <x:c r="C10" s="21" t="str">
        <x:v>Change only the specified input or configuration</x:v>
      </x:c>
      <x:c r="D10" s="21" t="str">
        <x:v>One noncritical co-change</x:v>
      </x:c>
      <x:c r="E10" s="21" t="str">
        <x:v>Multiple co-changes prevent attribution</x:v>
      </x:c>
      <x:c r="F10" s="21" t="str">
        <x:v>N06</x:v>
      </x:c>
      <x:c r="G10" s="21" t="n">
        <x:v>20</x:v>
      </x:c>
    </x:row>
    <x:row r="11" ht="72" customHeight="1">
      <x:c r="A11" s="21" t="str">
        <x:v>E3 Information gain</x:v>
      </x:c>
      <x:c r="B11" s="21" t="str">
        <x:v>Cover every required decision boundary</x:v>
      </x:c>
      <x:c r="C11" s="21" t="str">
        <x:v>Each call supports screening, adjacent proof or configuration comparison</x:v>
      </x:c>
      <x:c r="D11" s="21" t="str">
        <x:v>One or two extra confirmations</x:v>
      </x:c>
      <x:c r="E11" s="21" t="str">
        <x:v>Blind large-grid scan</x:v>
      </x:c>
      <x:c r="F11" s="21" t="str">
        <x:v>3 calls</x:v>
      </x:c>
      <x:c r="G11" s="21" t="n">
        <x:v>20</x:v>
      </x:c>
    </x:row>
    <x:row r="12" ht="72" customHeight="1">
      <x:c r="A12" s="21" t="str">
        <x:v>E4 External basis</x:v>
      </x:c>
      <x:c r="B12" s="21" t="str">
        <x:v>Calculate multiplier/premium/index transparently outside tool</x:v>
      </x:c>
      <x:c r="C12" s="21" t="str">
        <x:v>Preserve raw tool facts and show separate formulas</x:v>
      </x:c>
      <x:c r="D12" s="21" t="str">
        <x:v>Correct result but unclear source</x:v>
      </x:c>
      <x:c r="E12" s="21" t="str">
        <x:v>Rewrite tool output</x:v>
      </x:c>
      <x:c r="F12" s="21" t="str">
        <x:v>Cost escalation and contingency are specified approval adjustments, not simulator outputs, and must be added explicitly.</x:v>
      </x:c>
      <x:c r="G12" s="21" t="n">
        <x:v>20</x:v>
      </x:c>
    </x:row>
    <x:row r="13" ht="72" customHeight="1">
      <x:c r="A13" s="21" t="str">
        <x:v>E5 Convergence</x:v>
      </x:c>
      <x:c r="B13" s="21" t="str">
        <x:v>Stop when evidence is sufficient</x:v>
      </x:c>
      <x:c r="C13" s="21" t="str">
        <x:v>About 3–4 calls</x:v>
      </x:c>
      <x:c r="D13" s="21" t="str">
        <x:v>Minor redundancy</x:v>
      </x:c>
      <x:c r="E13" s="21" t="str">
        <x:v>Too few calls or excessive enumeration</x:v>
      </x:c>
      <x:c r="F13" s="21" t="str">
        <x:v>Timely stop</x:v>
      </x:c>
      <x:c r="G13" s="21" t="n">
        <x:v>20</x:v>
      </x:c>
    </x:row>
    <x:row r="15">
      <x:c r="F15" s="36" t="str">
        <x:v>Tool-efficiency total</x:v>
      </x:c>
      <x:c r="G15" s="36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