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470ddc415c46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d6725020055e4327"/>
    <x:sheet xmlns:r="http://schemas.openxmlformats.org/officeDocument/2006/relationships" name="Gold_Answer_A" sheetId="2" r:id="R6c5d99a6669d4ae6"/>
    <x:sheet xmlns:r="http://schemas.openxmlformats.org/officeDocument/2006/relationships" name="Trajectory_Rubric" sheetId="3" r:id="R69aef833bf4049f4"/>
    <x:sheet xmlns:r="http://schemas.openxmlformats.org/officeDocument/2006/relationships" name="Tool_Efficiency" sheetId="4" r:id="R40a18a25399942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"/>
    <x:numFmt numFmtId="201" formatCode="0.000"/>
    <x:numFmt numFmtId="202" formatCode="0.00000000"/>
    <x:numFmt numFmtId="203" formatCode="0.00%"/>
  </x:numFmts>
  <x:fonts count="7">
    <x:font>
      <x:sz val="11"/>
      <x:name val="Carlito"/>
    </x:font>
    <x:font>
      <x:sz val="10"/>
      <x:color rgb="FF1F2937"/>
      <x:name val="Aptos"/>
    </x:font>
    <x:font>
      <x:b/>
      <x:sz val="17"/>
      <x:color rgb="FFFFFFFF"/>
      <x:name val="Aptos"/>
    </x:font>
    <x:font>
      <x:sz val="10"/>
      <x:color rgb="FF9C6500"/>
      <x:name val="Aptos"/>
    </x:font>
    <x:font>
      <x:b/>
      <x:sz val="10"/>
      <x:color rgb="FFFFFFFF"/>
      <x:name val="Aptos"/>
    </x:font>
    <x:font>
      <x:b/>
      <x:sz val="10"/>
      <x:color rgb="FF17365D"/>
      <x:name val="Aptos"/>
    </x:font>
    <x:font>
      <x:b/>
      <x:sz val="10"/>
      <x:color rgb="FF375623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3" fontId="1" fillId="0" borderId="1" xfId="0" applyNumberFormat="1" applyFont="1" applyFill="1" applyBorder="1" applyAlignment="1">
      <x:alignment vertical="center" wrapText="1"/>
    </x:xf>
    <x:xf numFmtId="203" fontId="1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11464bb5154051" /><Relationship Type="http://schemas.openxmlformats.org/officeDocument/2006/relationships/theme" Target="/xl/theme/theme1.xml" Id="R83d690cfaadf479a" /><Relationship Type="http://schemas.openxmlformats.org/officeDocument/2006/relationships/sharedStrings" Target="/xl/sharedStrings.xml" Id="Ra5e189d049d54d7d" /><Relationship Type="http://schemas.openxmlformats.org/officeDocument/2006/relationships/worksheet" Target="/xl/worksheets/sheet1.xml" Id="Rd6725020055e4327" /><Relationship Type="http://schemas.openxmlformats.org/officeDocument/2006/relationships/worksheet" Target="/xl/worksheets/sheet2.xml" Id="R6c5d99a6669d4ae6" /><Relationship Type="http://schemas.openxmlformats.org/officeDocument/2006/relationships/worksheet" Target="/xl/worksheets/sheet3.xml" Id="R69aef833bf4049f4" /><Relationship Type="http://schemas.openxmlformats.org/officeDocument/2006/relationships/worksheet" Target="/xl/worksheets/sheet4.xml" Id="R40a18a253999423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b460af408d5479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Production boundary by candidate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Production</c:v>
          </c:tx>
          <c:marker>
            <c:symbol val="none"/>
          </c:marker>
          <c:cat>
            <c:strRef>
              <c:f>'Gold_Answer_A'!$J$10:$J$13</c:f>
              <c:strCache>
                <c:ptCount val="0"/>
              </c:strCache>
            </c:strRef>
          </c:cat>
          <c:val>
            <c:numRef>
              <c:f>'Gold_Answer_A'!$K$10:$K$13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Target</c:v>
          </c:tx>
          <c:marker>
            <c:symbol val="none"/>
          </c:marker>
          <c:cat>
            <c:strRef>
              <c:f>'Gold_Answer_A'!$J$10:$J$13</c:f>
              <c:strCache>
                <c:ptCount val="0"/>
              </c:strCache>
            </c:strRef>
          </c:cat>
          <c:val>
            <c:numRef>
              <c:f>'Gold_Answer_A'!$L$10:$L$13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7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460af408d5479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af1cd0e865e43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" hidden="0" customWidth="1"/>
    <x:col min="8" max="8" width="28" hidden="0" customWidth="1"/>
    <x:col min="9" max="9" width="24" hidden="0" customWidth="1"/>
    <x:col min="10" max="10" width="26" hidden="0" customWidth="1"/>
    <x:col min="11" max="11" width="22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9" customHeight="1">
      <x:c r="A1" s="6" t="str">
        <x:v>N06｜Whole-Plant SWRO Package: Product Flow, PX Energy, and Scaling Margin</x:v>
      </x:c>
      <x:c r="B1" s="6" t="str">
        <x:v>N06｜Whole-Plant SWRO Package: Product Flow, PX Energy, and Scaling Margin</x:v>
      </x:c>
      <x:c r="C1" s="6" t="str">
        <x:v>N06｜Whole-Plant SWRO Package: Product Flow, PX Energy, and Scaling Margin</x:v>
      </x:c>
      <x:c r="D1" s="6" t="str">
        <x:v>N06｜Whole-Plant SWRO Package: Product Flow, PX Energy, and Scaling Margin</x:v>
      </x:c>
      <x:c r="E1" s="6" t="str">
        <x:v>N06｜Whole-Plant SWRO Package: Product Flow, PX Energy, and Scaling Margin</x:v>
      </x:c>
      <x:c r="F1" s="6" t="str">
        <x:v>N06｜Whole-Plant SWRO Package: Product Flow, PX Energy, and Scaling Margin</x:v>
      </x:c>
      <x:c r="G1" s="6" t="str">
        <x:v>N06｜Whole-Plant SWRO Package: Product Flow, PX Energy, and Scaling Margin</x:v>
      </x:c>
      <x:c r="H1" s="6" t="str">
        <x:v>N06｜Whole-Plant SWRO Package: Product Flow, PX Energy, and Scaling Margin</x:v>
      </x:c>
      <x:c r="I1" s="6" t="str">
        <x:v>N06｜Whole-Plant SWRO Package: Product Flow, PX Energy, and Scaling Margin</x:v>
      </x:c>
      <x:c r="J1" s="6" t="str">
        <x:v>N06｜Whole-Plant SWRO Package: Product Flow, PX Energy, and Scaling Margin</x:v>
      </x:c>
      <x:c r="K1" s="6" t="str">
        <x:v>N06｜Whole-Plant SWRO Package: Product Flow, PX Energy, and Scaling Margin</x:v>
      </x:c>
      <x:c r="L1" s="6" t="str">
        <x:v>N06｜Whole-Plant SWRO Package: Product Flow, PX Energy, and Scaling Margin</x:v>
      </x:c>
      <x:c r="M1" s="6" t="str">
        <x:v>N06｜Whole-Plant SWRO Package: Product Flow, PX Energy, and Scaling Margin</x:v>
      </x:c>
      <x:c r="N1" s="6" t="str">
        <x:v>N06｜Whole-Plant SWRO Package: Product Flow, PX Energy, and Scaling Margin</x:v>
      </x:c>
    </x:row>
    <x:row r="2" ht="29" customHeight="1">
      <x:c r="A2" s="6" t="str">
        <x:v>N06｜Whole-Plant SWRO Package: Product Flow, PX Energy, and Scaling Margin</x:v>
      </x:c>
      <x:c r="B2" s="6" t="str">
        <x:v>N06｜Whole-Plant SWRO Package: Product Flow, PX Energy, and Scaling Margin</x:v>
      </x:c>
      <x:c r="C2" s="6" t="str">
        <x:v>N06｜Whole-Plant SWRO Package: Product Flow, PX Energy, and Scaling Margin</x:v>
      </x:c>
      <x:c r="D2" s="6" t="str">
        <x:v>N06｜Whole-Plant SWRO Package: Product Flow, PX Energy, and Scaling Margin</x:v>
      </x:c>
      <x:c r="E2" s="6" t="str">
        <x:v>N06｜Whole-Plant SWRO Package: Product Flow, PX Energy, and Scaling Margin</x:v>
      </x:c>
      <x:c r="F2" s="6" t="str">
        <x:v>N06｜Whole-Plant SWRO Package: Product Flow, PX Energy, and Scaling Margin</x:v>
      </x:c>
      <x:c r="G2" s="6" t="str">
        <x:v>N06｜Whole-Plant SWRO Package: Product Flow, PX Energy, and Scaling Margin</x:v>
      </x:c>
      <x:c r="H2" s="6" t="str">
        <x:v>N06｜Whole-Plant SWRO Package: Product Flow, PX Energy, and Scaling Margin</x:v>
      </x:c>
      <x:c r="I2" s="6" t="str">
        <x:v>N06｜Whole-Plant SWRO Package: Product Flow, PX Energy, and Scaling Margin</x:v>
      </x:c>
      <x:c r="J2" s="6" t="str">
        <x:v>N06｜Whole-Plant SWRO Package: Product Flow, PX Energy, and Scaling Margin</x:v>
      </x:c>
      <x:c r="K2" s="6" t="str">
        <x:v>N06｜Whole-Plant SWRO Package: Product Flow, PX Energy, and Scaling Margin</x:v>
      </x:c>
      <x:c r="L2" s="6" t="str">
        <x:v>N06｜Whole-Plant SWRO Package: Product Flow, PX Energy, and Scaling Margin</x:v>
      </x:c>
      <x:c r="M2" s="6" t="str">
        <x:v>N06｜Whole-Plant SWRO Package: Product Flow, PX Energy, and Scaling Margin</x:v>
      </x:c>
      <x:c r="N2" s="6" t="str">
        <x:v>N06｜Whole-Plant SWRO Package: Product Flow, PX Energy, and Scaling Margin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2" customHeight="1">
      <x:c r="A4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B4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C4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D4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E4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F4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G4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H4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I4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J4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K4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L4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M4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N4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</x:row>
    <x:row r="5" ht="32" customHeight="1">
      <x:c r="A5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B5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C5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D5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E5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F5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G5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H5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I5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J5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K5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L5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M5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N5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</x:row>
    <x:row r="6" ht="32" customHeight="1">
      <x:c r="A6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B6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C6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D6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E6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F6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G6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H6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I6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J6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K6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L6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M6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  <x:c r="N6" s="9" t="str">
        <x:v>An SWRO project with 0.10 m³/s feed must choose among four whole-plant packages. Hard constraints are product flow ≥0.036 m³/s, SEC ≤3.0 kWh/m³, and Gypsum SI ≤−0.08; lower LCOW is the tie-breaker. Use simulate_swro_system for production, energy and cost, then pass each unique RO recovery to equilibrate_feed. Reuse chemistry results for identical recoveries.</x:v>
      </x:c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11" t="str">
        <x:v>RO / whole-plant model inputs</x:v>
      </x:c>
      <x:c r="B8" s="11" t="str">
        <x:v>RO / whole-plant model inputs</x:v>
      </x:c>
      <x:c r="C8" s="11" t="str">
        <x:v>RO / whole-plant model inputs</x:v>
      </x:c>
      <x:c r="D8" s="11" t="str">
        <x:v>RO / whole-plant model inputs</x:v>
      </x:c>
      <x:c r="E8" s="11" t="str">
        <x:v>RO / whole-plant model inputs</x:v>
      </x:c>
      <x:c r="F8" s="11" t="str">
        <x:v>RO / whole-plant model inputs</x:v>
      </x:c>
      <x:c r="G8" s="2"/>
      <x:c r="H8" s="11" t="str">
        <x:v>Candidate designs and hard constraints</x:v>
      </x:c>
      <x:c r="I8" s="11" t="str">
        <x:v>Candidate designs and hard constraints</x:v>
      </x:c>
      <x:c r="J8" s="11" t="str">
        <x:v>Candidate designs and hard constraints</x:v>
      </x:c>
      <x:c r="K8" s="11" t="str">
        <x:v>Candidate designs and hard constraints</x:v>
      </x:c>
      <x:c r="L8" s="11" t="str">
        <x:v>Candidate designs and hard constraints</x:v>
      </x:c>
      <x:c r="M8" s="11" t="str">
        <x:v>Candidate designs and hard constraints</x:v>
      </x:c>
      <x:c r="N8" s="11" t="str">
        <x:v>Candidate designs and hard constraints</x:v>
      </x:c>
    </x:row>
    <x:row r="9" ht="31" customHeight="1">
      <x:c r="A9" s="16" t="str">
        <x:v>Parameter</x:v>
      </x:c>
      <x:c r="B9" s="16" t="str">
        <x:v>Value</x:v>
      </x:c>
      <x:c r="C9" s="16" t="str">
        <x:v>Unit</x:v>
      </x:c>
      <x:c r="D9" s="2"/>
      <x:c r="E9" s="2"/>
      <x:c r="F9" s="2"/>
      <x:c r="G9" s="2"/>
      <x:c r="H9" s="18" t="str">
        <x:v>1. A: 60bar/4500m²/PX95%</x:v>
      </x:c>
      <x:c r="I9" s="18" t="str">
        <x:v>1. A: 60bar/4500m²/PX95%</x:v>
      </x:c>
      <x:c r="J9" s="18" t="str">
        <x:v>1. A: 60bar/4500m²/PX95%</x:v>
      </x:c>
      <x:c r="K9" s="18" t="str">
        <x:v>1. A: 60bar/4500m²/PX95%</x:v>
      </x:c>
      <x:c r="L9" s="18" t="str">
        <x:v>1. A: 60bar/4500m²/PX95%</x:v>
      </x:c>
      <x:c r="M9" s="18" t="str">
        <x:v>1. A: 60bar/4500m²/PX95%</x:v>
      </x:c>
      <x:c r="N9" s="18" t="str">
        <x:v>1. A: 60bar/4500m²/PX95%</x:v>
      </x:c>
    </x:row>
    <x:row r="10" ht="31" customHeight="1">
      <x:c r="A10" s="18" t="str">
        <x:v>Feed flow</x:v>
      </x:c>
      <x:c r="B10" s="19" t="n">
        <x:v>0.1</x:v>
      </x:c>
      <x:c r="C10" s="18" t="str">
        <x:v>m³/s</x:v>
      </x:c>
      <x:c r="D10" s="2"/>
      <x:c r="E10" s="2"/>
      <x:c r="F10" s="2"/>
      <x:c r="G10" s="2"/>
      <x:c r="H10" s="18" t="str">
        <x:v>2. B: 65bar/4500m²/PX95%</x:v>
      </x:c>
      <x:c r="I10" s="18" t="str">
        <x:v>2. B: 65bar/4500m²/PX95%</x:v>
      </x:c>
      <x:c r="J10" s="18" t="str">
        <x:v>2. B: 65bar/4500m²/PX95%</x:v>
      </x:c>
      <x:c r="K10" s="18" t="str">
        <x:v>2. B: 65bar/4500m²/PX95%</x:v>
      </x:c>
      <x:c r="L10" s="18" t="str">
        <x:v>2. B: 65bar/4500m²/PX95%</x:v>
      </x:c>
      <x:c r="M10" s="18" t="str">
        <x:v>2. B: 65bar/4500m²/PX95%</x:v>
      </x:c>
      <x:c r="N10" s="18" t="str">
        <x:v>2. B: 65bar/4500m²/PX95%</x:v>
      </x:c>
    </x:row>
    <x:row r="11" ht="31" customHeight="1">
      <x:c r="A11" s="18" t="str">
        <x:v>TDS</x:v>
      </x:c>
      <x:c r="B11" s="20" t="n">
        <x:v>35</x:v>
      </x:c>
      <x:c r="C11" s="18" t="str">
        <x:v>g/L</x:v>
      </x:c>
      <x:c r="D11" s="2"/>
      <x:c r="E11" s="2"/>
      <x:c r="F11" s="2"/>
      <x:c r="G11" s="2"/>
      <x:c r="H11" s="18" t="str">
        <x:v>3. C: 65bar/5000m²/PX95%</x:v>
      </x:c>
      <x:c r="I11" s="18" t="str">
        <x:v>3. C: 65bar/5000m²/PX95%</x:v>
      </x:c>
      <x:c r="J11" s="18" t="str">
        <x:v>3. C: 65bar/5000m²/PX95%</x:v>
      </x:c>
      <x:c r="K11" s="18" t="str">
        <x:v>3. C: 65bar/5000m²/PX95%</x:v>
      </x:c>
      <x:c r="L11" s="18" t="str">
        <x:v>3. C: 65bar/5000m²/PX95%</x:v>
      </x:c>
      <x:c r="M11" s="18" t="str">
        <x:v>3. C: 65bar/5000m²/PX95%</x:v>
      </x:c>
      <x:c r="N11" s="18" t="str">
        <x:v>3. C: 65bar/5000m²/PX95%</x:v>
      </x:c>
    </x:row>
    <x:row r="12" ht="31" customHeight="1">
      <x:c r="A12" s="18" t="str">
        <x:v>TSS</x:v>
      </x:c>
      <x:c r="B12" s="19" t="n">
        <x:v>0.03</x:v>
      </x:c>
      <x:c r="C12" s="18" t="str">
        <x:v>g/L</x:v>
      </x:c>
      <x:c r="D12" s="2"/>
      <x:c r="E12" s="2"/>
      <x:c r="F12" s="2"/>
      <x:c r="G12" s="2"/>
      <x:c r="H12" s="18" t="str">
        <x:v>4. D: 65bar/4500m²/PAT85%</x:v>
      </x:c>
      <x:c r="I12" s="18" t="str">
        <x:v>4. D: 65bar/4500m²/PAT85%</x:v>
      </x:c>
      <x:c r="J12" s="18" t="str">
        <x:v>4. D: 65bar/4500m²/PAT85%</x:v>
      </x:c>
      <x:c r="K12" s="18" t="str">
        <x:v>4. D: 65bar/4500m²/PAT85%</x:v>
      </x:c>
      <x:c r="L12" s="18" t="str">
        <x:v>4. D: 65bar/4500m²/PAT85%</x:v>
      </x:c>
      <x:c r="M12" s="18" t="str">
        <x:v>4. D: 65bar/4500m²/PAT85%</x:v>
      </x:c>
      <x:c r="N12" s="18" t="str">
        <x:v>4. D: 65bar/4500m²/PAT85%</x:v>
      </x:c>
    </x:row>
    <x:row r="13" ht="31" customHeight="1">
      <x:c r="A13" s="18" t="str">
        <x:v>Temperature</x:v>
      </x:c>
      <x:c r="B13" s="20" t="n">
        <x:v>25</x:v>
      </x:c>
      <x:c r="C13" s="18" t="str">
        <x:v>°C</x:v>
      </x:c>
      <x:c r="D13" s="2"/>
      <x:c r="E13" s="2"/>
      <x:c r="F13" s="2"/>
      <x:c r="G13" s="2"/>
      <x:c r="H13" s="18" t="str">
        <x:v>5. Product ≥0.036m³/s; SEC ≤3.0; Gypsum SI ≤−0.08</x:v>
      </x:c>
      <x:c r="I13" s="18" t="str">
        <x:v>5. Product ≥0.036m³/s; SEC ≤3.0; Gypsum SI ≤−0.08</x:v>
      </x:c>
      <x:c r="J13" s="18" t="str">
        <x:v>5. Product ≥0.036m³/s; SEC ≤3.0; Gypsum SI ≤−0.08</x:v>
      </x:c>
      <x:c r="K13" s="18" t="str">
        <x:v>5. Product ≥0.036m³/s; SEC ≤3.0; Gypsum SI ≤−0.08</x:v>
      </x:c>
      <x:c r="L13" s="18" t="str">
        <x:v>5. Product ≥0.036m³/s; SEC ≤3.0; Gypsum SI ≤−0.08</x:v>
      </x:c>
      <x:c r="M13" s="18" t="str">
        <x:v>5. Product ≥0.036m³/s; SEC ≤3.0; Gypsum SI ≤−0.08</x:v>
      </x:c>
      <x:c r="N13" s="18" t="str">
        <x:v>5. Product ≥0.036m³/s; SEC ≤3.0; Gypsum SI ≤−0.08</x:v>
      </x:c>
    </x:row>
    <x:row r="14" ht="31" customHeight="1">
      <x:c r="A14" s="18" t="str">
        <x:v>HP pump efficiency</x:v>
      </x:c>
      <x:c r="B14" s="19" t="n">
        <x:v>0.8</x:v>
      </x:c>
      <x:c r="C14" s="18" t="str">
        <x:v>—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31" customHeight="1">
      <x:c r="A15" s="18" t="str">
        <x:v>PX efficiency</x:v>
      </x:c>
      <x:c r="B15" s="19" t="n">
        <x:v>0.95</x:v>
      </x:c>
      <x:c r="C15" s="18" t="str">
        <x:v>—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31" customHeight="1">
      <x:c r="A16" s="18" t="str">
        <x:v>PAT efficiency</x:v>
      </x:c>
      <x:c r="B16" s="19" t="n">
        <x:v>0.85</x:v>
      </x:c>
      <x:c r="C16" s="18" t="str">
        <x:v>—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31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31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31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31" customHeight="1">
      <x:c r="A20" s="11" t="str">
        <x:v>Ionic composition for equilibrate_feed</x:v>
      </x:c>
      <x:c r="B20" s="11" t="str">
        <x:v>Ionic composition for equilibrate_feed</x:v>
      </x:c>
      <x:c r="C20" s="11" t="str">
        <x:v>Ionic composition for equilibrate_feed</x:v>
      </x:c>
      <x:c r="D20" s="11" t="str">
        <x:v>Ionic composition for equilibrate_feed</x:v>
      </x:c>
      <x:c r="E20" s="11" t="str">
        <x:v>Ionic composition for equilibrate_feed</x:v>
      </x:c>
      <x:c r="F20" s="11" t="str">
        <x:v>Ionic composition for equilibrate_feed</x:v>
      </x:c>
      <x:c r="G20" s="2"/>
      <x:c r="H20" s="11" t="str">
        <x:v>Required tasks and scope</x:v>
      </x:c>
      <x:c r="I20" s="11" t="str">
        <x:v>Required tasks and scope</x:v>
      </x:c>
      <x:c r="J20" s="11" t="str">
        <x:v>Required tasks and scope</x:v>
      </x:c>
      <x:c r="K20" s="11" t="str">
        <x:v>Required tasks and scope</x:v>
      </x:c>
      <x:c r="L20" s="11" t="str">
        <x:v>Required tasks and scope</x:v>
      </x:c>
      <x:c r="M20" s="11" t="str">
        <x:v>Required tasks and scope</x:v>
      </x:c>
      <x:c r="N20" s="11" t="str">
        <x:v>Required tasks and scope</x:v>
      </x:c>
    </x:row>
    <x:row r="21" ht="31" customHeight="1">
      <x:c r="A21" s="16" t="str">
        <x:v>Species</x:v>
      </x:c>
      <x:c r="B21" s="16" t="str">
        <x:v>Flow mol/s</x:v>
      </x:c>
      <x:c r="C21" s="16" t="str">
        <x:v>Note</x:v>
      </x:c>
      <x:c r="D21" s="2"/>
      <x:c r="E21" s="2"/>
      <x:c r="F21" s="2"/>
      <x:c r="G21" s="2"/>
      <x:c r="H21" s="18" t="str">
        <x:v>1. Use simulate_swro_system for all candidates with non-target inputs fixed.</x:v>
      </x:c>
      <x:c r="I21" s="18" t="str">
        <x:v>1. Use simulate_swro_system for all candidates with non-target inputs fixed.</x:v>
      </x:c>
      <x:c r="J21" s="18" t="str">
        <x:v>1. Use simulate_swro_system for all candidates with non-target inputs fixed.</x:v>
      </x:c>
      <x:c r="K21" s="18" t="str">
        <x:v>1. Use simulate_swro_system for all candidates with non-target inputs fixed.</x:v>
      </x:c>
      <x:c r="L21" s="18" t="str">
        <x:v>1. Use simulate_swro_system for all candidates with non-target inputs fixed.</x:v>
      </x:c>
      <x:c r="M21" s="18" t="str">
        <x:v>1. Use simulate_swro_system for all candidates with non-target inputs fixed.</x:v>
      </x:c>
      <x:c r="N21" s="18" t="str">
        <x:v>1. Use simulate_swro_system for all candidates with non-target inputs fixed.</x:v>
      </x:c>
    </x:row>
    <x:row r="22" ht="31" customHeight="1">
      <x:c r="A22" s="18" t="str">
        <x:v>H2O</x:v>
      </x:c>
      <x:c r="B22" s="21" t="n">
        <x:v>55.5</x:v>
      </x:c>
      <x:c r="C22" s="18" t="str">
        <x:v>Model input</x:v>
      </x:c>
      <x:c r="D22" s="2"/>
      <x:c r="E22" s="2"/>
      <x:c r="F22" s="2"/>
      <x:c r="G22" s="2"/>
      <x:c r="H22" s="18" t="str">
        <x:v>2. Apply production and quality/energy constraints jointly, not one metric alone.</x:v>
      </x:c>
      <x:c r="I22" s="18" t="str">
        <x:v>2. Apply production and quality/energy constraints jointly, not one metric alone.</x:v>
      </x:c>
      <x:c r="J22" s="18" t="str">
        <x:v>2. Apply production and quality/energy constraints jointly, not one metric alone.</x:v>
      </x:c>
      <x:c r="K22" s="18" t="str">
        <x:v>2. Apply production and quality/energy constraints jointly, not one metric alone.</x:v>
      </x:c>
      <x:c r="L22" s="18" t="str">
        <x:v>2. Apply production and quality/energy constraints jointly, not one metric alone.</x:v>
      </x:c>
      <x:c r="M22" s="18" t="str">
        <x:v>2. Apply production and quality/energy constraints jointly, not one metric alone.</x:v>
      </x:c>
      <x:c r="N22" s="18" t="str">
        <x:v>2. Apply production and quality/energy constraints jointly, not one metric alone.</x:v>
      </x:c>
    </x:row>
    <x:row r="23" ht="31" customHeight="1">
      <x:c r="A23" s="18" t="str">
        <x:v>Na</x:v>
      </x:c>
      <x:c r="B23" s="21" t="n">
        <x:v>0.42</x:v>
      </x:c>
      <x:c r="C23" s="18" t="str">
        <x:v>Model input</x:v>
      </x:c>
      <x:c r="D23" s="2"/>
      <x:c r="E23" s="2"/>
      <x:c r="F23" s="2"/>
      <x:c r="G23" s="2"/>
      <x:c r="H23" s="18" t="str">
        <x:v>3. Pass actual candidate recovery into equilibrate_feed; do not substitute nominal recovery.</x:v>
      </x:c>
      <x:c r="I23" s="18" t="str">
        <x:v>3. Pass actual candidate recovery into equilibrate_feed; do not substitute nominal recovery.</x:v>
      </x:c>
      <x:c r="J23" s="18" t="str">
        <x:v>3. Pass actual candidate recovery into equilibrate_feed; do not substitute nominal recovery.</x:v>
      </x:c>
      <x:c r="K23" s="18" t="str">
        <x:v>3. Pass actual candidate recovery into equilibrate_feed; do not substitute nominal recovery.</x:v>
      </x:c>
      <x:c r="L23" s="18" t="str">
        <x:v>3. Pass actual candidate recovery into equilibrate_feed; do not substitute nominal recovery.</x:v>
      </x:c>
      <x:c r="M23" s="18" t="str">
        <x:v>3. Pass actual candidate recovery into equilibrate_feed; do not substitute nominal recovery.</x:v>
      </x:c>
      <x:c r="N23" s="18" t="str">
        <x:v>3. Pass actual candidate recovery into equilibrate_feed; do not substitute nominal recovery.</x:v>
      </x:c>
    </x:row>
    <x:row r="24" ht="31" customHeight="1">
      <x:c r="A24" s="18" t="str">
        <x:v>Cl</x:v>
      </x:c>
      <x:c r="B24" s="21" t="n">
        <x:v>0.465</x:v>
      </x:c>
      <x:c r="C24" s="18" t="str">
        <x:v>Model input</x:v>
      </x:c>
      <x:c r="D24" s="2"/>
      <x:c r="E24" s="2"/>
      <x:c r="F24" s="2"/>
      <x:c r="G24" s="2"/>
      <x:c r="H24" s="18" t="str">
        <x:v>4. Prove the boundary with adjacent fail/pass cases and state the stopping rule.</x:v>
      </x:c>
      <x:c r="I24" s="18" t="str">
        <x:v>4. Prove the boundary with adjacent fail/pass cases and state the stopping rule.</x:v>
      </x:c>
      <x:c r="J24" s="18" t="str">
        <x:v>4. Prove the boundary with adjacent fail/pass cases and state the stopping rule.</x:v>
      </x:c>
      <x:c r="K24" s="18" t="str">
        <x:v>4. Prove the boundary with adjacent fail/pass cases and state the stopping rule.</x:v>
      </x:c>
      <x:c r="L24" s="18" t="str">
        <x:v>4. Prove the boundary with adjacent fail/pass cases and state the stopping rule.</x:v>
      </x:c>
      <x:c r="M24" s="18" t="str">
        <x:v>4. Prove the boundary with adjacent fail/pass cases and state the stopping rule.</x:v>
      </x:c>
      <x:c r="N24" s="18" t="str">
        <x:v>4. Prove the boundary with adjacent fail/pass cases and state the stopping rule.</x:v>
      </x:c>
    </x:row>
    <x:row r="25" ht="31" customHeight="1">
      <x:c r="A25" s="18" t="str">
        <x:v>Mg</x:v>
      </x:c>
      <x:c r="B25" s="21" t="n">
        <x:v>0.045</x:v>
      </x:c>
      <x:c r="C25" s="18" t="str">
        <x:v>Model input</x:v>
      </x:c>
      <x:c r="D25" s="2"/>
      <x:c r="E25" s="2"/>
      <x:c r="F25" s="2"/>
      <x:c r="G25" s="2"/>
      <x:c r="H25" s="18" t="str">
        <x:v>5. Record key simulations, final conclusion, and omitted kinetics/fouling/control uncertainty.</x:v>
      </x:c>
      <x:c r="I25" s="18" t="str">
        <x:v>5. Record key simulations, final conclusion, and omitted kinetics/fouling/control uncertainty.</x:v>
      </x:c>
      <x:c r="J25" s="18" t="str">
        <x:v>5. Record key simulations, final conclusion, and omitted kinetics/fouling/control uncertainty.</x:v>
      </x:c>
      <x:c r="K25" s="18" t="str">
        <x:v>5. Record key simulations, final conclusion, and omitted kinetics/fouling/control uncertainty.</x:v>
      </x:c>
      <x:c r="L25" s="18" t="str">
        <x:v>5. Record key simulations, final conclusion, and omitted kinetics/fouling/control uncertainty.</x:v>
      </x:c>
      <x:c r="M25" s="18" t="str">
        <x:v>5. Record key simulations, final conclusion, and omitted kinetics/fouling/control uncertainty.</x:v>
      </x:c>
      <x:c r="N25" s="18" t="str">
        <x:v>5. Record key simulations, final conclusion, and omitted kinetics/fouling/control uncertainty.</x:v>
      </x:c>
    </x:row>
    <x:row r="26" ht="31" customHeight="1">
      <x:c r="A26" s="18" t="str">
        <x:v>SO4</x:v>
      </x:c>
      <x:c r="B26" s="21" t="n">
        <x:v>0.04</x:v>
      </x:c>
      <x:c r="C26" s="18" t="str">
        <x:v>Model input</x:v>
      </x:c>
      <x:c r="D26" s="2"/>
      <x:c r="E26" s="2"/>
      <x:c r="F26" s="2"/>
      <x:c r="G26" s="2"/>
      <x:c r="H26" s="18" t="str">
        <x:v>The chemistry criterion uses a Gypsum SI design margin of −0.08.</x:v>
      </x:c>
      <x:c r="I26" s="18" t="str">
        <x:v>The chemistry criterion uses a Gypsum SI design margin of −0.08.</x:v>
      </x:c>
      <x:c r="J26" s="18" t="str">
        <x:v>The chemistry criterion uses a Gypsum SI design margin of −0.08.</x:v>
      </x:c>
      <x:c r="K26" s="18" t="str">
        <x:v>The chemistry criterion uses a Gypsum SI design margin of −0.08.</x:v>
      </x:c>
      <x:c r="L26" s="18" t="str">
        <x:v>The chemistry criterion uses a Gypsum SI design margin of −0.08.</x:v>
      </x:c>
      <x:c r="M26" s="18" t="str">
        <x:v>The chemistry criterion uses a Gypsum SI design margin of −0.08.</x:v>
      </x:c>
      <x:c r="N26" s="18" t="str">
        <x:v>The chemistry criterion uses a Gypsum SI design margin of −0.08.</x:v>
      </x:c>
    </x:row>
    <x:row r="27" ht="31" customHeight="1">
      <x:c r="A27" s="18" t="str">
        <x:v>Ca</x:v>
      </x:c>
      <x:c r="B27" s="21" t="n">
        <x:v>0.018</x:v>
      </x:c>
      <x:c r="C27" s="18" t="str">
        <x:v>Model input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31" customHeight="1">
      <x:c r="A28" s="18" t="str">
        <x:v>HCO3</x:v>
      </x:c>
      <x:c r="B28" s="21" t="n">
        <x:v>0.001</x:v>
      </x:c>
      <x:c r="C28" s="18" t="str">
        <x:v>Model input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31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31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</x:sheetData>
  <x:mergeCells>
    <x:mergeCell ref="A1:N2"/>
    <x:mergeCell ref="A4:N6"/>
    <x:mergeCell ref="A8:F8"/>
    <x:mergeCell ref="H8:N8"/>
    <x:mergeCell ref="H9:N9"/>
    <x:mergeCell ref="H10:N10"/>
    <x:mergeCell ref="H11:N11"/>
    <x:mergeCell ref="H12:N12"/>
    <x:mergeCell ref="H13:N13"/>
    <x:mergeCell ref="A20:F20"/>
    <x:mergeCell ref="H20:N20"/>
    <x:mergeCell ref="H21:N21"/>
    <x:mergeCell ref="H22:N22"/>
    <x:mergeCell ref="H23:N23"/>
    <x:mergeCell ref="H24:N24"/>
    <x:mergeCell ref="H25:N25"/>
    <x:mergeCell ref="H26:N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29" hidden="0" customWidth="1"/>
    <x:col min="9" max="9" width="30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9" customHeight="1">
      <x:c r="A1" s="6" t="str">
        <x:v>N06｜Gold Answer</x:v>
      </x:c>
      <x:c r="B1" s="6" t="str">
        <x:v>N06｜Gold Answer</x:v>
      </x:c>
      <x:c r="C1" s="6" t="str">
        <x:v>N06｜Gold Answer</x:v>
      </x:c>
      <x:c r="D1" s="6" t="str">
        <x:v>N06｜Gold Answer</x:v>
      </x:c>
      <x:c r="E1" s="6" t="str">
        <x:v>N06｜Gold Answer</x:v>
      </x:c>
      <x:c r="F1" s="6" t="str">
        <x:v>N06｜Gold Answer</x:v>
      </x:c>
      <x:c r="G1" s="6" t="str">
        <x:v>N06｜Gold Answer</x:v>
      </x:c>
      <x:c r="H1" s="6" t="str">
        <x:v>N06｜Gold Answer</x:v>
      </x:c>
      <x:c r="I1" s="6" t="str">
        <x:v>N06｜Gold Answer</x:v>
      </x:c>
      <x:c r="J1" s="6" t="str">
        <x:v>N06｜Gold Answer</x:v>
      </x:c>
      <x:c r="K1" s="6" t="str">
        <x:v>N06｜Gold Answer</x:v>
      </x:c>
      <x:c r="L1" s="6" t="str">
        <x:v>N06｜Gold Answer</x:v>
      </x:c>
      <x:c r="M1" s="6" t="str">
        <x:v>N06｜Gold Answer</x:v>
      </x:c>
      <x:c r="N1" s="6" t="str">
        <x:v>N06｜Gold Answer</x:v>
      </x:c>
    </x:row>
    <x:row r="2" ht="29" customHeight="1">
      <x:c r="A2" s="6" t="str">
        <x:v>N06｜Gold Answer</x:v>
      </x:c>
      <x:c r="B2" s="6" t="str">
        <x:v>N06｜Gold Answer</x:v>
      </x:c>
      <x:c r="C2" s="6" t="str">
        <x:v>N06｜Gold Answer</x:v>
      </x:c>
      <x:c r="D2" s="6" t="str">
        <x:v>N06｜Gold Answer</x:v>
      </x:c>
      <x:c r="E2" s="6" t="str">
        <x:v>N06｜Gold Answer</x:v>
      </x:c>
      <x:c r="F2" s="6" t="str">
        <x:v>N06｜Gold Answer</x:v>
      </x:c>
      <x:c r="G2" s="6" t="str">
        <x:v>N06｜Gold Answer</x:v>
      </x:c>
      <x:c r="H2" s="6" t="str">
        <x:v>N06｜Gold Answer</x:v>
      </x:c>
      <x:c r="I2" s="6" t="str">
        <x:v>N06｜Gold Answer</x:v>
      </x:c>
      <x:c r="J2" s="6" t="str">
        <x:v>N06｜Gold Answer</x:v>
      </x:c>
      <x:c r="K2" s="6" t="str">
        <x:v>N06｜Gold Answer</x:v>
      </x:c>
      <x:c r="L2" s="6" t="str">
        <x:v>N06｜Gold Answer</x:v>
      </x:c>
      <x:c r="M2" s="6" t="str">
        <x:v>N06｜Gold Answer</x:v>
      </x:c>
      <x:c r="N2" s="6" t="str">
        <x:v>N06｜Gold Answer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4" t="str">
        <x:v>Recommend package B: 65 bar, 4500 m² and 95% PX. Product flow is 0.03613 m³/s (about 3122.03 m³/d), RO recovery 36.2287%, SEC 2.8403 kWh/m³, LCOW $1.2640/m³, and Gypsum SI −0.08769.</x:v>
      </x:c>
      <x:c r="B4" s="24" t="str">
        <x:v>Recommend package B: 65 bar, 4500 m² and 95% PX. Product flow is 0.03613 m³/s (about 3122.03 m³/d), RO recovery 36.2287%, SEC 2.8403 kWh/m³, LCOW $1.2640/m³, and Gypsum SI −0.08769.</x:v>
      </x:c>
      <x:c r="C4" s="24" t="str">
        <x:v>Recommend package B: 65 bar, 4500 m² and 95% PX. Product flow is 0.03613 m³/s (about 3122.03 m³/d), RO recovery 36.2287%, SEC 2.8403 kWh/m³, LCOW $1.2640/m³, and Gypsum SI −0.08769.</x:v>
      </x:c>
      <x:c r="D4" s="24" t="str">
        <x:v>Recommend package B: 65 bar, 4500 m² and 95% PX. Product flow is 0.03613 m³/s (about 3122.03 m³/d), RO recovery 36.2287%, SEC 2.8403 kWh/m³, LCOW $1.2640/m³, and Gypsum SI −0.08769.</x:v>
      </x:c>
      <x:c r="E4" s="24" t="str">
        <x:v>Recommend package B: 65 bar, 4500 m² and 95% PX. Product flow is 0.03613 m³/s (about 3122.03 m³/d), RO recovery 36.2287%, SEC 2.8403 kWh/m³, LCOW $1.2640/m³, and Gypsum SI −0.08769.</x:v>
      </x:c>
      <x:c r="F4" s="24" t="str">
        <x:v>Recommend package B: 65 bar, 4500 m² and 95% PX. Product flow is 0.03613 m³/s (about 3122.03 m³/d), RO recovery 36.2287%, SEC 2.8403 kWh/m³, LCOW $1.2640/m³, and Gypsum SI −0.08769.</x:v>
      </x:c>
      <x:c r="G4" s="24" t="str">
        <x:v>Recommend package B: 65 bar, 4500 m² and 95% PX. Product flow is 0.03613 m³/s (about 3122.03 m³/d), RO recovery 36.2287%, SEC 2.8403 kWh/m³, LCOW $1.2640/m³, and Gypsum SI −0.08769.</x:v>
      </x:c>
      <x:c r="H4" s="24" t="str">
        <x:v>Recommend package B: 65 bar, 4500 m² and 95% PX. Product flow is 0.03613 m³/s (about 3122.03 m³/d), RO recovery 36.2287%, SEC 2.8403 kWh/m³, LCOW $1.2640/m³, and Gypsum SI −0.08769.</x:v>
      </x:c>
      <x:c r="I4" s="24" t="str">
        <x:v>Recommend package B: 65 bar, 4500 m² and 95% PX. Product flow is 0.03613 m³/s (about 3122.03 m³/d), RO recovery 36.2287%, SEC 2.8403 kWh/m³, LCOW $1.2640/m³, and Gypsum SI −0.08769.</x:v>
      </x:c>
      <x:c r="J4" s="24" t="str">
        <x:v>Recommend package B: 65 bar, 4500 m² and 95% PX. Product flow is 0.03613 m³/s (about 3122.03 m³/d), RO recovery 36.2287%, SEC 2.8403 kWh/m³, LCOW $1.2640/m³, and Gypsum SI −0.08769.</x:v>
      </x:c>
      <x:c r="K4" s="24" t="str">
        <x:v>Recommend package B: 65 bar, 4500 m² and 95% PX. Product flow is 0.03613 m³/s (about 3122.03 m³/d), RO recovery 36.2287%, SEC 2.8403 kWh/m³, LCOW $1.2640/m³, and Gypsum SI −0.08769.</x:v>
      </x:c>
      <x:c r="L4" s="24" t="str">
        <x:v>Recommend package B: 65 bar, 4500 m² and 95% PX. Product flow is 0.03613 m³/s (about 3122.03 m³/d), RO recovery 36.2287%, SEC 2.8403 kWh/m³, LCOW $1.2640/m³, and Gypsum SI −0.08769.</x:v>
      </x:c>
      <x:c r="M4" s="24" t="str">
        <x:v>Recommend package B: 65 bar, 4500 m² and 95% PX. Product flow is 0.03613 m³/s (about 3122.03 m³/d), RO recovery 36.2287%, SEC 2.8403 kWh/m³, LCOW $1.2640/m³, and Gypsum SI −0.08769.</x:v>
      </x:c>
      <x:c r="N4" s="24" t="str">
        <x:v>Recommend package B: 65 bar, 4500 m² and 95% PX. Product flow is 0.03613 m³/s (about 3122.03 m³/d), RO recovery 36.2287%, SEC 2.8403 kWh/m³, LCOW $1.2640/m³, and Gypsum SI −0.08769.</x:v>
      </x:c>
    </x:row>
    <x:row r="5">
      <x:c r="A5" s="24" t="str">
        <x:v>Recommend package B: 65 bar, 4500 m² and 95% PX. Product flow is 0.03613 m³/s (about 3122.03 m³/d), RO recovery 36.2287%, SEC 2.8403 kWh/m³, LCOW $1.2640/m³, and Gypsum SI −0.08769.</x:v>
      </x:c>
      <x:c r="B5" s="24" t="str">
        <x:v>Recommend package B: 65 bar, 4500 m² and 95% PX. Product flow is 0.03613 m³/s (about 3122.03 m³/d), RO recovery 36.2287%, SEC 2.8403 kWh/m³, LCOW $1.2640/m³, and Gypsum SI −0.08769.</x:v>
      </x:c>
      <x:c r="C5" s="24" t="str">
        <x:v>Recommend package B: 65 bar, 4500 m² and 95% PX. Product flow is 0.03613 m³/s (about 3122.03 m³/d), RO recovery 36.2287%, SEC 2.8403 kWh/m³, LCOW $1.2640/m³, and Gypsum SI −0.08769.</x:v>
      </x:c>
      <x:c r="D5" s="24" t="str">
        <x:v>Recommend package B: 65 bar, 4500 m² and 95% PX. Product flow is 0.03613 m³/s (about 3122.03 m³/d), RO recovery 36.2287%, SEC 2.8403 kWh/m³, LCOW $1.2640/m³, and Gypsum SI −0.08769.</x:v>
      </x:c>
      <x:c r="E5" s="24" t="str">
        <x:v>Recommend package B: 65 bar, 4500 m² and 95% PX. Product flow is 0.03613 m³/s (about 3122.03 m³/d), RO recovery 36.2287%, SEC 2.8403 kWh/m³, LCOW $1.2640/m³, and Gypsum SI −0.08769.</x:v>
      </x:c>
      <x:c r="F5" s="24" t="str">
        <x:v>Recommend package B: 65 bar, 4500 m² and 95% PX. Product flow is 0.03613 m³/s (about 3122.03 m³/d), RO recovery 36.2287%, SEC 2.8403 kWh/m³, LCOW $1.2640/m³, and Gypsum SI −0.08769.</x:v>
      </x:c>
      <x:c r="G5" s="24" t="str">
        <x:v>Recommend package B: 65 bar, 4500 m² and 95% PX. Product flow is 0.03613 m³/s (about 3122.03 m³/d), RO recovery 36.2287%, SEC 2.8403 kWh/m³, LCOW $1.2640/m³, and Gypsum SI −0.08769.</x:v>
      </x:c>
      <x:c r="H5" s="24" t="str">
        <x:v>Recommend package B: 65 bar, 4500 m² and 95% PX. Product flow is 0.03613 m³/s (about 3122.03 m³/d), RO recovery 36.2287%, SEC 2.8403 kWh/m³, LCOW $1.2640/m³, and Gypsum SI −0.08769.</x:v>
      </x:c>
      <x:c r="I5" s="24" t="str">
        <x:v>Recommend package B: 65 bar, 4500 m² and 95% PX. Product flow is 0.03613 m³/s (about 3122.03 m³/d), RO recovery 36.2287%, SEC 2.8403 kWh/m³, LCOW $1.2640/m³, and Gypsum SI −0.08769.</x:v>
      </x:c>
      <x:c r="J5" s="24" t="str">
        <x:v>Recommend package B: 65 bar, 4500 m² and 95% PX. Product flow is 0.03613 m³/s (about 3122.03 m³/d), RO recovery 36.2287%, SEC 2.8403 kWh/m³, LCOW $1.2640/m³, and Gypsum SI −0.08769.</x:v>
      </x:c>
      <x:c r="K5" s="24" t="str">
        <x:v>Recommend package B: 65 bar, 4500 m² and 95% PX. Product flow is 0.03613 m³/s (about 3122.03 m³/d), RO recovery 36.2287%, SEC 2.8403 kWh/m³, LCOW $1.2640/m³, and Gypsum SI −0.08769.</x:v>
      </x:c>
      <x:c r="L5" s="24" t="str">
        <x:v>Recommend package B: 65 bar, 4500 m² and 95% PX. Product flow is 0.03613 m³/s (about 3122.03 m³/d), RO recovery 36.2287%, SEC 2.8403 kWh/m³, LCOW $1.2640/m³, and Gypsum SI −0.08769.</x:v>
      </x:c>
      <x:c r="M5" s="24" t="str">
        <x:v>Recommend package B: 65 bar, 4500 m² and 95% PX. Product flow is 0.03613 m³/s (about 3122.03 m³/d), RO recovery 36.2287%, SEC 2.8403 kWh/m³, LCOW $1.2640/m³, and Gypsum SI −0.08769.</x:v>
      </x:c>
      <x:c r="N5" s="24" t="str">
        <x:v>Recommend package B: 65 bar, 4500 m² and 95% PX. Product flow is 0.03613 m³/s (about 3122.03 m³/d), RO recovery 36.2287%, SEC 2.8403 kWh/m³, LCOW $1.2640/m³, and Gypsum SI −0.08769.</x:v>
      </x:c>
    </x:row>
    <x:row r="6">
      <x:c r="A6" s="24" t="str">
        <x:v>Recommend package B: 65 bar, 4500 m² and 95% PX. Product flow is 0.03613 m³/s (about 3122.03 m³/d), RO recovery 36.2287%, SEC 2.8403 kWh/m³, LCOW $1.2640/m³, and Gypsum SI −0.08769.</x:v>
      </x:c>
      <x:c r="B6" s="24" t="str">
        <x:v>Recommend package B: 65 bar, 4500 m² and 95% PX. Product flow is 0.03613 m³/s (about 3122.03 m³/d), RO recovery 36.2287%, SEC 2.8403 kWh/m³, LCOW $1.2640/m³, and Gypsum SI −0.08769.</x:v>
      </x:c>
      <x:c r="C6" s="24" t="str">
        <x:v>Recommend package B: 65 bar, 4500 m² and 95% PX. Product flow is 0.03613 m³/s (about 3122.03 m³/d), RO recovery 36.2287%, SEC 2.8403 kWh/m³, LCOW $1.2640/m³, and Gypsum SI −0.08769.</x:v>
      </x:c>
      <x:c r="D6" s="24" t="str">
        <x:v>Recommend package B: 65 bar, 4500 m² and 95% PX. Product flow is 0.03613 m³/s (about 3122.03 m³/d), RO recovery 36.2287%, SEC 2.8403 kWh/m³, LCOW $1.2640/m³, and Gypsum SI −0.08769.</x:v>
      </x:c>
      <x:c r="E6" s="24" t="str">
        <x:v>Recommend package B: 65 bar, 4500 m² and 95% PX. Product flow is 0.03613 m³/s (about 3122.03 m³/d), RO recovery 36.2287%, SEC 2.8403 kWh/m³, LCOW $1.2640/m³, and Gypsum SI −0.08769.</x:v>
      </x:c>
      <x:c r="F6" s="24" t="str">
        <x:v>Recommend package B: 65 bar, 4500 m² and 95% PX. Product flow is 0.03613 m³/s (about 3122.03 m³/d), RO recovery 36.2287%, SEC 2.8403 kWh/m³, LCOW $1.2640/m³, and Gypsum SI −0.08769.</x:v>
      </x:c>
      <x:c r="G6" s="24" t="str">
        <x:v>Recommend package B: 65 bar, 4500 m² and 95% PX. Product flow is 0.03613 m³/s (about 3122.03 m³/d), RO recovery 36.2287%, SEC 2.8403 kWh/m³, LCOW $1.2640/m³, and Gypsum SI −0.08769.</x:v>
      </x:c>
      <x:c r="H6" s="24" t="str">
        <x:v>Recommend package B: 65 bar, 4500 m² and 95% PX. Product flow is 0.03613 m³/s (about 3122.03 m³/d), RO recovery 36.2287%, SEC 2.8403 kWh/m³, LCOW $1.2640/m³, and Gypsum SI −0.08769.</x:v>
      </x:c>
      <x:c r="I6" s="24" t="str">
        <x:v>Recommend package B: 65 bar, 4500 m² and 95% PX. Product flow is 0.03613 m³/s (about 3122.03 m³/d), RO recovery 36.2287%, SEC 2.8403 kWh/m³, LCOW $1.2640/m³, and Gypsum SI −0.08769.</x:v>
      </x:c>
      <x:c r="J6" s="24" t="str">
        <x:v>Recommend package B: 65 bar, 4500 m² and 95% PX. Product flow is 0.03613 m³/s (about 3122.03 m³/d), RO recovery 36.2287%, SEC 2.8403 kWh/m³, LCOW $1.2640/m³, and Gypsum SI −0.08769.</x:v>
      </x:c>
      <x:c r="K6" s="24" t="str">
        <x:v>Recommend package B: 65 bar, 4500 m² and 95% PX. Product flow is 0.03613 m³/s (about 3122.03 m³/d), RO recovery 36.2287%, SEC 2.8403 kWh/m³, LCOW $1.2640/m³, and Gypsum SI −0.08769.</x:v>
      </x:c>
      <x:c r="L6" s="24" t="str">
        <x:v>Recommend package B: 65 bar, 4500 m² and 95% PX. Product flow is 0.03613 m³/s (about 3122.03 m³/d), RO recovery 36.2287%, SEC 2.8403 kWh/m³, LCOW $1.2640/m³, and Gypsum SI −0.08769.</x:v>
      </x:c>
      <x:c r="M6" s="24" t="str">
        <x:v>Recommend package B: 65 bar, 4500 m² and 95% PX. Product flow is 0.03613 m³/s (about 3122.03 m³/d), RO recovery 36.2287%, SEC 2.8403 kWh/m³, LCOW $1.2640/m³, and Gypsum SI −0.08769.</x:v>
      </x:c>
      <x:c r="N6" s="24" t="str">
        <x:v>Recommend package B: 65 bar, 4500 m² and 95% PX. Product flow is 0.03613 m³/s (about 3122.03 m³/d), RO recovery 36.2287%, SEC 2.8403 kWh/m³, LCOW $1.2640/m³, and Gypsum SI −0.08769.</x:v>
      </x:c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11" t="str">
        <x:v>Step 1｜simulate_swro_system</x:v>
      </x:c>
      <x:c r="B8" s="11" t="str">
        <x:v>Step 1｜simulate_swro_system</x:v>
      </x:c>
      <x:c r="C8" s="11" t="str">
        <x:v>Step 1｜simulate_swro_system</x:v>
      </x:c>
      <x:c r="D8" s="11" t="str">
        <x:v>Step 1｜simulate_swro_system</x:v>
      </x:c>
      <x:c r="E8" s="11" t="str">
        <x:v>Step 1｜simulate_swro_system</x:v>
      </x:c>
      <x:c r="F8" s="11" t="str">
        <x:v>Step 1｜simulate_swro_system</x:v>
      </x:c>
      <x:c r="G8" s="11" t="str">
        <x:v>Step 1｜simulate_swro_system</x:v>
      </x:c>
      <x:c r="H8" s="11" t="str">
        <x:v>Step 1｜simulate_swro_system</x:v>
      </x:c>
      <x:c r="I8" s="2"/>
      <x:c r="J8" s="2"/>
      <x:c r="K8" s="2"/>
      <x:c r="L8" s="2"/>
      <x:c r="M8" s="2"/>
      <x:c r="N8" s="2"/>
    </x:row>
    <x:row r="9">
      <x:c r="A9" s="16" t="str">
        <x:v>Package</x:v>
      </x:c>
      <x:c r="B9" s="16" t="str">
        <x:v>Pressure/area/ERD</x:v>
      </x:c>
      <x:c r="C9" s="16" t="str">
        <x:v>Product m³/s</x:v>
      </x:c>
      <x:c r="D9" s="16" t="str">
        <x:v>RO recovery %</x:v>
      </x:c>
      <x:c r="E9" s="16" t="str">
        <x:v>SEC kWh/m³</x:v>
      </x:c>
      <x:c r="F9" s="16" t="str">
        <x:v>LCOW $/m³</x:v>
      </x:c>
      <x:c r="G9" s="16" t="str">
        <x:v>CAPEX $</x:v>
      </x:c>
      <x:c r="H9" s="16" t="str">
        <x:v>Flow/energy decision</x:v>
      </x:c>
      <x:c r="I9" s="2"/>
      <x:c r="J9" s="2" t="str">
        <x:v>Candidate</x:v>
      </x:c>
      <x:c r="K9" s="2" t="str">
        <x:v>Production</x:v>
      </x:c>
      <x:c r="L9" s="2" t="str">
        <x:v>Target</x:v>
      </x:c>
      <x:c r="M9" s="2"/>
      <x:c r="N9" s="2"/>
    </x:row>
    <x:row r="10" ht="38" customHeight="1">
      <x:c r="A10" s="18" t="str">
        <x:v>A</x:v>
      </x:c>
      <x:c r="B10" s="18" t="str">
        <x:v>60bar/4500m²/PX</x:v>
      </x:c>
      <x:c r="C10" s="19" t="n">
        <x:v>0.03240510418</x:v>
      </x:c>
      <x:c r="D10" s="19" t="n">
        <x:v>32.48920658</x:v>
      </x:c>
      <x:c r="E10" s="19" t="n">
        <x:v>2.685754204</x:v>
      </x:c>
      <x:c r="F10" s="19" t="n">
        <x:v>1.352393037</x:v>
      </x:c>
      <x:c r="G10" s="19" t="n">
        <x:v>12179853.91</x:v>
      </x:c>
      <x:c r="H10" s="18" t="str">
        <x:v>Product flow fails</x:v>
      </x:c>
      <x:c r="I10" s="2"/>
      <x:c r="J10" s="2" t="str">
        <x:f>A10</x:f>
        <x:v>A</x:v>
      </x:c>
      <x:c r="K10" s="2" t="n">
        <x:f>C10</x:f>
        <x:v>0.03240510418</x:v>
      </x:c>
      <x:c r="L10" s="2" t="n">
        <x:f>0.036</x:f>
        <x:v>0.036</x:v>
      </x:c>
      <x:c r="M10" s="2"/>
      <x:c r="N10" s="2"/>
    </x:row>
    <x:row r="11" ht="38" customHeight="1">
      <x:c r="A11" s="25" t="str">
        <x:v>B</x:v>
      </x:c>
      <x:c r="B11" s="25" t="str">
        <x:v>65bar/4500m²/PX</x:v>
      </x:c>
      <x:c r="C11" s="26" t="n">
        <x:v>0.03613455175</x:v>
      </x:c>
      <x:c r="D11" s="26" t="n">
        <x:v>36.22865845</x:v>
      </x:c>
      <x:c r="E11" s="26" t="n">
        <x:v>2.840254872</x:v>
      </x:c>
      <x:c r="F11" s="26" t="n">
        <x:v>1.264004209</x:v>
      </x:c>
      <x:c r="G11" s="26" t="n">
        <x:v>12502077.81</x:v>
      </x:c>
      <x:c r="H11" s="25" t="str">
        <x:v>Flow/energy pass</x:v>
      </x:c>
      <x:c r="I11" s="2"/>
      <x:c r="J11" s="2" t="str">
        <x:f>A11</x:f>
        <x:v>B</x:v>
      </x:c>
      <x:c r="K11" s="2" t="n">
        <x:f>C11</x:f>
        <x:v>0.03613455175</x:v>
      </x:c>
      <x:c r="L11" s="2" t="n">
        <x:f>0.036</x:f>
        <x:v>0.036</x:v>
      </x:c>
      <x:c r="M11" s="2"/>
      <x:c r="N11" s="2"/>
    </x:row>
    <x:row r="12" ht="38" customHeight="1">
      <x:c r="A12" s="18" t="str">
        <x:v>C</x:v>
      </x:c>
      <x:c r="B12" s="18" t="str">
        <x:v>65bar/5000m²/PX</x:v>
      </x:c>
      <x:c r="C12" s="19" t="n">
        <x:v>0.03883036144</x:v>
      </x:c>
      <x:c r="D12" s="19" t="n">
        <x:v>38.93112059</x:v>
      </x:c>
      <x:c r="E12" s="19" t="n">
        <x:v>2.818470317</x:v>
      </x:c>
      <x:c r="F12" s="19" t="n">
        <x:v>1.203603692</x:v>
      </x:c>
      <x:c r="G12" s="19" t="n">
        <x:v>12698914.46</x:v>
      </x:c>
      <x:c r="H12" s="18" t="str">
        <x:v>Flow/energy pass</x:v>
      </x:c>
      <x:c r="I12" s="2"/>
      <x:c r="J12" s="2" t="str">
        <x:f>A12</x:f>
        <x:v>C</x:v>
      </x:c>
      <x:c r="K12" s="2" t="n">
        <x:f>C12</x:f>
        <x:v>0.03883036144</x:v>
      </x:c>
      <x:c r="L12" s="2" t="n">
        <x:f>0.036</x:f>
        <x:v>0.036</x:v>
      </x:c>
      <x:c r="M12" s="2"/>
      <x:c r="N12" s="2"/>
    </x:row>
    <x:row r="13" ht="38" customHeight="1">
      <x:c r="A13" s="18" t="str">
        <x:v>D</x:v>
      </x:c>
      <x:c r="B13" s="18" t="str">
        <x:v>65bar/4500m²/PAT</x:v>
      </x:c>
      <x:c r="C13" s="19" t="n">
        <x:v>0.03613455175</x:v>
      </x:c>
      <x:c r="D13" s="19" t="n">
        <x:v>36.22865845</x:v>
      </x:c>
      <x:c r="E13" s="19" t="n">
        <x:v>6.559983248</x:v>
      </x:c>
      <x:c r="F13" s="19" t="n">
        <x:v>1.611124839</x:v>
      </x:c>
      <x:c r="G13" s="19" t="n">
        <x:v>14030476.62</x:v>
      </x:c>
      <x:c r="H13" s="18" t="str">
        <x:v>SEC severely fails</x:v>
      </x:c>
      <x:c r="I13" s="2"/>
      <x:c r="J13" s="2" t="str">
        <x:f>A13</x:f>
        <x:v>D</x:v>
      </x:c>
      <x:c r="K13" s="2" t="n">
        <x:f>C13</x:f>
        <x:v>0.03613455175</x:v>
      </x:c>
      <x:c r="L13" s="2" t="n">
        <x:f>0.036</x:f>
        <x:v>0.036</x:v>
      </x:c>
      <x:c r="M13" s="2"/>
      <x:c r="N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11" t="str">
        <x:v>Step 2｜equilibrate_feed</x:v>
      </x:c>
      <x:c r="B17" s="11" t="str">
        <x:v>Step 2｜equilibrate_feed</x:v>
      </x:c>
      <x:c r="C17" s="11" t="str">
        <x:v>Step 2｜equilibrate_feed</x:v>
      </x:c>
      <x:c r="D17" s="11" t="str">
        <x:v>Step 2｜equilibrate_feed</x:v>
      </x:c>
      <x:c r="E17" s="11" t="str">
        <x:v>Step 2｜equilibrate_feed</x:v>
      </x:c>
      <x:c r="F17" s="11" t="str">
        <x:v>Step 2｜equilibrate_feed</x:v>
      </x:c>
      <x:c r="G17" s="11" t="str">
        <x:v>Step 2｜equilibrate_feed</x:v>
      </x:c>
      <x:c r="H17" s="11" t="str">
        <x:v>Step 2｜equilibrate_feed</x:v>
      </x:c>
      <x:c r="I17" s="11" t="str">
        <x:v>Step 2｜equilibrate_feed</x:v>
      </x:c>
      <x:c r="J17" s="2"/>
      <x:c r="K17" s="2"/>
      <x:c r="L17" s="2"/>
      <x:c r="M17" s="2"/>
      <x:c r="N17" s="2"/>
    </x:row>
    <x:row r="18">
      <x:c r="A18" s="16" t="str">
        <x:v>Package</x:v>
      </x:c>
      <x:c r="B18" s="16" t="str">
        <x:v>RO recovery</x:v>
      </x:c>
      <x:c r="C18" s="16" t="str">
        <x:v>Reuse flag</x:v>
      </x:c>
      <x:c r="D18" s="16" t="str">
        <x:v>Gypsum SI</x:v>
      </x:c>
      <x:c r="E18" s="16" t="str">
        <x:v>Anhydrite SI</x:v>
      </x:c>
      <x:c r="F18" s="16" t="str">
        <x:v>Calcite SI</x:v>
      </x:c>
      <x:c r="G18" s="16" t="str">
        <x:v>Dolomite SI</x:v>
      </x:c>
      <x:c r="H18" s="16" t="str">
        <x:v>pH</x:v>
      </x:c>
      <x:c r="I18" s="16" t="str">
        <x:v>Overall decision</x:v>
      </x:c>
      <x:c r="J18" s="2"/>
      <x:c r="K18" s="2"/>
      <x:c r="L18" s="2"/>
      <x:c r="M18" s="2"/>
      <x:c r="N18" s="2"/>
    </x:row>
    <x:row r="19" ht="39" customHeight="1">
      <x:c r="A19" s="18" t="str">
        <x:v>A</x:v>
      </x:c>
      <x:c r="B19" s="19" t="n">
        <x:v>0.3248920658</x:v>
      </x:c>
      <x:c r="C19" s="27"/>
      <x:c r="D19" s="19" t="n">
        <x:v>-0.1123172809</x:v>
      </x:c>
      <x:c r="E19" s="19" t="n">
        <x:v>-0.4410299359</x:v>
      </x:c>
      <x:c r="F19" s="19" t="n">
        <x:v>-1.019168582</x:v>
      </x:c>
      <x:c r="G19" s="19" t="n">
        <x:v>-1.318856908</x:v>
      </x:c>
      <x:c r="H19" s="19" t="n">
        <x:v>6.456819169</x:v>
      </x:c>
      <x:c r="I19" s="18" t="str">
        <x:v>Scaling passes; flow fails</x:v>
      </x:c>
      <x:c r="J19" s="2"/>
      <x:c r="K19" s="2"/>
      <x:c r="L19" s="2"/>
      <x:c r="M19" s="2"/>
      <x:c r="N19" s="2"/>
    </x:row>
    <x:row r="20" ht="39" customHeight="1">
      <x:c r="A20" s="25" t="str">
        <x:v>B</x:v>
      </x:c>
      <x:c r="B20" s="26" t="n">
        <x:v>0.3622865845</x:v>
      </x:c>
      <x:c r="C20" s="28"/>
      <x:c r="D20" s="26" t="n">
        <x:v>-0.087685953</x:v>
      </x:c>
      <x:c r="E20" s="26" t="n">
        <x:v>-0.4151528515</x:v>
      </x:c>
      <x:c r="F20" s="26" t="n">
        <x:v>-0.9851292936</x:v>
      </x:c>
      <x:c r="G20" s="26" t="n">
        <x:v>-1.24912142</x:v>
      </x:c>
      <x:c r="H20" s="26" t="n">
        <x:v>6.449976132</x:v>
      </x:c>
      <x:c r="I20" s="25" t="str">
        <x:v>All three hard constraints pass / recommend</x:v>
      </x:c>
      <x:c r="J20" s="2"/>
      <x:c r="K20" s="2"/>
      <x:c r="L20" s="2"/>
      <x:c r="M20" s="2"/>
      <x:c r="N20" s="2"/>
    </x:row>
    <x:row r="21" ht="39" customHeight="1">
      <x:c r="A21" s="18" t="str">
        <x:v>C</x:v>
      </x:c>
      <x:c r="B21" s="19" t="n">
        <x:v>0.3893112059</x:v>
      </x:c>
      <x:c r="C21" s="27"/>
      <x:c r="D21" s="19" t="n">
        <x:v>-0.0689388296</x:v>
      </x:c>
      <x:c r="E21" s="19" t="n">
        <x:v>-0.3954054529</x:v>
      </x:c>
      <x:c r="F21" s="19" t="n">
        <x:v>-0.9591193383</x:v>
      </x:c>
      <x:c r="G21" s="19" t="n">
        <x:v>-1.195763935</x:v>
      </x:c>
      <x:c r="H21" s="19" t="n">
        <x:v>6.444668761</x:v>
      </x:c>
      <x:c r="I21" s="18" t="str">
        <x:v>Gypsum margin fails</x:v>
      </x:c>
      <x:c r="J21" s="2"/>
      <x:c r="K21" s="2"/>
      <x:c r="L21" s="2"/>
      <x:c r="M21" s="2"/>
      <x:c r="N21" s="2"/>
    </x:row>
    <x:row r="22" ht="39" customHeight="1">
      <x:c r="A22" s="18" t="str">
        <x:v>D</x:v>
      </x:c>
      <x:c r="B22" s="19" t="n">
        <x:v>0.3622865845</x:v>
      </x:c>
      <x:c r="C22" s="27" t="n">
        <x:v>1</x:v>
      </x:c>
      <x:c r="D22" s="19" t="n">
        <x:v>-0.087685953</x:v>
      </x:c>
      <x:c r="E22" s="19" t="n">
        <x:v>-0.4151528515</x:v>
      </x:c>
      <x:c r="F22" s="19" t="n">
        <x:v>-0.9851292936</x:v>
      </x:c>
      <x:c r="G22" s="19" t="n">
        <x:v>-1.24912142</x:v>
      </x:c>
      <x:c r="H22" s="19" t="n">
        <x:v>6.449976132</x:v>
      </x:c>
      <x:c r="I22" s="18" t="str">
        <x:v>Reuse B chemistry; SEC fails</x:v>
      </x:c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11" t="str">
        <x:v>Engineering calculations</x:v>
      </x:c>
      <x:c r="B25" s="11" t="str">
        <x:v>Engineering calculations</x:v>
      </x:c>
      <x:c r="C25" s="11" t="str">
        <x:v>Engineering calculations</x:v>
      </x:c>
      <x:c r="D25" s="2"/>
      <x:c r="E25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F25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G25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H25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I25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J25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K25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L25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M25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N25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</x:row>
    <x:row r="26">
      <x:c r="A26" s="16" t="str">
        <x:v>Metric</x:v>
      </x:c>
      <x:c r="B26" s="16" t="str">
        <x:v>Formula</x:v>
      </x:c>
      <x:c r="C26" s="16" t="str">
        <x:v>Result</x:v>
      </x:c>
      <x:c r="D26" s="2"/>
      <x:c r="E26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F26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G26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H26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I26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J26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K26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L26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M26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N26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</x:row>
    <x:row r="27">
      <x:c r="A27" s="18" t="str">
        <x:v>Daily product</x:v>
      </x:c>
      <x:c r="B27" s="18" t="str">
        <x:v>=C11*86400</x:v>
      </x:c>
      <x:c r="C27" s="19" t="n">
        <x:f>C11*86400</x:f>
        <x:v>3122.0252712</x:v>
      </x:c>
      <x:c r="D27" s="2"/>
      <x:c r="E27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F27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G27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H27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I27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J27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K27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L27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M27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N27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</x:row>
    <x:row r="28">
      <x:c r="A28" s="18" t="str">
        <x:v>SEC</x:v>
      </x:c>
      <x:c r="B28" s="18" t="str">
        <x:v>=E11</x:v>
      </x:c>
      <x:c r="C28" s="19" t="n">
        <x:f>E11</x:f>
        <x:v>2.840254872</x:v>
      </x:c>
      <x:c r="D28" s="2"/>
      <x:c r="E28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F28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G28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H28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I28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J28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K28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L28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M28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N28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</x:row>
    <x:row r="29">
      <x:c r="A29" s="18" t="str">
        <x:v>LCOW</x:v>
      </x:c>
      <x:c r="B29" s="18" t="str">
        <x:v>=F11</x:v>
      </x:c>
      <x:c r="C29" s="19" t="n">
        <x:f>F11</x:f>
        <x:v>1.264004209</x:v>
      </x:c>
      <x:c r="D29" s="2"/>
      <x:c r="E29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F29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G29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H29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I29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J29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K29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L29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M29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N29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</x:row>
    <x:row r="30">
      <x:c r="A30" s="18" t="str">
        <x:v>Gypsum margin</x:v>
      </x:c>
      <x:c r="B30" s="18" t="str">
        <x:v>=-0.08-D20</x:v>
      </x:c>
      <x:c r="C30" s="19" t="n">
        <x:f>-0.08-D20</x:f>
        <x:v>0.007685952999999995</x:v>
      </x:c>
      <x:c r="D30" s="2"/>
      <x:c r="E30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F30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G30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H30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I30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J30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K30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L30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M30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  <x:c r="N30" s="24" t="str">
        <x:v>Boundary evidence
A gives only 0.03241 m³/s. B gives 0.03613 m³/s, SEC 2.8403 and Gypsum SI −0.08769. C has lower LCOW but SI −0.06894 misses −0.08; D reaches SEC 6.5600.
Final conclusion
Recommend package B: 65 bar, 4500 m² and 95% PX. Product flow is 0.03613 m³/s (about 3122.03 m³/d), RO recovery 36.2287%, SEC 2.8403 kWh/m³, LCOW $1.2640/m³, and Gypsum SI −0.08769.</x:v>
      </x:c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11" t="str">
        <x:v>Model boundary and reproducibility</x:v>
      </x:c>
      <x:c r="B33" s="11" t="str">
        <x:v>Model boundary and reproducibility</x:v>
      </x:c>
      <x:c r="C33" s="11" t="str">
        <x:v>Model boundary and reproducibility</x:v>
      </x:c>
      <x:c r="D33" s="11" t="str">
        <x:v>Model boundary and reproducibility</x:v>
      </x:c>
      <x:c r="E33" s="11" t="str">
        <x:v>Model boundary and reproducibility</x:v>
      </x:c>
      <x:c r="F33" s="11" t="str">
        <x:v>Model boundary and reproducibility</x:v>
      </x:c>
      <x:c r="G33" s="11" t="str">
        <x:v>Model boundary and reproducibility</x:v>
      </x:c>
      <x:c r="H33" s="11" t="str">
        <x:v>Model boundary and reproducibility</x:v>
      </x:c>
      <x:c r="I33" s="11" t="str">
        <x:v>Model boundary and reproducibility</x:v>
      </x:c>
      <x:c r="J33" s="11" t="str">
        <x:v>Model boundary and reproducibility</x:v>
      </x:c>
      <x:c r="K33" s="11" t="str">
        <x:v>Model boundary and reproducibility</x:v>
      </x:c>
      <x:c r="L33" s="11" t="str">
        <x:v>Model boundary and reproducibility</x:v>
      </x:c>
      <x:c r="M33" s="11" t="str">
        <x:v>Model boundary and reproducibility</x:v>
      </x:c>
      <x:c r="N33" s="11" t="str">
        <x:v>Model boundary and reproducibility</x:v>
      </x:c>
    </x:row>
    <x:row r="34" ht="28" customHeight="1">
      <x:c r="A34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B34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C34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D34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E34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F34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G34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H34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I34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J34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K34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L34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M34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N34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</x:row>
    <x:row r="35" ht="28" customHeight="1">
      <x:c r="A35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B35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C35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D35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E35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F35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G35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H35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I35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J35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K35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L35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M35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N35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</x:row>
    <x:row r="36" ht="28" customHeight="1">
      <x:c r="A36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B36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C36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D36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E36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F36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G36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H36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I36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J36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K36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L36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M36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N36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</x:row>
    <x:row r="37" ht="28" customHeight="1">
      <x:c r="A37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B37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C37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D37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E37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F37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G37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H37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I37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J37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K37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L37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M37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N37" s="9" t="str">
        <x:v>Reference scientific calls: 4 simulate_swro_system + 3 unique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</x:sheetData>
  <x:mergeCells>
    <x:mergeCell ref="A1:N2"/>
    <x:mergeCell ref="A4:N6"/>
    <x:mergeCell ref="A8:H8"/>
    <x:mergeCell ref="A17:I17"/>
    <x:mergeCell ref="A25:C25"/>
    <x:mergeCell ref="E25:N30"/>
    <x:mergeCell ref="A33:N33"/>
    <x:mergeCell ref="A34:N37"/>
  </x:mergeCells>
  <x:pageMargins left="0.7" right="0.7" top="0.75" bottom="0.75" header="0.3" footer="0.3"/>
  <x:drawing xmlns:r="http://schemas.openxmlformats.org/officeDocument/2006/relationships" r:id="R3af1cd0e865e43d6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5" hidden="0" customWidth="1"/>
    <x:col min="3" max="3" width="53" hidden="0" customWidth="1"/>
    <x:col min="4" max="4" width="43" hidden="0" customWidth="1"/>
    <x:col min="5" max="5" width="43" hidden="0" customWidth="1"/>
    <x:col min="6" max="6" width="12" hidden="0" customWidth="1"/>
    <x:col min="7" max="7" width="12" hidden="0" customWidth="1"/>
  </x:cols>
  <x:sheetData>
    <x:row r="1" ht="29" customHeight="1">
      <x:c r="A1" s="6" t="str">
        <x:v>N06｜Trajectory Rubric (100 points)</x:v>
      </x:c>
      <x:c r="B1" s="6" t="str">
        <x:v>N06｜Trajectory Rubric (100 points)</x:v>
      </x:c>
      <x:c r="C1" s="6" t="str">
        <x:v>N06｜Trajectory Rubric (100 points)</x:v>
      </x:c>
      <x:c r="D1" s="6" t="str">
        <x:v>N06｜Trajectory Rubric (100 points)</x:v>
      </x:c>
      <x:c r="E1" s="6" t="str">
        <x:v>N06｜Trajectory Rubric (100 points)</x:v>
      </x:c>
      <x:c r="F1" s="6" t="str">
        <x:v>N06｜Trajectory Rubric (100 points)</x:v>
      </x:c>
      <x:c r="G1" s="6" t="str">
        <x:v>N06｜Trajectory Rubric (100 points)</x:v>
      </x:c>
      <x:c r="H1" s="2"/>
      <x:c r="I1" s="2"/>
      <x:c r="J1" s="2"/>
      <x:c r="K1" s="2"/>
      <x:c r="L1" s="2"/>
      <x:c r="M1" s="2"/>
      <x:c r="N1" s="2"/>
    </x:row>
    <x:row r="2" ht="29" customHeight="1">
      <x:c r="A2" s="6" t="str">
        <x:v>N06｜Trajectory Rubric (100 points)</x:v>
      </x:c>
      <x:c r="B2" s="6" t="str">
        <x:v>N06｜Trajectory Rubric (100 points)</x:v>
      </x:c>
      <x:c r="C2" s="6" t="str">
        <x:v>N06｜Trajectory Rubric (100 points)</x:v>
      </x:c>
      <x:c r="D2" s="6" t="str">
        <x:v>N06｜Trajectory Rubric (100 points)</x:v>
      </x:c>
      <x:c r="E2" s="6" t="str">
        <x:v>N06｜Trajectory Rubric (100 points)</x:v>
      </x:c>
      <x:c r="F2" s="6" t="str">
        <x:v>N06｜Trajectory Rubric (100 points)</x:v>
      </x:c>
      <x:c r="G2" s="6" t="str">
        <x:v>N06｜Trajectory Rubric (100 points)</x:v>
      </x:c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B4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C4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D4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E4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F4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G4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H4" s="2"/>
      <x:c r="I4" s="2"/>
      <x:c r="J4" s="2"/>
      <x:c r="K4" s="2"/>
      <x:c r="L4" s="2"/>
      <x:c r="M4" s="2"/>
      <x:c r="N4" s="2"/>
    </x:row>
    <x:row r="5">
      <x:c r="A5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B5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C5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D5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E5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F5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G5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H5" s="2"/>
      <x:c r="I5" s="2"/>
      <x:c r="J5" s="2"/>
      <x:c r="K5" s="2"/>
      <x:c r="L5" s="2"/>
      <x:c r="M5" s="2"/>
      <x:c r="N5" s="2"/>
    </x:row>
    <x:row r="6">
      <x:c r="A6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B6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C6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D6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E6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F6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G6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H6" s="2"/>
      <x:c r="I6" s="2"/>
      <x:c r="J6" s="2"/>
      <x:c r="K6" s="2"/>
      <x:c r="L6" s="2"/>
      <x:c r="M6" s="2"/>
      <x:c r="N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16" t="str">
        <x:v>Dimension</x:v>
      </x:c>
      <x:c r="B8" s="16" t="str">
        <x:v>Focus</x:v>
      </x:c>
      <x:c r="C8" s="16" t="str">
        <x:v>Full credit</x:v>
      </x:c>
      <x:c r="D8" s="16" t="str">
        <x:v>Partial credit</x:v>
      </x:c>
      <x:c r="E8" s="16" t="str">
        <x:v>Critical failure</x:v>
      </x:c>
      <x:c r="F8" s="16" t="str">
        <x:v>Weight</x:v>
      </x:c>
      <x:c r="G8" s="16" t="str">
        <x:v>Score</x:v>
      </x:c>
      <x:c r="H8" s="2"/>
      <x:c r="I8" s="2"/>
      <x:c r="J8" s="2"/>
      <x:c r="K8" s="2"/>
      <x:c r="L8" s="2"/>
      <x:c r="M8" s="2"/>
      <x:c r="N8" s="2"/>
    </x:row>
    <x:row r="9" ht="80" customHeight="1">
      <x:c r="A9" s="18" t="str">
        <x:v>TQ1 Problem representation</x:v>
      </x:c>
      <x:c r="B9" s="18" t="str">
        <x:v>Recognize production and second constraint</x:v>
      </x:c>
      <x:c r="C9" s="18" t="str">
        <x:v>Correctly represent: B: 65bar/4500m²/PX95%</x:v>
      </x:c>
      <x:c r="D9" s="18" t="str">
        <x:v>Main goal correct but one constraint missing</x:v>
      </x:c>
      <x:c r="E9" s="18" t="str">
        <x:v>Select on production or SI alone</x:v>
      </x:c>
      <x:c r="F9" s="18" t="n">
        <x:v>15</x:v>
      </x:c>
      <x:c r="G9" s="18"/>
      <x:c r="H9" s="2"/>
      <x:c r="I9" s="2"/>
      <x:c r="J9" s="2"/>
      <x:c r="K9" s="2"/>
      <x:c r="L9" s="2"/>
      <x:c r="M9" s="2"/>
      <x:c r="N9" s="2"/>
    </x:row>
    <x:row r="10" ht="80" customHeight="1">
      <x:c r="A10" s="18" t="str">
        <x:v>TQ2 Tool choice</x:v>
      </x:c>
      <x:c r="B10" s="18" t="str">
        <x:v>Use simulate_swro_system and equilibrate_feed correctly</x:v>
      </x:c>
      <x:c r="C10" s="18" t="str">
        <x:v>Clear model roles and correct units</x:v>
      </x:c>
      <x:c r="D10" s="18" t="str">
        <x:v>Right tools but incomplete unit/metadata basis</x:v>
      </x:c>
      <x:c r="E10" s="18" t="str">
        <x:v>Wrong module/plant tool or one tool only</x:v>
      </x:c>
      <x:c r="F10" s="18" t="n">
        <x:v>15</x:v>
      </x:c>
      <x:c r="G10" s="18"/>
      <x:c r="H10" s="2"/>
      <x:c r="I10" s="2"/>
      <x:c r="J10" s="2"/>
      <x:c r="K10" s="2"/>
      <x:c r="L10" s="2"/>
      <x:c r="M10" s="2"/>
      <x:c r="N10" s="2"/>
    </x:row>
    <x:row r="11" ht="80" customHeight="1">
      <x:c r="A11" s="18" t="str">
        <x:v>TQ3 Controlled comparison</x:v>
      </x:c>
      <x:c r="B11" s="18" t="str">
        <x:v>Hold non-target inputs fixed</x:v>
      </x:c>
      <x:c r="C11" s="18" t="str">
        <x:v>Only stated design variables change</x:v>
      </x:c>
      <x:c r="D11" s="18" t="str">
        <x:v>Minor non-controlling difference</x:v>
      </x:c>
      <x:c r="E11" s="18" t="str">
        <x:v>Change salinity, temperature, or composition across candidates</x:v>
      </x:c>
      <x:c r="F11" s="18" t="n">
        <x:v>15</x:v>
      </x:c>
      <x:c r="G11" s="18"/>
      <x:c r="H11" s="2"/>
      <x:c r="I11" s="2"/>
      <x:c r="J11" s="2"/>
      <x:c r="K11" s="2"/>
      <x:c r="L11" s="2"/>
      <x:c r="M11" s="2"/>
      <x:c r="N11" s="2"/>
    </x:row>
    <x:row r="12" ht="80" customHeight="1">
      <x:c r="A12" s="18" t="str">
        <x:v>TQ4 Cross-model coupling</x:v>
      </x:c>
      <x:c r="B12" s="18" t="str">
        <x:v>Pass actual recovery</x:v>
      </x:c>
      <x:c r="C12" s="18" t="str">
        <x:v>Selected and necessary boundary cases use actual simulate_swro_system recovery</x:v>
      </x:c>
      <x:c r="D12" s="18" t="str">
        <x:v>Rounding only</x:v>
      </x:c>
      <x:c r="E12" s="18" t="str">
        <x:v>Use nominal or target recovery</x:v>
      </x:c>
      <x:c r="F12" s="18" t="n">
        <x:v>20</x:v>
      </x:c>
      <x:c r="G12" s="18"/>
      <x:c r="H12" s="2"/>
      <x:c r="I12" s="2"/>
      <x:c r="J12" s="2"/>
      <x:c r="K12" s="2"/>
      <x:c r="L12" s="2"/>
      <x:c r="M12" s="2"/>
      <x:c r="N12" s="2"/>
    </x:row>
    <x:row r="13" ht="80" customHeight="1">
      <x:c r="A13" s="18" t="str">
        <x:v>TQ5 Boundary proof</x:v>
      </x:c>
      <x:c r="B13" s="18" t="str">
        <x:v>Adjacent fail/pass evidence</x:v>
      </x:c>
      <x:c r="C13" s="18" t="str">
        <x:v>A gives only 0.03241 m³/s. B gives 0.03613 m³/s, SEC 2.8403 and Gypsum SI −0.08769. C has lower LCOW but SI −0.06894 misses −0.08; D reaches SEC 6.5600.</x:v>
      </x:c>
      <x:c r="D13" s="18" t="str">
        <x:v>Right answer but one boundary missing</x:v>
      </x:c>
      <x:c r="E13" s="18" t="str">
        <x:v>Report selected point only</x:v>
      </x:c>
      <x:c r="F13" s="18" t="n">
        <x:v>20</x:v>
      </x:c>
      <x:c r="G13" s="18"/>
      <x:c r="H13" s="2"/>
      <x:c r="I13" s="2"/>
      <x:c r="J13" s="2"/>
      <x:c r="K13" s="2"/>
      <x:c r="L13" s="2"/>
      <x:c r="M13" s="2"/>
      <x:c r="N13" s="2"/>
    </x:row>
    <x:row r="14" ht="80" customHeight="1">
      <x:c r="A14" s="18" t="str">
        <x:v>TQ6 Decision and scope</x:v>
      </x:c>
      <x:c r="B14" s="18" t="str">
        <x:v>Executable conclusion and model limits</x:v>
      </x:c>
      <x:c r="C14" s="18" t="str">
        <x:v>Recommend package B: 65 bar, 4500 m² and 95% PX. Product flow is 0.03613 m³/s (about 3122.03 m³/d), RO recovery 36.2287%, SEC 2.8403 kWh/m³, LCOW $1.2640/m³, and Gypsum SI −0.08769.</x:v>
      </x:c>
      <x:c r="D14" s="18" t="str">
        <x:v>Right conclusion but missing value or limitation</x:v>
      </x:c>
      <x:c r="E14" s="18" t="str">
        <x:v>Recommend failing case or treat SI as guarantee</x:v>
      </x:c>
      <x:c r="F14" s="18" t="n">
        <x:v>15</x:v>
      </x:c>
      <x:c r="G14" s="18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11" t="str">
        <x:v>Gold-answer anchors</x:v>
      </x:c>
      <x:c r="B17" s="11" t="str">
        <x:v>Gold-answer anchors</x:v>
      </x:c>
      <x:c r="C17" s="11" t="str">
        <x:v>Gold-answer anchors</x:v>
      </x:c>
      <x:c r="D17" s="11" t="str">
        <x:v>Gold-answer anchors</x:v>
      </x:c>
      <x:c r="E17" s="11" t="str">
        <x:v>Gold-answer anchors</x:v>
      </x:c>
      <x:c r="F17" s="11" t="str">
        <x:v>Gold-answer anchors</x:v>
      </x:c>
      <x:c r="G17" s="11" t="str">
        <x:v>Gold-answer anchors</x:v>
      </x:c>
      <x:c r="H17" s="2"/>
      <x:c r="I17" s="2"/>
      <x:c r="J17" s="2"/>
      <x:c r="K17" s="2"/>
      <x:c r="L17" s="2"/>
      <x:c r="M17" s="2"/>
      <x:c r="N17" s="2"/>
    </x:row>
    <x:row r="18" ht="47" customHeight="1">
      <x:c r="A18" s="18" t="str">
        <x:v>Recommended case</x:v>
      </x:c>
      <x:c r="B18" s="18" t="str">
        <x:v>Recommend package B: 65 bar, 4500 m² and 95% PX. Product flow is 0.03613 m³/s (about 3122.03 m³/d), RO recovery 36.2287%, SEC 2.8403 kWh/m³, LCOW $1.2640/m³, and Gypsum SI −0.08769.</x:v>
      </x:c>
      <x:c r="C18" s="18"/>
      <x:c r="D18" s="18"/>
      <x:c r="E18" s="18"/>
      <x:c r="F18" s="18"/>
      <x:c r="G18" s="18"/>
      <x:c r="H18" s="2"/>
      <x:c r="I18" s="2"/>
      <x:c r="J18" s="2"/>
      <x:c r="K18" s="2"/>
      <x:c r="L18" s="2"/>
      <x:c r="M18" s="2"/>
      <x:c r="N18" s="2"/>
    </x:row>
    <x:row r="19" ht="47" customHeight="1">
      <x:c r="A19" s="18" t="str">
        <x:v>Boundary evidence</x:v>
      </x:c>
      <x:c r="B19" s="18" t="str">
        <x:v>A gives only 0.03241 m³/s. B gives 0.03613 m³/s, SEC 2.8403 and Gypsum SI −0.08769. C has lower LCOW but SI −0.06894 misses −0.08; D reaches SEC 6.5600.</x:v>
      </x:c>
      <x:c r="C19" s="18"/>
      <x:c r="D19" s="18"/>
      <x:c r="E19" s="18"/>
      <x:c r="F19" s="18"/>
      <x:c r="G19" s="18"/>
      <x:c r="H19" s="2"/>
      <x:c r="I19" s="2"/>
      <x:c r="J19" s="2"/>
      <x:c r="K19" s="2"/>
      <x:c r="L19" s="2"/>
      <x:c r="M19" s="2"/>
      <x:c r="N19" s="2"/>
    </x:row>
    <x:row r="20" ht="47" customHeight="1">
      <x:c r="A20" s="18" t="str">
        <x:v>Reference calls</x:v>
      </x:c>
      <x:c r="B20" s="18" t="str">
        <x:v>4 simulate_swro_system + 3 unique equilibrate_feed</x:v>
      </x:c>
      <x:c r="C20" s="18"/>
      <x:c r="D20" s="18"/>
      <x:c r="E20" s="18"/>
      <x:c r="F20" s="18"/>
      <x:c r="G20" s="18"/>
      <x:c r="H20" s="2"/>
      <x:c r="I20" s="2"/>
      <x:c r="J20" s="2"/>
      <x:c r="K20" s="2"/>
      <x:c r="L20" s="2"/>
      <x:c r="M20" s="2"/>
      <x:c r="N20" s="2"/>
    </x:row>
    <x:row r="21" ht="47" customHeight="1">
      <x:c r="A21" s="18" t="str">
        <x:v>Stopping rule</x:v>
      </x:c>
      <x:c r="B21" s="18" t="str">
        <x:v>All hard constraints pass and adjacent failure is proven</x:v>
      </x:c>
      <x:c r="C21" s="18"/>
      <x:c r="D21" s="18"/>
      <x:c r="E21" s="18"/>
      <x:c r="F21" s="18"/>
      <x:c r="G21" s="18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</x:sheetData>
  <x:mergeCells>
    <x:mergeCell ref="A1:G2"/>
    <x:mergeCell ref="A4:G6"/>
    <x:mergeCell ref="A17:G17"/>
    <x:mergeCell ref="B18:G18"/>
    <x:mergeCell ref="B19:G19"/>
    <x:mergeCell ref="B20:G20"/>
    <x:mergeCell ref="B21:G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8" hidden="0" customWidth="1"/>
    <x:col min="3" max="3" width="52" hidden="0" customWidth="1"/>
    <x:col min="4" max="4" width="43" hidden="0" customWidth="1"/>
    <x:col min="5" max="5" width="43" hidden="0" customWidth="1"/>
    <x:col min="6" max="6" width="51" hidden="0" customWidth="1"/>
    <x:col min="7" max="7" width="12" hidden="0" customWidth="1"/>
  </x:cols>
  <x:sheetData>
    <x:row r="1" ht="29" customHeight="1">
      <x:c r="A1" s="6" t="str">
        <x:v>N06｜Tool Efficiency (100 points)</x:v>
      </x:c>
      <x:c r="B1" s="6" t="str">
        <x:v>N06｜Tool Efficiency (100 points)</x:v>
      </x:c>
      <x:c r="C1" s="6" t="str">
        <x:v>N06｜Tool Efficiency (100 points)</x:v>
      </x:c>
      <x:c r="D1" s="6" t="str">
        <x:v>N06｜Tool Efficiency (100 points)</x:v>
      </x:c>
      <x:c r="E1" s="6" t="str">
        <x:v>N06｜Tool Efficiency (100 points)</x:v>
      </x:c>
      <x:c r="F1" s="6" t="str">
        <x:v>N06｜Tool Efficiency (100 points)</x:v>
      </x:c>
      <x:c r="G1" s="6" t="str">
        <x:v>N06｜Tool Efficiency (100 points)</x:v>
      </x:c>
      <x:c r="H1" s="2"/>
      <x:c r="I1" s="2"/>
      <x:c r="J1" s="2"/>
      <x:c r="K1" s="2"/>
      <x:c r="L1" s="2"/>
      <x:c r="M1" s="2"/>
      <x:c r="N1" s="2"/>
    </x:row>
    <x:row r="2" ht="29" customHeight="1">
      <x:c r="A2" s="6" t="str">
        <x:v>N06｜Tool Efficiency (100 points)</x:v>
      </x:c>
      <x:c r="B2" s="6" t="str">
        <x:v>N06｜Tool Efficiency (100 points)</x:v>
      </x:c>
      <x:c r="C2" s="6" t="str">
        <x:v>N06｜Tool Efficiency (100 points)</x:v>
      </x:c>
      <x:c r="D2" s="6" t="str">
        <x:v>N06｜Tool Efficiency (100 points)</x:v>
      </x:c>
      <x:c r="E2" s="6" t="str">
        <x:v>N06｜Tool Efficiency (100 points)</x:v>
      </x:c>
      <x:c r="F2" s="6" t="str">
        <x:v>N06｜Tool Efficiency (100 points)</x:v>
      </x:c>
      <x:c r="G2" s="6" t="str">
        <x:v>N06｜Tool Efficiency (100 points)</x:v>
      </x:c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9" t="str">
        <x:v>Reference trajectory: 4 simulate_swro_system + 3 unique equilibrate_feed. Efficiency means every call changes the next decision, locks a boundary, or proves reusable—not merely fewer calls.</x:v>
      </x:c>
      <x:c r="B4" s="9" t="str">
        <x:v>Reference trajectory: 4 simulate_swro_system + 3 unique equilibrate_feed. Efficiency means every call changes the next decision, locks a boundary, or proves reusable—not merely fewer calls.</x:v>
      </x:c>
      <x:c r="C4" s="9" t="str">
        <x:v>Reference trajectory: 4 simulate_swro_system + 3 unique equilibrate_feed. Efficiency means every call changes the next decision, locks a boundary, or proves reusable—not merely fewer calls.</x:v>
      </x:c>
      <x:c r="D4" s="9" t="str">
        <x:v>Reference trajectory: 4 simulate_swro_system + 3 unique equilibrate_feed. Efficiency means every call changes the next decision, locks a boundary, or proves reusable—not merely fewer calls.</x:v>
      </x:c>
      <x:c r="E4" s="9" t="str">
        <x:v>Reference trajectory: 4 simulate_swro_system + 3 unique equilibrate_feed. Efficiency means every call changes the next decision, locks a boundary, or proves reusable—not merely fewer calls.</x:v>
      </x:c>
      <x:c r="F4" s="9" t="str">
        <x:v>Reference trajectory: 4 simulate_swro_system + 3 unique equilibrate_feed. Efficiency means every call changes the next decision, locks a boundary, or proves reusable—not merely fewer calls.</x:v>
      </x:c>
      <x:c r="G4" s="9" t="str">
        <x:v>Reference trajectory: 4 simulate_swro_system + 3 unique equilibrate_feed. Efficiency means every call changes the next decision, locks a boundary, or proves reusable—not merely fewer calls.</x:v>
      </x:c>
      <x:c r="H4" s="2"/>
      <x:c r="I4" s="2"/>
      <x:c r="J4" s="2"/>
      <x:c r="K4" s="2"/>
      <x:c r="L4" s="2"/>
      <x:c r="M4" s="2"/>
      <x:c r="N4" s="2"/>
    </x:row>
    <x:row r="5">
      <x:c r="A5" s="9" t="str">
        <x:v>Reference trajectory: 4 simulate_swro_system + 3 unique equilibrate_feed. Efficiency means every call changes the next decision, locks a boundary, or proves reusable—not merely fewer calls.</x:v>
      </x:c>
      <x:c r="B5" s="9" t="str">
        <x:v>Reference trajectory: 4 simulate_swro_system + 3 unique equilibrate_feed. Efficiency means every call changes the next decision, locks a boundary, or proves reusable—not merely fewer calls.</x:v>
      </x:c>
      <x:c r="C5" s="9" t="str">
        <x:v>Reference trajectory: 4 simulate_swro_system + 3 unique equilibrate_feed. Efficiency means every call changes the next decision, locks a boundary, or proves reusable—not merely fewer calls.</x:v>
      </x:c>
      <x:c r="D5" s="9" t="str">
        <x:v>Reference trajectory: 4 simulate_swro_system + 3 unique equilibrate_feed. Efficiency means every call changes the next decision, locks a boundary, or proves reusable—not merely fewer calls.</x:v>
      </x:c>
      <x:c r="E5" s="9" t="str">
        <x:v>Reference trajectory: 4 simulate_swro_system + 3 unique equilibrate_feed. Efficiency means every call changes the next decision, locks a boundary, or proves reusable—not merely fewer calls.</x:v>
      </x:c>
      <x:c r="F5" s="9" t="str">
        <x:v>Reference trajectory: 4 simulate_swro_system + 3 unique equilibrate_feed. Efficiency means every call changes the next decision, locks a boundary, or proves reusable—not merely fewer calls.</x:v>
      </x:c>
      <x:c r="G5" s="9" t="str">
        <x:v>Reference trajectory: 4 simulate_swro_system + 3 unique equilibrate_feed. Efficiency means every call changes the next decision, locks a boundary, or proves reusable—not merely fewer calls.</x:v>
      </x:c>
      <x:c r="H5" s="2"/>
      <x:c r="I5" s="2"/>
      <x:c r="J5" s="2"/>
      <x:c r="K5" s="2"/>
      <x:c r="L5" s="2"/>
      <x:c r="M5" s="2"/>
      <x:c r="N5" s="2"/>
    </x:row>
    <x:row r="6">
      <x:c r="A6" s="9" t="str">
        <x:v>Reference trajectory: 4 simulate_swro_system + 3 unique equilibrate_feed. Efficiency means every call changes the next decision, locks a boundary, or proves reusable—not merely fewer calls.</x:v>
      </x:c>
      <x:c r="B6" s="9" t="str">
        <x:v>Reference trajectory: 4 simulate_swro_system + 3 unique equilibrate_feed. Efficiency means every call changes the next decision, locks a boundary, or proves reusable—not merely fewer calls.</x:v>
      </x:c>
      <x:c r="C6" s="9" t="str">
        <x:v>Reference trajectory: 4 simulate_swro_system + 3 unique equilibrate_feed. Efficiency means every call changes the next decision, locks a boundary, or proves reusable—not merely fewer calls.</x:v>
      </x:c>
      <x:c r="D6" s="9" t="str">
        <x:v>Reference trajectory: 4 simulate_swro_system + 3 unique equilibrate_feed. Efficiency means every call changes the next decision, locks a boundary, or proves reusable—not merely fewer calls.</x:v>
      </x:c>
      <x:c r="E6" s="9" t="str">
        <x:v>Reference trajectory: 4 simulate_swro_system + 3 unique equilibrate_feed. Efficiency means every call changes the next decision, locks a boundary, or proves reusable—not merely fewer calls.</x:v>
      </x:c>
      <x:c r="F6" s="9" t="str">
        <x:v>Reference trajectory: 4 simulate_swro_system + 3 unique equilibrate_feed. Efficiency means every call changes the next decision, locks a boundary, or proves reusable—not merely fewer calls.</x:v>
      </x:c>
      <x:c r="G6" s="9" t="str">
        <x:v>Reference trajectory: 4 simulate_swro_system + 3 unique equilibrate_feed. Efficiency means every call changes the next decision, locks a boundary, or proves reusable—not merely fewer calls.</x:v>
      </x:c>
      <x:c r="H6" s="2"/>
      <x:c r="I6" s="2"/>
      <x:c r="J6" s="2"/>
      <x:c r="K6" s="2"/>
      <x:c r="L6" s="2"/>
      <x:c r="M6" s="2"/>
      <x:c r="N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16" t="str">
        <x:v>Efficiency dimension</x:v>
      </x:c>
      <x:c r="B8" s="16" t="str">
        <x:v>Focus</x:v>
      </x:c>
      <x:c r="C8" s="16" t="str">
        <x:v>Full credit</x:v>
      </x:c>
      <x:c r="D8" s="16" t="str">
        <x:v>Medium</x:v>
      </x:c>
      <x:c r="E8" s="16" t="str">
        <x:v>Low</x:v>
      </x:c>
      <x:c r="F8" s="16" t="str">
        <x:v>Benchmark evidence</x:v>
      </x:c>
      <x:c r="G8" s="16" t="str">
        <x:v>Points</x:v>
      </x:c>
      <x:c r="H8" s="2"/>
      <x:c r="I8" s="2"/>
      <x:c r="J8" s="2"/>
      <x:c r="K8" s="2"/>
      <x:c r="L8" s="2"/>
      <x:c r="M8" s="2"/>
      <x:c r="N8" s="2"/>
    </x:row>
    <x:row r="9" ht="82" customHeight="1">
      <x:c r="A9" s="18" t="str">
        <x:v>E1 Tool routing</x:v>
      </x:c>
      <x:c r="B9" s="18" t="str">
        <x:v>Match model to decision level</x:v>
      </x:c>
      <x:c r="C9" s="18" t="str">
        <x:v>simulate_swro_system for production/energy; equilibrate_feed for scaling</x:v>
      </x:c>
      <x:c r="D9" s="18" t="str">
        <x:v>Right tools, unclear order</x:v>
      </x:c>
      <x:c r="E9" s="18" t="str">
        <x:v>Irrelevant tools or repeated solving</x:v>
      </x:c>
      <x:c r="F9" s="18" t="str">
        <x:v>Process first, chemistry second</x:v>
      </x:c>
      <x:c r="G9" s="18" t="n">
        <x:v>20</x:v>
      </x:c>
      <x:c r="H9" s="2"/>
      <x:c r="I9" s="2"/>
      <x:c r="J9" s="2"/>
      <x:c r="K9" s="2"/>
      <x:c r="L9" s="2"/>
      <x:c r="M9" s="2"/>
      <x:c r="N9" s="2"/>
    </x:row>
    <x:row r="10" ht="82" customHeight="1">
      <x:c r="A10" s="18" t="str">
        <x:v>E2 Input reuse</x:v>
      </x:c>
      <x:c r="B10" s="18" t="str">
        <x:v>Controlled variable/package comparison</x:v>
      </x:c>
      <x:c r="C10" s="18" t="str">
        <x:v>Hold all non-target inputs fixed</x:v>
      </x:c>
      <x:c r="D10" s="18" t="str">
        <x:v>Minor repeated-input error</x:v>
      </x:c>
      <x:c r="E10" s="18" t="str">
        <x:v>Candidates are not comparable</x:v>
      </x:c>
      <x:c r="F10" s="18" t="str">
        <x:v>Composition and fixed conditions held</x:v>
      </x:c>
      <x:c r="G10" s="18" t="n">
        <x:v>20</x:v>
      </x:c>
      <x:c r="H10" s="2"/>
      <x:c r="I10" s="2"/>
      <x:c r="J10" s="2"/>
      <x:c r="K10" s="2"/>
      <x:c r="L10" s="2"/>
      <x:c r="M10" s="2"/>
      <x:c r="N10" s="2"/>
    </x:row>
    <x:row r="11" ht="82" customHeight="1">
      <x:c r="A11" s="18" t="str">
        <x:v>E3 Information gain</x:v>
      </x:c>
      <x:c r="B11" s="18" t="str">
        <x:v>Screen production before necessary chemistry</x:v>
      </x:c>
      <x:c r="C11" s="18" t="str">
        <x:v>Prune hard-constraint failures early</x:v>
      </x:c>
      <x:c r="D11" s="18" t="str">
        <x:v>One or two low-value calls</x:v>
      </x:c>
      <x:c r="E11" s="18" t="str">
        <x:v>Blind Cartesian grid</x:v>
      </x:c>
      <x:c r="F11" s="18" t="str">
        <x:v>A gives only 0.03241 m³/s. B gives 0.03613 m³/s, SEC 2.8403 and Gypsum SI −0.08769. C has lower LCOW but SI −0.06894 misses −0.08; D reaches SEC 6.5600.</x:v>
      </x:c>
      <x:c r="G11" s="18" t="n">
        <x:v>20</x:v>
      </x:c>
      <x:c r="H11" s="2"/>
      <x:c r="I11" s="2"/>
      <x:c r="J11" s="2"/>
      <x:c r="K11" s="2"/>
      <x:c r="L11" s="2"/>
      <x:c r="M11" s="2"/>
      <x:c r="N11" s="2"/>
    </x:row>
    <x:row r="12" ht="82" customHeight="1">
      <x:c r="A12" s="18" t="str">
        <x:v>E4 Adaptive pruning</x:v>
      </x:c>
      <x:c r="B12" s="18" t="str">
        <x:v>Stop failed branches</x:v>
      </x:c>
      <x:c r="C12" s="18" t="str">
        <x:v>Use salinity, SEC, SI, or site constraints to prune</x:v>
      </x:c>
      <x:c r="D12" s="18" t="str">
        <x:v>Minor redundancy</x:v>
      </x:c>
      <x:c r="E12" s="18" t="str">
        <x:v>Continue rejected routes</x:v>
      </x:c>
      <x:c r="F12" s="18" t="str">
        <x:v>Every failure changes next action</x:v>
      </x:c>
      <x:c r="G12" s="18" t="n">
        <x:v>20</x:v>
      </x:c>
      <x:c r="H12" s="2"/>
      <x:c r="I12" s="2"/>
      <x:c r="J12" s="2"/>
      <x:c r="K12" s="2"/>
      <x:c r="L12" s="2"/>
      <x:c r="M12" s="2"/>
      <x:c r="N12" s="2"/>
    </x:row>
    <x:row r="13" ht="82" customHeight="1">
      <x:c r="A13" s="18" t="str">
        <x:v>E5 Stop transparency</x:v>
      </x:c>
      <x:c r="B13" s="18" t="str">
        <x:v>Stop with sufficient evidence</x:v>
      </x:c>
      <x:c r="C13" s="18" t="str">
        <x:v>Report calls, reuse, boundaries, and limitations</x:v>
      </x:c>
      <x:c r="D13" s="18" t="str">
        <x:v>Slight over-call or one unclear basis</x:v>
      </x:c>
      <x:c r="E13" s="18" t="str">
        <x:v>Hidden assumptions or enumeration</x:v>
      </x:c>
      <x:c r="F13" s="18" t="str">
        <x:v>Recommend: Recommend package B: 65 bar, 4500 m² and 95% PX. Product flow is 0.03613 m³/s (about 3122.03 m³/d), RO recovery 36.2287%, SEC 2.8403 kWh/m³, LCOW $1.2640/m³, and Gypsum SI −0.08769.</x:v>
      </x:c>
      <x:c r="G13" s="18" t="n">
        <x:v>20</x:v>
      </x:c>
      <x:c r="H13" s="2"/>
      <x:c r="I13" s="2"/>
      <x:c r="J13" s="2"/>
      <x:c r="K13" s="2"/>
      <x:c r="L13" s="2"/>
      <x:c r="M13" s="2"/>
      <x:c r="N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3" t="str">
        <x:v>Tool-efficiency total</x:v>
      </x:c>
      <x:c r="G15" s="23" t="n">
        <x:f>SUM(G9:G13)</x:f>
        <x:v>100</x:v>
      </x:c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11" t="str">
        <x:v>Efficient reference trajectory</x:v>
      </x:c>
      <x:c r="B18" s="11" t="str">
        <x:v>Efficient reference trajectory</x:v>
      </x:c>
      <x:c r="C18" s="11" t="str">
        <x:v>Efficient reference trajectory</x:v>
      </x:c>
      <x:c r="D18" s="11" t="str">
        <x:v>Efficient reference trajectory</x:v>
      </x:c>
      <x:c r="E18" s="11" t="str">
        <x:v>Efficient reference trajectory</x:v>
      </x:c>
      <x:c r="F18" s="11" t="str">
        <x:v>Efficient reference trajectory</x:v>
      </x:c>
      <x:c r="G18" s="11" t="str">
        <x:v>Efficient reference trajectory</x:v>
      </x:c>
      <x:c r="H18" s="2"/>
      <x:c r="I18" s="2"/>
      <x:c r="J18" s="2"/>
      <x:c r="K18" s="2"/>
      <x:c r="L18" s="2"/>
      <x:c r="M18" s="2"/>
      <x:c r="N18" s="2"/>
    </x:row>
    <x:row r="19">
      <x:c r="A19" s="16" t="str">
        <x:v>Stage</x:v>
      </x:c>
      <x:c r="B19" s="16" t="str">
        <x:v>Action/tool</x:v>
      </x:c>
      <x:c r="C19" s="16" t="str">
        <x:v>Call logic</x:v>
      </x:c>
      <x:c r="D19" s="16" t="str">
        <x:v>Key observation</x:v>
      </x:c>
      <x:c r="E19" s="16" t="str">
        <x:v>Prune/reuse</x:v>
      </x:c>
      <x:c r="F19" s="16" t="str">
        <x:v>Next</x:v>
      </x:c>
      <x:c r="G19" s="16" t="str">
        <x:v>Role</x:v>
      </x:c>
      <x:c r="H19" s="2"/>
      <x:c r="I19" s="2"/>
      <x:c r="J19" s="2"/>
      <x:c r="K19" s="2"/>
      <x:c r="L19" s="2"/>
      <x:c r="M19" s="2"/>
      <x:c r="N19" s="2"/>
    </x:row>
    <x:row r="20" ht="53" customHeight="1">
      <x:c r="A20" s="18" t="str">
        <x:v>1</x:v>
      </x:c>
      <x:c r="B20" s="18" t="str">
        <x:v>Read definitions</x:v>
      </x:c>
      <x:c r="C20" s="18" t="str">
        <x:v>Confirm units and scope</x:v>
      </x:c>
      <x:c r="D20" s="18" t="str">
        <x:v>Prepare controlled inputs</x:v>
      </x:c>
      <x:c r="E20" s="18" t="str">
        <x:v>—</x:v>
      </x:c>
      <x:c r="F20" s="18" t="str">
        <x:v>Run candidates</x:v>
      </x:c>
      <x:c r="G20" s="18" t="str">
        <x:v>Metadata</x:v>
      </x:c>
      <x:c r="H20" s="2"/>
      <x:c r="I20" s="2"/>
      <x:c r="J20" s="2"/>
      <x:c r="K20" s="2"/>
      <x:c r="L20" s="2"/>
      <x:c r="M20" s="2"/>
      <x:c r="N20" s="2"/>
    </x:row>
    <x:row r="21" ht="53" customHeight="1">
      <x:c r="A21" s="18" t="str">
        <x:v>2</x:v>
      </x:c>
      <x:c r="B21" s="18" t="str">
        <x:v>simulate_swro_system</x:v>
      </x:c>
      <x:c r="C21" s="18" t="str">
        <x:v>Compare all design points</x:v>
      </x:c>
      <x:c r="D21" s="18" t="str">
        <x:v>Lock production/quality/energy candidates</x:v>
      </x:c>
      <x:c r="E21" s="18" t="str">
        <x:v>Prune hard failures</x:v>
      </x:c>
      <x:c r="F21" s="18" t="str">
        <x:v>Pass actual recovery</x:v>
      </x:c>
      <x:c r="G21" s="18" t="str">
        <x:v>Process</x:v>
      </x:c>
      <x:c r="H21" s="2"/>
      <x:c r="I21" s="2"/>
      <x:c r="J21" s="2"/>
      <x:c r="K21" s="2"/>
      <x:c r="L21" s="2"/>
      <x:c r="M21" s="2"/>
      <x:c r="N21" s="2"/>
    </x:row>
    <x:row r="22" ht="53" customHeight="1">
      <x:c r="A22" s="18" t="str">
        <x:v>3</x:v>
      </x:c>
      <x:c r="B22" s="18" t="str">
        <x:v>equilibrate_feed</x:v>
      </x:c>
      <x:c r="C22" s="18" t="str">
        <x:v>Evaluate only necessary unique recoveries</x:v>
      </x:c>
      <x:c r="D22" s="18" t="str">
        <x:v>Identify controlling mineral and boundary</x:v>
      </x:c>
      <x:c r="E22" s="18" t="str">
        <x:v>Reuse duplicate recovery</x:v>
      </x:c>
      <x:c r="F22" s="18" t="str">
        <x:v>Form joint decision</x:v>
      </x:c>
      <x:c r="G22" s="18" t="str">
        <x:v>Chemistry</x:v>
      </x:c>
      <x:c r="H22" s="2"/>
      <x:c r="I22" s="2"/>
      <x:c r="J22" s="2"/>
      <x:c r="K22" s="2"/>
      <x:c r="L22" s="2"/>
      <x:c r="M22" s="2"/>
      <x:c r="N22" s="2"/>
    </x:row>
    <x:row r="23" ht="53" customHeight="1">
      <x:c r="A23" s="18" t="str">
        <x:v>4</x:v>
      </x:c>
      <x:c r="B23" s="18" t="str">
        <x:v>Boundary check</x:v>
      </x:c>
      <x:c r="C23" s="18" t="str">
        <x:v>Compare adjacent fail/pass</x:v>
      </x:c>
      <x:c r="D23" s="18" t="str">
        <x:v>Prove minimum/maximum/uniqueness</x:v>
      </x:c>
      <x:c r="E23" s="18" t="str">
        <x:v>Stop low-value calls</x:v>
      </x:c>
      <x:c r="F23" s="18" t="str">
        <x:v>Engineering conversion</x:v>
      </x:c>
      <x:c r="G23" s="18" t="str">
        <x:v>Convergence</x:v>
      </x:c>
      <x:c r="H23" s="2"/>
      <x:c r="I23" s="2"/>
      <x:c r="J23" s="2"/>
      <x:c r="K23" s="2"/>
      <x:c r="L23" s="2"/>
      <x:c r="M23" s="2"/>
      <x:c r="N23" s="2"/>
    </x:row>
    <x:row r="24" ht="53" customHeight="1">
      <x:c r="A24" s="18" t="str">
        <x:v>5</x:v>
      </x:c>
      <x:c r="B24" s="18" t="str">
        <x:v>Stop</x:v>
      </x:c>
      <x:c r="C24" s="18" t="str">
        <x:v>Report limits and conclusion</x:v>
      </x:c>
      <x:c r="D24" s="18" t="str">
        <x:v>Evidence sufficient</x:v>
      </x:c>
      <x:c r="E24" s="18" t="str">
        <x:v>Do not extend grid</x:v>
      </x:c>
      <x:c r="F24" s="18" t="str">
        <x:v>Write Gold Answer</x:v>
      </x:c>
      <x:c r="G24" s="18" t="str">
        <x:v>Decision</x:v>
      </x:c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</x:sheetData>
  <x:mergeCells>
    <x:mergeCell ref="A1:G2"/>
    <x:mergeCell ref="A4:G6"/>
    <x:mergeCell ref="A18:G18"/>
  </x:mergeCells>
  <x:pageMargins left="0.7" right="0.7" top="0.75" bottom="0.75" header="0.3" footer="0.3"/>
</x:worksheet>
</file>