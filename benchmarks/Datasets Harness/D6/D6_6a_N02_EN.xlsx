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f8ed0a4a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8f17df4023394f68"/>
    <x:sheet xmlns:r="http://schemas.openxmlformats.org/officeDocument/2006/relationships" name="Gold_Answer_A" sheetId="2" r:id="R4e8c0ab946b340a0"/>
    <x:sheet xmlns:r="http://schemas.openxmlformats.org/officeDocument/2006/relationships" name="Trajectory_Rubric" sheetId="3" r:id="R0fba8997fb90459f"/>
    <x:sheet xmlns:r="http://schemas.openxmlformats.org/officeDocument/2006/relationships" name="Tool_Efficiency" sheetId="4" r:id="R2c3699e02102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sz val="10"/>
      <x:color rgb="FF24364B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b/>
      <x:sz val="10"/>
      <x:color rgb="FF24364B"/>
      <x:name val="Aptos"/>
    </x:font>
    <x:font>
      <x:b/>
      <x:sz val="10"/>
      <x:color rgb="FF244A7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44A7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</x:fills>
  <x:borders count="10"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9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1" fillId="6" borderId="9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200" fontId="1" fillId="5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78af2f19a4063" /><Relationship Type="http://schemas.openxmlformats.org/officeDocument/2006/relationships/theme" Target="/xl/theme/theme1.xml" Id="R009d075daeab493c" /><Relationship Type="http://schemas.openxmlformats.org/officeDocument/2006/relationships/sharedStrings" Target="/xl/sharedStrings.xml" Id="Rbe22dfe7d92640fc" /><Relationship Type="http://schemas.openxmlformats.org/officeDocument/2006/relationships/worksheet" Target="/xl/worksheets/sheet1.xml" Id="R8f17df4023394f68" /><Relationship Type="http://schemas.openxmlformats.org/officeDocument/2006/relationships/worksheet" Target="/xl/worksheets/sheet2.xml" Id="R4e8c0ab946b340a0" /><Relationship Type="http://schemas.openxmlformats.org/officeDocument/2006/relationships/worksheet" Target="/xl/worksheets/sheet3.xml" Id="R0fba8997fb90459f" /><Relationship Type="http://schemas.openxmlformats.org/officeDocument/2006/relationships/worksheet" Target="/xl/worksheets/sheet4.xml" Id="R2c3699e02102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D6_6a-N02 | Three-model selection between PX and pump-as-turbine routes in cold seawater</x:v>
      </x:c>
      <x:c r="B1" s="6" t="str">
        <x:v>D6_6a-N02 | Three-model selection between PX and pump-as-turbine routes in cold seawater</x:v>
      </x:c>
      <x:c r="C1" s="6" t="str">
        <x:v>D6_6a-N02 | Three-model selection between PX and pump-as-turbine routes in cold seawater</x:v>
      </x:c>
      <x:c r="D1" s="6" t="str">
        <x:v>D6_6a-N02 | Three-model selection between PX and pump-as-turbine routes in cold seawater</x:v>
      </x:c>
      <x:c r="E1" s="6" t="str">
        <x:v>D6_6a-N02 | Three-model selection between PX and pump-as-turbine routes in cold seawater</x:v>
      </x:c>
      <x:c r="F1" s="6" t="str">
        <x:v>D6_6a-N02 | Three-model selection between PX and pump-as-turbine routes in cold seawater</x:v>
      </x:c>
      <x:c r="G1" s="6" t="str">
        <x:v>D6_6a-N02 | Three-model selection between PX and pump-as-turbine routes in cold seawater</x:v>
      </x:c>
      <x:c r="H1" s="6" t="str">
        <x:v>D6_6a-N02 | Three-model selection between PX and pump-as-turbine routes in cold seawater</x:v>
      </x:c>
      <x:c r="I1" s="6" t="str">
        <x:v>D6_6a-N02 | Three-model selection between PX and pump-as-turbine routes in cold seawater</x:v>
      </x:c>
      <x:c r="J1" s="6" t="str">
        <x:v>D6_6a-N02 | Three-model selection between PX and pump-as-turbine routes in cold seawater</x:v>
      </x:c>
      <x:c r="K1" s="6" t="str">
        <x:v>D6_6a-N02 | Three-model selection between PX and pump-as-turbine routes in cold seawater</x:v>
      </x:c>
      <x:c r="L1" s="6" t="str">
        <x:v>D6_6a-N02 | Three-model selection between PX and pump-as-turbine routes in cold seawater</x:v>
      </x:c>
      <x:c r="M1" s="6" t="str">
        <x:v>D6_6a-N02 | Three-model selection between PX and pump-as-turbine routes in cold seawater</x:v>
      </x:c>
      <x:c r="N1" s="6" t="str">
        <x:v>D6_6a-N02 | Three-model selection between PX and pump-as-turbine routes in cold seawater</x:v>
      </x:c>
    </x:row>
    <x:row r="2" ht="28" customHeight="1">
      <x:c r="A2" s="6" t="str">
        <x:v>D6_6a-N02 | Three-model selection between PX and pump-as-turbine routes in cold seawater</x:v>
      </x:c>
      <x:c r="B2" s="6" t="str">
        <x:v>D6_6a-N02 | Three-model selection between PX and pump-as-turbine routes in cold seawater</x:v>
      </x:c>
      <x:c r="C2" s="6" t="str">
        <x:v>D6_6a-N02 | Three-model selection between PX and pump-as-turbine routes in cold seawater</x:v>
      </x:c>
      <x:c r="D2" s="6" t="str">
        <x:v>D6_6a-N02 | Three-model selection between PX and pump-as-turbine routes in cold seawater</x:v>
      </x:c>
      <x:c r="E2" s="6" t="str">
        <x:v>D6_6a-N02 | Three-model selection between PX and pump-as-turbine routes in cold seawater</x:v>
      </x:c>
      <x:c r="F2" s="6" t="str">
        <x:v>D6_6a-N02 | Three-model selection between PX and pump-as-turbine routes in cold seawater</x:v>
      </x:c>
      <x:c r="G2" s="6" t="str">
        <x:v>D6_6a-N02 | Three-model selection between PX and pump-as-turbine routes in cold seawater</x:v>
      </x:c>
      <x:c r="H2" s="6" t="str">
        <x:v>D6_6a-N02 | Three-model selection between PX and pump-as-turbine routes in cold seawater</x:v>
      </x:c>
      <x:c r="I2" s="6" t="str">
        <x:v>D6_6a-N02 | Three-model selection between PX and pump-as-turbine routes in cold seawater</x:v>
      </x:c>
      <x:c r="J2" s="6" t="str">
        <x:v>D6_6a-N02 | Three-model selection between PX and pump-as-turbine routes in cold seawater</x:v>
      </x:c>
      <x:c r="K2" s="6" t="str">
        <x:v>D6_6a-N02 | Three-model selection between PX and pump-as-turbine routes in cold seawater</x:v>
      </x:c>
      <x:c r="L2" s="6" t="str">
        <x:v>D6_6a-N02 | Three-model selection between PX and pump-as-turbine routes in cold seawater</x:v>
      </x:c>
      <x:c r="M2" s="6" t="str">
        <x:v>D6_6a-N02 | Three-model selection between PX and pump-as-turbine routes in cold seawater</x:v>
      </x:c>
      <x:c r="N2" s="6" t="str">
        <x:v>D6_6a-N02 | Three-model selection between PX and pump-as-turbine routes in cold seawater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5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B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C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D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E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F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G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H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I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J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K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L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M4" s="26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N4" s="27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</x:row>
    <x:row r="5">
      <x:c r="A5" s="28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B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C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D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E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F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G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H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I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J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K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L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M5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N5" s="30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</x:row>
    <x:row r="6">
      <x:c r="A6" s="28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B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C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D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E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F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G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H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I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J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K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L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M6" s="29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N6" s="30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</x:row>
    <x:row r="7">
      <x:c r="A7" s="31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B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C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D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E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F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G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H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I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J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K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L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M7" s="32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  <x:c r="N7" s="33" t="str">
        <x:v>At 18°C winter feed, an SWRO plant must choose between a pressure exchanger and a pump-as-turbine energy-recovery route. The decision must satisfy membrane quality/CP, plant energy/economics and concentrate chemistry rather than relying on nominal ERD efficiency alone.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36" t="str">
        <x:v>Engineering inputs and design boundary</x:v>
      </x:c>
      <x:c r="B9" s="36" t="str">
        <x:v>Engineering inputs and design boundary</x:v>
      </x:c>
      <x:c r="C9" s="36" t="str">
        <x:v>Engineering inputs and design boundary</x:v>
      </x:c>
      <x:c r="D9" s="36" t="str">
        <x:v>Engineering inputs and design boundary</x:v>
      </x:c>
      <x:c r="E9" s="36" t="str">
        <x:v>Engineering inputs and design boundary</x:v>
      </x:c>
      <x:c r="F9" s="36" t="str">
        <x:v>Engineering inputs and design boundary</x:v>
      </x:c>
      <x:c r="G9" s="1"/>
      <x:c r="H9" s="36" t="str">
        <x:v>Hard constraints and decision rule</x:v>
      </x:c>
      <x:c r="I9" s="36" t="str">
        <x:v>Hard constraints and decision rule</x:v>
      </x:c>
      <x:c r="J9" s="36" t="str">
        <x:v>Hard constraints and decision rule</x:v>
      </x:c>
      <x:c r="K9" s="36" t="str">
        <x:v>Hard constraints and decision rule</x:v>
      </x:c>
      <x:c r="L9" s="36" t="str">
        <x:v>Hard constraints and decision rule</x:v>
      </x:c>
      <x:c r="M9" s="36" t="str">
        <x:v>Hard constraints and decision rule</x:v>
      </x:c>
      <x:c r="N9" s="36" t="str">
        <x:v>Hard constraints and decision rule</x:v>
      </x:c>
    </x:row>
    <x:row r="10">
      <x:c r="A10" s="55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0" s="56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0" s="56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0" s="56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0" s="56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0" s="57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0" s="1"/>
      <x:c r="H10" s="83" t="str">
        <x:v>Module: water≥0.400 kg/s, NaCl≤320 mg/L, CP≤1.35. Plant: product≥0.044 m³/s and SEC≤3.00 kWh/m³. Chemistry: pH≥6.20 and all four SI≤0. Select the lowest-LCOW fully feasible design.</x:v>
      </x:c>
      <x:c r="I10" s="84" t="str">
        <x:v>Module: water≥0.400 kg/s, NaCl≤320 mg/L, CP≤1.35. Plant: product≥0.044 m³/s and SEC≤3.00 kWh/m³. Chemistry: pH≥6.20 and all four SI≤0. Select the lowest-LCOW fully feasible design.</x:v>
      </x:c>
      <x:c r="J10" s="84" t="str">
        <x:v>Module: water≥0.400 kg/s, NaCl≤320 mg/L, CP≤1.35. Plant: product≥0.044 m³/s and SEC≤3.00 kWh/m³. Chemistry: pH≥6.20 and all four SI≤0. Select the lowest-LCOW fully feasible design.</x:v>
      </x:c>
      <x:c r="K10" s="84" t="str">
        <x:v>Module: water≥0.400 kg/s, NaCl≤320 mg/L, CP≤1.35. Plant: product≥0.044 m³/s and SEC≤3.00 kWh/m³. Chemistry: pH≥6.20 and all four SI≤0. Select the lowest-LCOW fully feasible design.</x:v>
      </x:c>
      <x:c r="L10" s="84" t="str">
        <x:v>Module: water≥0.400 kg/s, NaCl≤320 mg/L, CP≤1.35. Plant: product≥0.044 m³/s and SEC≤3.00 kWh/m³. Chemistry: pH≥6.20 and all four SI≤0. Select the lowest-LCOW fully feasible design.</x:v>
      </x:c>
      <x:c r="M10" s="84" t="str">
        <x:v>Module: water≥0.400 kg/s, NaCl≤320 mg/L, CP≤1.35. Plant: product≥0.044 m³/s and SEC≤3.00 kWh/m³. Chemistry: pH≥6.20 and all four SI≤0. Select the lowest-LCOW fully feasible design.</x:v>
      </x:c>
      <x:c r="N10" s="85" t="str">
        <x:v>Module: water≥0.400 kg/s, NaCl≤320 mg/L, CP≤1.35. Plant: product≥0.044 m³/s and SEC≤3.00 kWh/m³. Chemistry: pH≥6.20 and all four SI≤0. Select the lowest-LCOW fully feasible design.</x:v>
      </x:c>
    </x:row>
    <x:row r="11">
      <x:c r="A11" s="58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1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1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1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1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1" s="60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1" s="1"/>
      <x:c r="H11" s="86" t="str">
        <x:v>Module: water≥0.400 kg/s, NaCl≤320 mg/L, CP≤1.35. Plant: product≥0.044 m³/s and SEC≤3.00 kWh/m³. Chemistry: pH≥6.20 and all four SI≤0. Select the lowest-LCOW fully feasible design.</x:v>
      </x:c>
      <x:c r="I11" s="87" t="str">
        <x:v>Module: water≥0.400 kg/s, NaCl≤320 mg/L, CP≤1.35. Plant: product≥0.044 m³/s and SEC≤3.00 kWh/m³. Chemistry: pH≥6.20 and all four SI≤0. Select the lowest-LCOW fully feasible design.</x:v>
      </x:c>
      <x:c r="J11" s="87" t="str">
        <x:v>Module: water≥0.400 kg/s, NaCl≤320 mg/L, CP≤1.35. Plant: product≥0.044 m³/s and SEC≤3.00 kWh/m³. Chemistry: pH≥6.20 and all four SI≤0. Select the lowest-LCOW fully feasible design.</x:v>
      </x:c>
      <x:c r="K11" s="87" t="str">
        <x:v>Module: water≥0.400 kg/s, NaCl≤320 mg/L, CP≤1.35. Plant: product≥0.044 m³/s and SEC≤3.00 kWh/m³. Chemistry: pH≥6.20 and all four SI≤0. Select the lowest-LCOW fully feasible design.</x:v>
      </x:c>
      <x:c r="L11" s="87" t="str">
        <x:v>Module: water≥0.400 kg/s, NaCl≤320 mg/L, CP≤1.35. Plant: product≥0.044 m³/s and SEC≤3.00 kWh/m³. Chemistry: pH≥6.20 and all four SI≤0. Select the lowest-LCOW fully feasible design.</x:v>
      </x:c>
      <x:c r="M11" s="87" t="str">
        <x:v>Module: water≥0.400 kg/s, NaCl≤320 mg/L, CP≤1.35. Plant: product≥0.044 m³/s and SEC≤3.00 kWh/m³. Chemistry: pH≥6.20 and all four SI≤0. Select the lowest-LCOW fully feasible design.</x:v>
      </x:c>
      <x:c r="N11" s="88" t="str">
        <x:v>Module: water≥0.400 kg/s, NaCl≤320 mg/L, CP≤1.35. Plant: product≥0.044 m³/s and SEC≤3.00 kWh/m³. Chemistry: pH≥6.20 and all four SI≤0. Select the lowest-LCOW fully feasible design.</x:v>
      </x:c>
    </x:row>
    <x:row r="12">
      <x:c r="A12" s="58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2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2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2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2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2" s="60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2" s="1"/>
      <x:c r="H12" s="86" t="str">
        <x:v>Module: water≥0.400 kg/s, NaCl≤320 mg/L, CP≤1.35. Plant: product≥0.044 m³/s and SEC≤3.00 kWh/m³. Chemistry: pH≥6.20 and all four SI≤0. Select the lowest-LCOW fully feasible design.</x:v>
      </x:c>
      <x:c r="I12" s="87" t="str">
        <x:v>Module: water≥0.400 kg/s, NaCl≤320 mg/L, CP≤1.35. Plant: product≥0.044 m³/s and SEC≤3.00 kWh/m³. Chemistry: pH≥6.20 and all four SI≤0. Select the lowest-LCOW fully feasible design.</x:v>
      </x:c>
      <x:c r="J12" s="87" t="str">
        <x:v>Module: water≥0.400 kg/s, NaCl≤320 mg/L, CP≤1.35. Plant: product≥0.044 m³/s and SEC≤3.00 kWh/m³. Chemistry: pH≥6.20 and all four SI≤0. Select the lowest-LCOW fully feasible design.</x:v>
      </x:c>
      <x:c r="K12" s="87" t="str">
        <x:v>Module: water≥0.400 kg/s, NaCl≤320 mg/L, CP≤1.35. Plant: product≥0.044 m³/s and SEC≤3.00 kWh/m³. Chemistry: pH≥6.20 and all four SI≤0. Select the lowest-LCOW fully feasible design.</x:v>
      </x:c>
      <x:c r="L12" s="87" t="str">
        <x:v>Module: water≥0.400 kg/s, NaCl≤320 mg/L, CP≤1.35. Plant: product≥0.044 m³/s and SEC≤3.00 kWh/m³. Chemistry: pH≥6.20 and all four SI≤0. Select the lowest-LCOW fully feasible design.</x:v>
      </x:c>
      <x:c r="M12" s="87" t="str">
        <x:v>Module: water≥0.400 kg/s, NaCl≤320 mg/L, CP≤1.35. Plant: product≥0.044 m³/s and SEC≤3.00 kWh/m³. Chemistry: pH≥6.20 and all four SI≤0. Select the lowest-LCOW fully feasible design.</x:v>
      </x:c>
      <x:c r="N12" s="88" t="str">
        <x:v>Module: water≥0.400 kg/s, NaCl≤320 mg/L, CP≤1.35. Plant: product≥0.044 m³/s and SEC≤3.00 kWh/m³. Chemistry: pH≥6.20 and all four SI≤0. Select the lowest-LCOW fully feasible design.</x:v>
      </x:c>
    </x:row>
    <x:row r="13">
      <x:c r="A13" s="58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3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3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3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3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3" s="60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3" s="1"/>
      <x:c r="H13" s="86" t="str">
        <x:v>Module: water≥0.400 kg/s, NaCl≤320 mg/L, CP≤1.35. Plant: product≥0.044 m³/s and SEC≤3.00 kWh/m³. Chemistry: pH≥6.20 and all four SI≤0. Select the lowest-LCOW fully feasible design.</x:v>
      </x:c>
      <x:c r="I13" s="87" t="str">
        <x:v>Module: water≥0.400 kg/s, NaCl≤320 mg/L, CP≤1.35. Plant: product≥0.044 m³/s and SEC≤3.00 kWh/m³. Chemistry: pH≥6.20 and all four SI≤0. Select the lowest-LCOW fully feasible design.</x:v>
      </x:c>
      <x:c r="J13" s="87" t="str">
        <x:v>Module: water≥0.400 kg/s, NaCl≤320 mg/L, CP≤1.35. Plant: product≥0.044 m³/s and SEC≤3.00 kWh/m³. Chemistry: pH≥6.20 and all four SI≤0. Select the lowest-LCOW fully feasible design.</x:v>
      </x:c>
      <x:c r="K13" s="87" t="str">
        <x:v>Module: water≥0.400 kg/s, NaCl≤320 mg/L, CP≤1.35. Plant: product≥0.044 m³/s and SEC≤3.00 kWh/m³. Chemistry: pH≥6.20 and all four SI≤0. Select the lowest-LCOW fully feasible design.</x:v>
      </x:c>
      <x:c r="L13" s="87" t="str">
        <x:v>Module: water≥0.400 kg/s, NaCl≤320 mg/L, CP≤1.35. Plant: product≥0.044 m³/s and SEC≤3.00 kWh/m³. Chemistry: pH≥6.20 and all four SI≤0. Select the lowest-LCOW fully feasible design.</x:v>
      </x:c>
      <x:c r="M13" s="87" t="str">
        <x:v>Module: water≥0.400 kg/s, NaCl≤320 mg/L, CP≤1.35. Plant: product≥0.044 m³/s and SEC≤3.00 kWh/m³. Chemistry: pH≥6.20 and all four SI≤0. Select the lowest-LCOW fully feasible design.</x:v>
      </x:c>
      <x:c r="N13" s="88" t="str">
        <x:v>Module: water≥0.400 kg/s, NaCl≤320 mg/L, CP≤1.35. Plant: product≥0.044 m³/s and SEC≤3.00 kWh/m³. Chemistry: pH≥6.20 and all four SI≤0. Select the lowest-LCOW fully feasible design.</x:v>
      </x:c>
    </x:row>
    <x:row r="14">
      <x:c r="A14" s="58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4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4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4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4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4" s="60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4" s="1"/>
      <x:c r="H14" s="86" t="str">
        <x:v>Module: water≥0.400 kg/s, NaCl≤320 mg/L, CP≤1.35. Plant: product≥0.044 m³/s and SEC≤3.00 kWh/m³. Chemistry: pH≥6.20 and all four SI≤0. Select the lowest-LCOW fully feasible design.</x:v>
      </x:c>
      <x:c r="I14" s="87" t="str">
        <x:v>Module: water≥0.400 kg/s, NaCl≤320 mg/L, CP≤1.35. Plant: product≥0.044 m³/s and SEC≤3.00 kWh/m³. Chemistry: pH≥6.20 and all four SI≤0. Select the lowest-LCOW fully feasible design.</x:v>
      </x:c>
      <x:c r="J14" s="87" t="str">
        <x:v>Module: water≥0.400 kg/s, NaCl≤320 mg/L, CP≤1.35. Plant: product≥0.044 m³/s and SEC≤3.00 kWh/m³. Chemistry: pH≥6.20 and all four SI≤0. Select the lowest-LCOW fully feasible design.</x:v>
      </x:c>
      <x:c r="K14" s="87" t="str">
        <x:v>Module: water≥0.400 kg/s, NaCl≤320 mg/L, CP≤1.35. Plant: product≥0.044 m³/s and SEC≤3.00 kWh/m³. Chemistry: pH≥6.20 and all four SI≤0. Select the lowest-LCOW fully feasible design.</x:v>
      </x:c>
      <x:c r="L14" s="87" t="str">
        <x:v>Module: water≥0.400 kg/s, NaCl≤320 mg/L, CP≤1.35. Plant: product≥0.044 m³/s and SEC≤3.00 kWh/m³. Chemistry: pH≥6.20 and all four SI≤0. Select the lowest-LCOW fully feasible design.</x:v>
      </x:c>
      <x:c r="M14" s="87" t="str">
        <x:v>Module: water≥0.400 kg/s, NaCl≤320 mg/L, CP≤1.35. Plant: product≥0.044 m³/s and SEC≤3.00 kWh/m³. Chemistry: pH≥6.20 and all four SI≤0. Select the lowest-LCOW fully feasible design.</x:v>
      </x:c>
      <x:c r="N14" s="88" t="str">
        <x:v>Module: water≥0.400 kg/s, NaCl≤320 mg/L, CP≤1.35. Plant: product≥0.044 m³/s and SEC≤3.00 kWh/m³. Chemistry: pH≥6.20 and all four SI≤0. Select the lowest-LCOW fully feasible design.</x:v>
      </x:c>
    </x:row>
    <x:row r="15">
      <x:c r="A15" s="58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5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5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5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5" s="59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5" s="60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5" s="1"/>
      <x:c r="H15" s="86" t="str">
        <x:v>Module: water≥0.400 kg/s, NaCl≤320 mg/L, CP≤1.35. Plant: product≥0.044 m³/s and SEC≤3.00 kWh/m³. Chemistry: pH≥6.20 and all four SI≤0. Select the lowest-LCOW fully feasible design.</x:v>
      </x:c>
      <x:c r="I15" s="87" t="str">
        <x:v>Module: water≥0.400 kg/s, NaCl≤320 mg/L, CP≤1.35. Plant: product≥0.044 m³/s and SEC≤3.00 kWh/m³. Chemistry: pH≥6.20 and all four SI≤0. Select the lowest-LCOW fully feasible design.</x:v>
      </x:c>
      <x:c r="J15" s="87" t="str">
        <x:v>Module: water≥0.400 kg/s, NaCl≤320 mg/L, CP≤1.35. Plant: product≥0.044 m³/s and SEC≤3.00 kWh/m³. Chemistry: pH≥6.20 and all four SI≤0. Select the lowest-LCOW fully feasible design.</x:v>
      </x:c>
      <x:c r="K15" s="87" t="str">
        <x:v>Module: water≥0.400 kg/s, NaCl≤320 mg/L, CP≤1.35. Plant: product≥0.044 m³/s and SEC≤3.00 kWh/m³. Chemistry: pH≥6.20 and all four SI≤0. Select the lowest-LCOW fully feasible design.</x:v>
      </x:c>
      <x:c r="L15" s="87" t="str">
        <x:v>Module: water≥0.400 kg/s, NaCl≤320 mg/L, CP≤1.35. Plant: product≥0.044 m³/s and SEC≤3.00 kWh/m³. Chemistry: pH≥6.20 and all four SI≤0. Select the lowest-LCOW fully feasible design.</x:v>
      </x:c>
      <x:c r="M15" s="87" t="str">
        <x:v>Module: water≥0.400 kg/s, NaCl≤320 mg/L, CP≤1.35. Plant: product≥0.044 m³/s and SEC≤3.00 kWh/m³. Chemistry: pH≥6.20 and all four SI≤0. Select the lowest-LCOW fully feasible design.</x:v>
      </x:c>
      <x:c r="N15" s="88" t="str">
        <x:v>Module: water≥0.400 kg/s, NaCl≤320 mg/L, CP≤1.35. Plant: product≥0.044 m³/s and SEC≤3.00 kWh/m³. Chemistry: pH≥6.20 and all four SI≤0. Select the lowest-LCOW fully feasible design.</x:v>
      </x:c>
    </x:row>
    <x:row r="16">
      <x:c r="A16" s="61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B16" s="62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C16" s="62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D16" s="62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E16" s="62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F16" s="63" t="str">
        <x:v>Feed is 38 g/kg; module area 68–74 m² and pressure 66–70 bar; A=4.2×10⁻¹² m/s/Pa and B=2.8×10⁻⁸ m/s. PX efficiency spans 93%–97% and PAT efficiency 82%–90%. Organize a discrete screen across area, pressure and ERD route.</x:v>
      </x:c>
      <x:c r="G16" s="1"/>
      <x:c r="H16" s="89" t="str">
        <x:v>Module: water≥0.400 kg/s, NaCl≤320 mg/L, CP≤1.35. Plant: product≥0.044 m³/s and SEC≤3.00 kWh/m³. Chemistry: pH≥6.20 and all four SI≤0. Select the lowest-LCOW fully feasible design.</x:v>
      </x:c>
      <x:c r="I16" s="90" t="str">
        <x:v>Module: water≥0.400 kg/s, NaCl≤320 mg/L, CP≤1.35. Plant: product≥0.044 m³/s and SEC≤3.00 kWh/m³. Chemistry: pH≥6.20 and all four SI≤0. Select the lowest-LCOW fully feasible design.</x:v>
      </x:c>
      <x:c r="J16" s="90" t="str">
        <x:v>Module: water≥0.400 kg/s, NaCl≤320 mg/L, CP≤1.35. Plant: product≥0.044 m³/s and SEC≤3.00 kWh/m³. Chemistry: pH≥6.20 and all four SI≤0. Select the lowest-LCOW fully feasible design.</x:v>
      </x:c>
      <x:c r="K16" s="90" t="str">
        <x:v>Module: water≥0.400 kg/s, NaCl≤320 mg/L, CP≤1.35. Plant: product≥0.044 m³/s and SEC≤3.00 kWh/m³. Chemistry: pH≥6.20 and all four SI≤0. Select the lowest-LCOW fully feasible design.</x:v>
      </x:c>
      <x:c r="L16" s="90" t="str">
        <x:v>Module: water≥0.400 kg/s, NaCl≤320 mg/L, CP≤1.35. Plant: product≥0.044 m³/s and SEC≤3.00 kWh/m³. Chemistry: pH≥6.20 and all four SI≤0. Select the lowest-LCOW fully feasible design.</x:v>
      </x:c>
      <x:c r="M16" s="90" t="str">
        <x:v>Module: water≥0.400 kg/s, NaCl≤320 mg/L, CP≤1.35. Plant: product≥0.044 m³/s and SEC≤3.00 kWh/m³. Chemistry: pH≥6.20 and all four SI≤0. Select the lowest-LCOW fully feasible design.</x:v>
      </x:c>
      <x:c r="N16" s="91" t="str">
        <x:v>Module: water≥0.400 kg/s, NaCl≤320 mg/L, CP≤1.35. Plant: product≥0.044 m³/s and SEC≤3.00 kWh/m³. Chemistry: pH≥6.20 and all four SI≤0. Select the lowest-LCOW fully feasible design.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36" t="str">
        <x:v>Engineering dependency</x:v>
      </x:c>
      <x:c r="B18" s="36" t="str">
        <x:v>Engineering dependency</x:v>
      </x:c>
      <x:c r="C18" s="36" t="str">
        <x:v>Engineering dependency</x:v>
      </x:c>
      <x:c r="D18" s="36" t="str">
        <x:v>Engineering dependency</x:v>
      </x:c>
      <x:c r="E18" s="36" t="str">
        <x:v>Engineering dependency</x:v>
      </x:c>
      <x:c r="F18" s="36" t="str">
        <x:v>Engineering dependency</x:v>
      </x:c>
      <x:c r="G18" s="1"/>
      <x:c r="H18" s="36" t="str">
        <x:v>Required engineering answer</x:v>
      </x:c>
      <x:c r="I18" s="36" t="str">
        <x:v>Required engineering answer</x:v>
      </x:c>
      <x:c r="J18" s="36" t="str">
        <x:v>Required engineering answer</x:v>
      </x:c>
      <x:c r="K18" s="36" t="str">
        <x:v>Required engineering answer</x:v>
      </x:c>
      <x:c r="L18" s="36" t="str">
        <x:v>Required engineering answer</x:v>
      </x:c>
      <x:c r="M18" s="36" t="str">
        <x:v>Required engineering answer</x:v>
      </x:c>
      <x:c r="N18" s="36" t="str">
        <x:v>Required engineering answer</x:v>
      </x:c>
    </x:row>
    <x:row r="19">
      <x:c r="A19" s="110" t="str">
        <x:v>Membrane performance and whole-plant performance must be evaluated for the same design identity. Only jointly feasible designs proceed to concentrate chemistry, whose recovery must inherit the actual membrane result.</x:v>
      </x:c>
      <x:c r="B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C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D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E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F19" s="112" t="str">
        <x:v>Membrane performance and whole-plant performance must be evaluated for the same design identity. Only jointly feasible designs proceed to concentrate chemistry, whose recovery must inherit the actual membrane result.</x:v>
      </x:c>
      <x:c r="G19" s="1"/>
      <x:c r="H19" s="122" t="n">
        <x:v>1</x:v>
      </x:c>
      <x:c r="I19" s="124" t="str">
        <x:v>Define a reproducible discrete search within the stated bounds.</x:v>
      </x:c>
      <x:c r="J19" s="124" t="str">
        <x:v>Define a reproducible discrete search within the stated bounds.</x:v>
      </x:c>
      <x:c r="K19" s="124" t="str">
        <x:v>Define a reproducible discrete search within the stated bounds.</x:v>
      </x:c>
      <x:c r="L19" s="124" t="str">
        <x:v>Define a reproducible discrete search within the stated bounds.</x:v>
      </x:c>
      <x:c r="M19" s="124" t="str">
        <x:v>Define a reproducible discrete search within the stated bounds.</x:v>
      </x:c>
      <x:c r="N19" s="124" t="str">
        <x:v>Define a reproducible discrete search within the stated bounds.</x:v>
      </x:c>
    </x:row>
    <x:row r="20">
      <x:c r="A20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0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0" s="1"/>
      <x:c r="H20" s="122" t="n">
        <x:v>2</x:v>
      </x:c>
      <x:c r="I20" s="124" t="str">
        <x:v>Evaluate membrane and plant constraints without mixing design identities.</x:v>
      </x:c>
      <x:c r="J20" s="124" t="str">
        <x:v>Evaluate membrane and plant constraints without mixing design identities.</x:v>
      </x:c>
      <x:c r="K20" s="124" t="str">
        <x:v>Evaluate membrane and plant constraints without mixing design identities.</x:v>
      </x:c>
      <x:c r="L20" s="124" t="str">
        <x:v>Evaluate membrane and plant constraints without mixing design identities.</x:v>
      </x:c>
      <x:c r="M20" s="124" t="str">
        <x:v>Evaluate membrane and plant constraints without mixing design identities.</x:v>
      </x:c>
      <x:c r="N20" s="124" t="str">
        <x:v>Evaluate membrane and plant constraints without mixing design identities.</x:v>
      </x:c>
    </x:row>
    <x:row r="21">
      <x:c r="A21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1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1" s="1"/>
      <x:c r="H21" s="122" t="n">
        <x:v>3</x:v>
      </x:c>
      <x:c r="I21" s="124" t="str">
        <x:v>Transfer actual recovery into concentrate chemistry.</x:v>
      </x:c>
      <x:c r="J21" s="124" t="str">
        <x:v>Transfer actual recovery into concentrate chemistry.</x:v>
      </x:c>
      <x:c r="K21" s="124" t="str">
        <x:v>Transfer actual recovery into concentrate chemistry.</x:v>
      </x:c>
      <x:c r="L21" s="124" t="str">
        <x:v>Transfer actual recovery into concentrate chemistry.</x:v>
      </x:c>
      <x:c r="M21" s="124" t="str">
        <x:v>Transfer actual recovery into concentrate chemistry.</x:v>
      </x:c>
      <x:c r="N21" s="124" t="str">
        <x:v>Transfer actual recovery into concentrate chemistry.</x:v>
      </x:c>
    </x:row>
    <x:row r="22">
      <x:c r="A22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2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2" s="1"/>
      <x:c r="H22" s="122" t="n">
        <x:v>4</x:v>
      </x:c>
      <x:c r="I22" s="124" t="str">
        <x:v>Show the controlling failure immediately outside the feasible boundary.</x:v>
      </x:c>
      <x:c r="J22" s="124" t="str">
        <x:v>Show the controlling failure immediately outside the feasible boundary.</x:v>
      </x:c>
      <x:c r="K22" s="124" t="str">
        <x:v>Show the controlling failure immediately outside the feasible boundary.</x:v>
      </x:c>
      <x:c r="L22" s="124" t="str">
        <x:v>Show the controlling failure immediately outside the feasible boundary.</x:v>
      </x:c>
      <x:c r="M22" s="124" t="str">
        <x:v>Show the controlling failure immediately outside the feasible boundary.</x:v>
      </x:c>
      <x:c r="N22" s="124" t="str">
        <x:v>Show the controlling failure immediately outside the feasible boundary.</x:v>
      </x:c>
    </x:row>
    <x:row r="23">
      <x:c r="A23" s="116" t="str">
        <x:v>Membrane performance and whole-plant performance must be evaluated for the same design identity. Only jointly feasible designs proceed to concentrate chemistry, whose recovery must inherit the actual membrane result.</x:v>
      </x:c>
      <x:c r="B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C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D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E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F23" s="118" t="str">
        <x:v>Membrane performance and whole-plant performance must be evaluated for the same design identity. Only jointly feasible designs proceed to concentrate chemistry, whose recovery must inherit the actual membrane result.</x:v>
      </x:c>
      <x:c r="G23" s="1"/>
      <x:c r="H23" s="122" t="n">
        <x:v>5</x:v>
      </x:c>
      <x:c r="I23" s="124" t="str">
        <x:v>Report the final setting, decisive values and model limitations.</x:v>
      </x:c>
      <x:c r="J23" s="124" t="str">
        <x:v>Report the final setting, decisive values and model limitations.</x:v>
      </x:c>
      <x:c r="K23" s="124" t="str">
        <x:v>Report the final setting, decisive values and model limitations.</x:v>
      </x:c>
      <x:c r="L23" s="124" t="str">
        <x:v>Report the final setting, decisive values and model limitations.</x:v>
      </x:c>
      <x:c r="M23" s="124" t="str">
        <x:v>Report the final setting, decisive values and model limitations.</x:v>
      </x:c>
      <x:c r="N23" s="124" t="str">
        <x:v>Report the final setting, decisive values and model limitations.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6" t="str">
        <x:v>Boundary note</x:v>
      </x:c>
      <x:c r="B25" s="36" t="str">
        <x:v>Boundary note</x:v>
      </x:c>
      <x:c r="C25" s="36" t="str">
        <x:v>Boundary note</x:v>
      </x:c>
      <x:c r="D25" s="36" t="str">
        <x:v>Boundary note</x:v>
      </x:c>
      <x:c r="E25" s="36" t="str">
        <x:v>Boundary note</x:v>
      </x:c>
      <x:c r="F25" s="36" t="str">
        <x:v>Boundary note</x:v>
      </x:c>
      <x:c r="G25" s="36" t="str">
        <x:v>Boundary note</x:v>
      </x:c>
      <x:c r="H25" s="36" t="str">
        <x:v>Boundary note</x:v>
      </x:c>
      <x:c r="I25" s="36" t="str">
        <x:v>Boundary note</x:v>
      </x:c>
      <x:c r="J25" s="36" t="str">
        <x:v>Boundary note</x:v>
      </x:c>
      <x:c r="K25" s="36" t="str">
        <x:v>Boundary note</x:v>
      </x:c>
      <x:c r="L25" s="36" t="str">
        <x:v>Boundary note</x:v>
      </x:c>
      <x:c r="M25" s="36" t="str">
        <x:v>Boundary note</x:v>
      </x:c>
      <x:c r="N25" s="36" t="str">
        <x:v>Boundary note</x:v>
      </x:c>
    </x:row>
    <x:row r="26">
      <x:c r="A26" s="25" t="str">
        <x:v>Do not substitute nominal recovery, mix outputs from different design packages, or average away a failed season/state. The answer must preserve engineering lineage from design identity to final chemistry verification.</x:v>
      </x:c>
      <x:c r="B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C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D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E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F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G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H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I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J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K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L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M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N26" s="27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7">
      <x:c r="A27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7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8">
      <x:c r="A28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8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9">
      <x:c r="A29" s="31" t="str">
        <x:v>Do not substitute nominal recovery, mix outputs from different design packages, or average away a failed season/state. The answer must preserve engineering lineage from design identity to final chemistry verification.</x:v>
      </x:c>
      <x:c r="B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C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D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E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F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G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H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I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J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K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L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M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N29" s="33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7"/>
    <x:mergeCell ref="A9:F9"/>
    <x:mergeCell ref="H9:N9"/>
    <x:mergeCell ref="A10:F16"/>
    <x:mergeCell ref="H10:N16"/>
    <x:mergeCell ref="A18:F18"/>
    <x:mergeCell ref="A19:F23"/>
    <x:mergeCell ref="H18:N18"/>
    <x:mergeCell ref="I19:N19"/>
    <x:mergeCell ref="I20:N20"/>
    <x:mergeCell ref="I21:N21"/>
    <x:mergeCell ref="I22:N22"/>
    <x:mergeCell ref="I23:N23"/>
    <x:mergeCell ref="A25:N25"/>
    <x:mergeCell ref="A26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Gold Answer | D6_6a-N02</x:v>
      </x:c>
      <x:c r="B1" s="6" t="str">
        <x:v>Gold Answer | D6_6a-N02</x:v>
      </x:c>
      <x:c r="C1" s="6" t="str">
        <x:v>Gold Answer | D6_6a-N02</x:v>
      </x:c>
      <x:c r="D1" s="6" t="str">
        <x:v>Gold Answer | D6_6a-N02</x:v>
      </x:c>
      <x:c r="E1" s="6" t="str">
        <x:v>Gold Answer | D6_6a-N02</x:v>
      </x:c>
      <x:c r="F1" s="6" t="str">
        <x:v>Gold Answer | D6_6a-N02</x:v>
      </x:c>
      <x:c r="G1" s="6" t="str">
        <x:v>Gold Answer | D6_6a-N02</x:v>
      </x:c>
      <x:c r="H1" s="6" t="str">
        <x:v>Gold Answer | D6_6a-N02</x:v>
      </x:c>
      <x:c r="I1" s="6" t="str">
        <x:v>Gold Answer | D6_6a-N02</x:v>
      </x:c>
      <x:c r="J1" s="6" t="str">
        <x:v>Gold Answer | D6_6a-N02</x:v>
      </x:c>
      <x:c r="K1" s="6" t="str">
        <x:v>Gold Answer | D6_6a-N02</x:v>
      </x:c>
      <x:c r="L1" s="6" t="str">
        <x:v>Gold Answer | D6_6a-N02</x:v>
      </x:c>
      <x:c r="M1" s="6" t="str">
        <x:v>Gold Answer | D6_6a-N02</x:v>
      </x:c>
      <x:c r="N1" s="6" t="str">
        <x:v>Gold Answer | D6_6a-N02</x:v>
      </x:c>
    </x:row>
    <x:row r="2" ht="28" customHeight="1">
      <x:c r="A2" s="6" t="str">
        <x:v>Gold Answer | D6_6a-N02</x:v>
      </x:c>
      <x:c r="B2" s="6" t="str">
        <x:v>Gold Answer | D6_6a-N02</x:v>
      </x:c>
      <x:c r="C2" s="6" t="str">
        <x:v>Gold Answer | D6_6a-N02</x:v>
      </x:c>
      <x:c r="D2" s="6" t="str">
        <x:v>Gold Answer | D6_6a-N02</x:v>
      </x:c>
      <x:c r="E2" s="6" t="str">
        <x:v>Gold Answer | D6_6a-N02</x:v>
      </x:c>
      <x:c r="F2" s="6" t="str">
        <x:v>Gold Answer | D6_6a-N02</x:v>
      </x:c>
      <x:c r="G2" s="6" t="str">
        <x:v>Gold Answer | D6_6a-N02</x:v>
      </x:c>
      <x:c r="H2" s="6" t="str">
        <x:v>Gold Answer | D6_6a-N02</x:v>
      </x:c>
      <x:c r="I2" s="6" t="str">
        <x:v>Gold Answer | D6_6a-N02</x:v>
      </x:c>
      <x:c r="J2" s="6" t="str">
        <x:v>Gold Answer | D6_6a-N02</x:v>
      </x:c>
      <x:c r="K2" s="6" t="str">
        <x:v>Gold Answer | D6_6a-N02</x:v>
      </x:c>
      <x:c r="L2" s="6" t="str">
        <x:v>Gold Answer | D6_6a-N02</x:v>
      </x:c>
      <x:c r="M2" s="6" t="str">
        <x:v>Gold Answer | D6_6a-N02</x:v>
      </x:c>
      <x:c r="N2" s="6" t="str">
        <x:v>Gold Answer | D6_6a-N02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3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B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C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D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E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F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G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H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I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J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K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4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4" s="85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5">
      <x:c r="A5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B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C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D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E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F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G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H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I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J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K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5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6">
      <x:c r="A6" s="89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B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C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D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E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F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G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H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I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J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K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6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6" s="91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36" t="str">
        <x:v>Parallel membrane + whole-plant join (key rows from 10 + 10 calls)</x:v>
      </x:c>
      <x:c r="B8" s="36" t="str">
        <x:v>Parallel membrane + whole-plant join (key rows from 10 + 10 calls)</x:v>
      </x:c>
      <x:c r="C8" s="36" t="str">
        <x:v>Parallel membrane + whole-plant join (key rows from 10 + 10 calls)</x:v>
      </x:c>
      <x:c r="D8" s="36" t="str">
        <x:v>Parallel membrane + whole-plant join (key rows from 10 + 10 calls)</x:v>
      </x:c>
      <x:c r="E8" s="36" t="str">
        <x:v>Parallel membrane + whole-plant join (key rows from 10 + 10 calls)</x:v>
      </x:c>
      <x:c r="F8" s="36" t="str">
        <x:v>Parallel membrane + whole-plant join (key rows from 10 + 10 calls)</x:v>
      </x:c>
      <x:c r="G8" s="36" t="str">
        <x:v>Parallel membrane + whole-plant join (key rows from 10 + 10 calls)</x:v>
      </x:c>
      <x:c r="H8" s="36" t="str">
        <x:v>Parallel membrane + whole-plant join (key rows from 10 + 10 calls)</x:v>
      </x:c>
      <x:c r="I8" s="36" t="str">
        <x:v>Parallel membrane + whole-plant join (key rows from 10 + 10 calls)</x:v>
      </x:c>
      <x:c r="J8" s="36" t="str">
        <x:v>Parallel membrane + whole-plant join (key rows from 10 + 10 calls)</x:v>
      </x:c>
      <x:c r="K8" s="36" t="str">
        <x:v>Joint-decision summary</x:v>
      </x:c>
      <x:c r="L8" s="36" t="str">
        <x:v>Joint-decision summary</x:v>
      </x:c>
      <x:c r="M8" s="36" t="str">
        <x:v>Joint-decision summary</x:v>
      </x:c>
      <x:c r="N8" s="36" t="str">
        <x:v>Joint-decision summary</x:v>
      </x:c>
    </x:row>
    <x:row r="9">
      <x:c r="A9" s="129" t="str">
        <x:v>ID</x:v>
      </x:c>
      <x:c r="B9" s="129" t="str">
        <x:v>Setting</x:v>
      </x:c>
      <x:c r="C9" s="129" t="str">
        <x:v>Water kg/s</x:v>
      </x:c>
      <x:c r="D9" s="129" t="str">
        <x:v>NaCl mg/L</x:v>
      </x:c>
      <x:c r="E9" s="129" t="str">
        <x:v>Recovery</x:v>
      </x:c>
      <x:c r="F9" s="129" t="str">
        <x:v>CP</x:v>
      </x:c>
      <x:c r="G9" s="129" t="str">
        <x:v>Plant m³/s</x:v>
      </x:c>
      <x:c r="H9" s="129" t="str">
        <x:v>SEC</x:v>
      </x:c>
      <x:c r="I9" s="129" t="str">
        <x:v>LCOW</x:v>
      </x:c>
      <x:c r="J9" s="129" t="str">
        <x:v>Status</x:v>
      </x:c>
      <x:c r="K9" s="83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9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9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9" s="85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0">
      <x:c r="A10" s="124" t="str">
        <x:v>PX1</x:v>
      </x:c>
      <x:c r="B10" s="124" t="str">
        <x:v>66 bar / 68 m² / PX93%</x:v>
      </x:c>
      <x:c r="C10" s="132" t="n">
        <x:v>0.4149564</x:v>
      </x:c>
      <x:c r="D10" s="132" t="n">
        <x:v>281.1344</x:v>
      </x:c>
      <x:c r="E10" s="132" t="n">
        <x:v>0.4269661</x:v>
      </x:c>
      <x:c r="F10" s="132" t="n">
        <x:v>1.325708</x:v>
      </x:c>
      <x:c r="G10" s="132" t="n">
        <x:v>0.0450402</x:v>
      </x:c>
      <x:c r="H10" s="132" t="n">
        <x:v>2.806614</x:v>
      </x:c>
      <x:c r="I10" s="132" t="n">
        <x:v>1.099367</x:v>
      </x:c>
      <x:c r="J10" s="124" t="str">
        <x:f>IF(AND(C10&gt;=0.4,D10&lt;=320,F10&lt;=1.35,G10&gt;=0.044,H10&lt;=3),"PASS","FAIL")</x:f>
        <x:v>PASS</x:v>
      </x:c>
      <x:c r="K10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0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0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0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1">
      <x:c r="A11" s="131" t="str">
        <x:v>PX2</x:v>
      </x:c>
      <x:c r="B11" s="131" t="str">
        <x:v>68 bar / 68 m² / PX95%</x:v>
      </x:c>
      <x:c r="C11" s="133" t="n">
        <x:v>0.4331325</x:v>
      </x:c>
      <x:c r="D11" s="133" t="n">
        <x:v>276.3094</x:v>
      </x:c>
      <x:c r="E11" s="133" t="n">
        <x:v>0.4456676</x:v>
      </x:c>
      <x:c r="F11" s="133" t="n">
        <x:v>1.346349</x:v>
      </x:c>
      <x:c r="G11" s="133" t="n">
        <x:v>0.046684</x:v>
      </x:c>
      <x:c r="H11" s="133" t="n">
        <x:v>2.815618</x:v>
      </x:c>
      <x:c r="I11" s="133" t="n">
        <x:v>1.073687</x:v>
      </x:c>
      <x:c r="J11" s="131" t="str">
        <x:f>IF(AND(C11&gt;=0.4,D11&lt;=320,F11&lt;=1.35,G11&gt;=0.044,H11&lt;=3),"PASS","FAIL")</x:f>
        <x:v>PASS</x:v>
      </x:c>
      <x:c r="K11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1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1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1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2">
      <x:c r="A12" s="124" t="str">
        <x:v>PX3</x:v>
      </x:c>
      <x:c r="B12" s="124" t="str">
        <x:v>70 bar / 68 m² / PX97%</x:v>
      </x:c>
      <x:c r="C12" s="132" t="n">
        <x:v>0.45069</x:v>
      </x:c>
      <x:c r="D12" s="132" t="n">
        <x:v>272.3133</x:v>
      </x:c>
      <x:c r="E12" s="132" t="n">
        <x:v>0.4637328</x:v>
      </x:c>
      <x:c r="F12" s="132" t="n">
        <x:v>1.367195</x:v>
      </x:c>
      <x:c r="G12" s="132" t="n">
        <x:v>0.0482712</x:v>
      </x:c>
      <x:c r="H12" s="132" t="n">
        <x:v>2.828677</x:v>
      </x:c>
      <x:c r="I12" s="132" t="n">
        <x:v>1.051001</x:v>
      </x:c>
      <x:c r="J12" s="124" t="str">
        <x:f>IF(AND(C12&gt;=0.4,D12&lt;=320,F12&lt;=1.35,G12&gt;=0.044,H12&lt;=3),"PASS","FAIL")</x:f>
        <x:v>FAIL</x:v>
      </x:c>
      <x:c r="K12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2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2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2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3">
      <x:c r="A13" s="124" t="str">
        <x:v>PX4</x:v>
      </x:c>
      <x:c r="B13" s="124" t="str">
        <x:v>68 bar / 74 m² / PX93%</x:v>
      </x:c>
      <x:c r="C13" s="132" t="n">
        <x:v>0.4508408</x:v>
      </x:c>
      <x:c r="D13" s="132" t="n">
        <x:v>292.2868</x:v>
      </x:c>
      <x:c r="E13" s="132" t="n">
        <x:v>0.4638902</x:v>
      </x:c>
      <x:c r="F13" s="132" t="n">
        <x:v>1.354535</x:v>
      </x:c>
      <x:c r="G13" s="132" t="n">
        <x:v>0.0489017</x:v>
      </x:c>
      <x:c r="H13" s="132" t="n">
        <x:v>2.851187</x:v>
      </x:c>
      <x:c r="I13" s="132" t="n">
        <x:v>1.0487</x:v>
      </x:c>
      <x:c r="J13" s="124" t="str">
        <x:f>IF(AND(C13&gt;=0.4,D13&lt;=320,F13&lt;=1.35,G13&gt;=0.044,H13&lt;=3),"PASS","FAIL")</x:f>
        <x:v>FAIL</x:v>
      </x:c>
      <x:c r="K13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3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3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3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4">
      <x:c r="A14" s="124" t="str">
        <x:v>PAT3</x:v>
      </x:c>
      <x:c r="B14" s="124" t="str">
        <x:v>70 bar / 68 m² / PAT90%</x:v>
      </x:c>
      <x:c r="C14" s="132" t="n">
        <x:v>0.45069</x:v>
      </x:c>
      <x:c r="D14" s="132" t="n">
        <x:v>272.3133</x:v>
      </x:c>
      <x:c r="E14" s="132" t="n">
        <x:v>0.4637328</x:v>
      </x:c>
      <x:c r="F14" s="132" t="n">
        <x:v>1.367195</x:v>
      </x:c>
      <x:c r="G14" s="132" t="n">
        <x:v>0.0482712</x:v>
      </x:c>
      <x:c r="H14" s="132" t="n">
        <x:v>5.232409</x:v>
      </x:c>
      <x:c r="I14" s="132" t="n">
        <x:v>1.275614</x:v>
      </x:c>
      <x:c r="J14" s="124" t="str">
        <x:f>IF(AND(C14&gt;=0.4,D14&lt;=320,F14&lt;=1.35,G14&gt;=0.044,H14&lt;=3),"PASS","FAIL")</x:f>
        <x:v>FAIL</x:v>
      </x:c>
      <x:c r="K14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4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4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4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5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5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6">
      <x:c r="A16" s="36" t="str">
        <x:v>Serial concentrate chemistry (actual recovery inherited)</x:v>
      </x:c>
      <x:c r="B16" s="36" t="str">
        <x:v>Serial concentrate chemistry (actual recovery inherited)</x:v>
      </x:c>
      <x:c r="C16" s="36" t="str">
        <x:v>Serial concentrate chemistry (actual recovery inherited)</x:v>
      </x:c>
      <x:c r="D16" s="36" t="str">
        <x:v>Serial concentrate chemistry (actual recovery inherited)</x:v>
      </x:c>
      <x:c r="E16" s="36" t="str">
        <x:v>Serial concentrate chemistry (actual recovery inherited)</x:v>
      </x:c>
      <x:c r="F16" s="36" t="str">
        <x:v>Serial concentrate chemistry (actual recovery inherited)</x:v>
      </x:c>
      <x:c r="G16" s="36" t="str">
        <x:v>Serial concentrate chemistry (actual recovery inherited)</x:v>
      </x:c>
      <x:c r="H16" s="36" t="str">
        <x:v>Serial concentrate chemistry (actual recovery inherited)</x:v>
      </x:c>
      <x:c r="I16" s="36" t="str">
        <x:v>Serial concentrate chemistry (actual recovery inherited)</x:v>
      </x:c>
      <x:c r="J16" s="36" t="str">
        <x:v>Serial concentrate chemistry (actual recovery inherited)</x:v>
      </x:c>
      <x:c r="K16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6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7">
      <x:c r="A17" s="129" t="str">
        <x:v>ID</x:v>
      </x:c>
      <x:c r="B17" s="129" t="str">
        <x:v>Parent</x:v>
      </x:c>
      <x:c r="C17" s="129" t="str">
        <x:v>Recovery</x:v>
      </x:c>
      <x:c r="D17" s="129" t="str">
        <x:v>HCl mol/s</x:v>
      </x:c>
      <x:c r="E17" s="129" t="str">
        <x:v>pH</x:v>
      </x:c>
      <x:c r="F17" s="129" t="str">
        <x:v>Calcite SI</x:v>
      </x:c>
      <x:c r="G17" s="129" t="str">
        <x:v>Dolomite SI</x:v>
      </x:c>
      <x:c r="H17" s="129" t="str">
        <x:v>Gypsum SI</x:v>
      </x:c>
      <x:c r="I17" s="129" t="str">
        <x:v>Anhydrite SI</x:v>
      </x:c>
      <x:c r="J17" s="129" t="str">
        <x:v>Status</x:v>
      </x:c>
      <x:c r="K17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7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7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7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8">
      <x:c r="A18" s="124" t="str">
        <x:v>PX2-D0</x:v>
      </x:c>
      <x:c r="B18" s="124" t="str">
        <x:v>PX2</x:v>
      </x:c>
      <x:c r="C18" s="132" t="n">
        <x:v>0.4456676</x:v>
      </x:c>
      <x:c r="D18" s="132" t="n">
        <x:v>0</x:v>
      </x:c>
      <x:c r="E18" s="132" t="n">
        <x:v>6.9234</x:v>
      </x:c>
      <x:c r="F18" s="132" t="n">
        <x:v>-0.1983</x:v>
      </x:c>
      <x:c r="G18" s="132" t="n">
        <x:v>0.5782</x:v>
      </x:c>
      <x:c r="H18" s="132" t="n">
        <x:v>-0.3697</x:v>
      </x:c>
      <x:c r="I18" s="132" t="n">
        <x:v>-0.7763</x:v>
      </x:c>
      <x:c r="J18" s="124" t="str">
        <x:f>IF(AND(E18&gt;=6.2,F18&lt;=0,G18&lt;=0,H18&lt;=0,I18&lt;=0),"PASS","FAIL")</x:f>
        <x:v>FAIL</x:v>
      </x:c>
      <x:c r="K18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8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8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8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19">
      <x:c r="A19" s="131" t="str">
        <x:v>PX2-D0.0003</x:v>
      </x:c>
      <x:c r="B19" s="131" t="str">
        <x:v>PX2</x:v>
      </x:c>
      <x:c r="C19" s="133" t="n">
        <x:v>0.4456676</x:v>
      </x:c>
      <x:c r="D19" s="133" t="n">
        <x:v>0.0003</x:v>
      </x:c>
      <x:c r="E19" s="133" t="n">
        <x:v>6.5972</x:v>
      </x:c>
      <x:c r="F19" s="133" t="n">
        <x:v>-0.5831</x:v>
      </x:c>
      <x:c r="G19" s="133" t="n">
        <x:v>-0.1911</x:v>
      </x:c>
      <x:c r="H19" s="133" t="n">
        <x:v>-0.3697</x:v>
      </x:c>
      <x:c r="I19" s="133" t="n">
        <x:v>-0.7763</x:v>
      </x:c>
      <x:c r="J19" s="131" t="str">
        <x:f>IF(AND(E19&gt;=6.2,F19&lt;=0,G19&lt;=0,H19&lt;=0,I19&lt;=0),"PASS","FAIL")</x:f>
        <x:v>PASS</x:v>
      </x:c>
      <x:c r="K19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19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19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19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20">
      <x:c r="A20" s="124" t="str">
        <x:v>PX2-D0.0006</x:v>
      </x:c>
      <x:c r="B20" s="124" t="str">
        <x:v>PX2</x:v>
      </x:c>
      <x:c r="C20" s="132" t="n">
        <x:v>0.4456676</x:v>
      </x:c>
      <x:c r="D20" s="132" t="n">
        <x:v>0.0006</x:v>
      </x:c>
      <x:c r="E20" s="132" t="n">
        <x:v>6.3598</x:v>
      </x:c>
      <x:c r="F20" s="132" t="n">
        <x:v>-0.8911</x:v>
      </x:c>
      <x:c r="G20" s="132" t="n">
        <x:v>-0.8067</x:v>
      </x:c>
      <x:c r="H20" s="132" t="n">
        <x:v>-0.3698</x:v>
      </x:c>
      <x:c r="I20" s="132" t="n">
        <x:v>-0.7763</x:v>
      </x:c>
      <x:c r="J20" s="124" t="str">
        <x:f>IF(AND(E20&gt;=6.2,F20&lt;=0,G20&lt;=0,H20&lt;=0,I20&lt;=0),"PASS","FAIL")</x:f>
        <x:v>PASS</x:v>
      </x:c>
      <x:c r="K20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20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20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20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21">
      <x:c r="A21" s="124" t="str">
        <x:v>PX2-D0.0009</x:v>
      </x:c>
      <x:c r="B21" s="124" t="str">
        <x:v>PX2</x:v>
      </x:c>
      <x:c r="C21" s="132" t="n">
        <x:v>0.4456676</x:v>
      </x:c>
      <x:c r="D21" s="132" t="n">
        <x:v>0.0009</x:v>
      </x:c>
      <x:c r="E21" s="132" t="n">
        <x:v>6.1538</x:v>
      </x:c>
      <x:c r="F21" s="132" t="n">
        <x:v>-1.1823</x:v>
      </x:c>
      <x:c r="G21" s="132" t="n">
        <x:v>-1.3888</x:v>
      </x:c>
      <x:c r="H21" s="132" t="n">
        <x:v>-0.3698</x:v>
      </x:c>
      <x:c r="I21" s="132" t="n">
        <x:v>-0.7764</x:v>
      </x:c>
      <x:c r="J21" s="124" t="str">
        <x:f>IF(AND(E21&gt;=6.2,F21&lt;=0,G21&lt;=0,H21&lt;=0,I21&lt;=0),"PASS","FAIL")</x:f>
        <x:v>FAIL</x:v>
      </x:c>
      <x:c r="K21" s="89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21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21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21" s="91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22">
      <x:c r="A22" s="124" t="str">
        <x:v>PX1-D0.0003</x:v>
      </x:c>
      <x:c r="B22" s="124" t="str">
        <x:v>PX1</x:v>
      </x:c>
      <x:c r="C22" s="132" t="n">
        <x:v>0.4269661</x:v>
      </x:c>
      <x:c r="D22" s="132" t="n">
        <x:v>0.0003</x:v>
      </x:c>
      <x:c r="E22" s="132" t="n">
        <x:v>6.6018</x:v>
      </x:c>
      <x:c r="F22" s="132" t="n">
        <x:v>-0.6044</x:v>
      </x:c>
      <x:c r="G22" s="132" t="n">
        <x:v>-0.2352</x:v>
      </x:c>
      <x:c r="H22" s="132" t="n">
        <x:v>-0.3851</x:v>
      </x:c>
      <x:c r="I22" s="132" t="n">
        <x:v>-0.7928</x:v>
      </x:c>
      <x:c r="J22" s="124" t="str">
        <x:f>IF(AND(E22&gt;=6.2,F22&lt;=0,G22&lt;=0,H22&lt;=0,I22&lt;=0),"PASS","FAIL")</x:f>
        <x:v>PASS</x:v>
      </x:c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36" t="str">
        <x:v>Engineering conversion / final KPI</x:v>
      </x:c>
      <x:c r="B24" s="36" t="str">
        <x:v>Engineering conversion / final KPI</x:v>
      </x:c>
      <x:c r="C24" s="36" t="str">
        <x:v>Engineering conversion / final KPI</x:v>
      </x:c>
      <x:c r="D24" s="36" t="str">
        <x:v>Engineering conversion / final KPI</x:v>
      </x:c>
      <x:c r="E24" s="36" t="str">
        <x:v>Engineering conversion / final KPI</x:v>
      </x:c>
      <x:c r="F24" s="36" t="str">
        <x:v>Engineering conversion / final KPI</x:v>
      </x:c>
      <x:c r="G24" s="1"/>
      <x:c r="H24" s="36" t="str">
        <x:v>Boundary evidence</x:v>
      </x:c>
      <x:c r="I24" s="36" t="str">
        <x:v>Boundary evidence</x:v>
      </x:c>
      <x:c r="J24" s="36" t="str">
        <x:v>Boundary evidence</x:v>
      </x:c>
      <x:c r="K24" s="36" t="str">
        <x:v>Boundary evidence</x:v>
      </x:c>
      <x:c r="L24" s="36" t="str">
        <x:v>Boundary evidence</x:v>
      </x:c>
      <x:c r="M24" s="36" t="str">
        <x:v>Boundary evidence</x:v>
      </x:c>
      <x:c r="N24" s="36" t="str">
        <x:v>Boundary evidence</x:v>
      </x:c>
    </x:row>
    <x:row r="25">
      <x:c r="A25" s="134" t="str">
        <x:v>Selected HCl mol/s</x:v>
      </x:c>
      <x:c r="B25" s="135" t="n">
        <x:v>0.0003</x:v>
      </x:c>
      <x:c r="C25" s="134" t="str"/>
      <x:c r="D25" s="1"/>
      <x:c r="E25" s="1"/>
      <x:c r="F25" s="1"/>
      <x:c r="G25" s="1"/>
      <x:c r="H25" s="83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I25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J25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K25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25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25" s="84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25" s="85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26">
      <x:c r="A26" s="134" t="str">
        <x:v>Pure HCl g/h</x:v>
      </x:c>
      <x:c r="B26" s="135" t="n">
        <x:f>B25*36.46*3600</x:f>
        <x:v>39.376799999999996</x:v>
      </x:c>
      <x:c r="C26" s="134" t="str"/>
      <x:c r="D26" s="1"/>
      <x:c r="E26" s="1"/>
      <x:c r="F26" s="1"/>
      <x:c r="G26" s="1"/>
      <x:c r="H26" s="86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I2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J2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K2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2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M26" s="87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N26" s="88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27">
      <x:c r="A27" s="134" t="str">
        <x:v>31 wt% HCl L/h</x:v>
      </x:c>
      <x:c r="B27" s="135" t="n">
        <x:f>B26/(31%*1150)</x:f>
        <x:v>0.11045385694249649</x:v>
      </x:c>
      <x:c r="C27" s="134" t="str"/>
      <x:c r="D27" s="1"/>
      <x:c r="E27" s="1"/>
      <x:c r="F27" s="1"/>
      <x:c r="G27" s="1"/>
      <x:c r="H27" s="89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I27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J27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K27" s="90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  <x:c r="L27" s="90"/>
      <x:c r="M27" s="90"/>
      <x:c r="N27" s="91" t="str">
        <x:v>Recommend PX design PX2: 68 bar, 68 m², PX efficiency 95% and 0.0003 mol/s HCl. Module water is 0.43313 kg/s with CP 1.3463; plant product is 0.04668 m³/s, SEC 2.8156 kWh/m³ and LCOW 1.07369 $/m³. All PAT candidates have SEC around 5.02–5.28 kWh/m³ and fail.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36" t="str">
        <x:v>Model scope and audit note</x:v>
      </x:c>
      <x:c r="B29" s="36" t="str">
        <x:v>Model scope and audit note</x:v>
      </x:c>
      <x:c r="C29" s="36" t="str">
        <x:v>Model scope and audit note</x:v>
      </x:c>
      <x:c r="D29" s="36" t="str">
        <x:v>Model scope and audit note</x:v>
      </x:c>
      <x:c r="E29" s="36" t="str">
        <x:v>Model scope and audit note</x:v>
      </x:c>
      <x:c r="F29" s="36" t="str">
        <x:v>Model scope and audit note</x:v>
      </x:c>
      <x:c r="G29" s="36" t="str">
        <x:v>Model scope and audit note</x:v>
      </x:c>
      <x:c r="H29" s="36" t="str">
        <x:v>Model scope and audit note</x:v>
      </x:c>
      <x:c r="I29" s="36" t="str">
        <x:v>Model scope and audit note</x:v>
      </x:c>
      <x:c r="J29" s="36" t="str">
        <x:v>Model scope and audit note</x:v>
      </x:c>
      <x:c r="K29" s="36" t="str">
        <x:v>Model scope and audit note</x:v>
      </x:c>
      <x:c r="L29" s="36"/>
      <x:c r="M29" s="36"/>
      <x:c r="N29" s="36" t="str">
        <x:v>Model scope and audit note</x:v>
      </x:c>
    </x:row>
    <x:row r="30">
      <x:c r="A30" s="25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0" s="26"/>
      <x:c r="M30" s="26"/>
      <x:c r="N30" s="27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1">
      <x:c r="A31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1" s="29"/>
      <x:c r="M31" s="29"/>
      <x:c r="N31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2">
      <x:c r="A32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2" s="29"/>
      <x:c r="M32" s="29"/>
      <x:c r="N32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3">
      <x:c r="A33" s="31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3" s="32"/>
      <x:c r="M33" s="32"/>
      <x:c r="N33" s="33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A8:J8"/>
    <x:mergeCell ref="A16:J16"/>
    <x:mergeCell ref="A24:F24"/>
    <x:mergeCell ref="H24:N24"/>
    <x:mergeCell ref="H25:N27"/>
    <x:mergeCell ref="A29:N29"/>
    <x:mergeCell ref="A30:N33"/>
    <x:mergeCell ref="K8:N8"/>
    <x:mergeCell ref="K9:N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D6_6a-N02 | Trajectory rubric (100 points)</x:v>
      </x:c>
      <x:c r="B1" s="6" t="str">
        <x:v>D6_6a-N02 | Trajectory rubric (100 points)</x:v>
      </x:c>
      <x:c r="C1" s="6" t="str">
        <x:v>D6_6a-N02 | Trajectory rubric (100 points)</x:v>
      </x:c>
      <x:c r="D1" s="6" t="str">
        <x:v>D6_6a-N02 | Trajectory rubric (100 points)</x:v>
      </x:c>
      <x:c r="E1" s="6" t="str">
        <x:v>D6_6a-N02 | Trajectory rubric (100 points)</x:v>
      </x:c>
      <x:c r="F1" s="6" t="str">
        <x:v>D6_6a-N02 | Trajectory rubric (100 points)</x:v>
      </x:c>
      <x:c r="G1" s="6" t="str">
        <x:v>D6_6a-N02 | Trajectory rubric (100 points)</x:v>
      </x:c>
      <x:c r="H1" s="6" t="str">
        <x:v>D6_6a-N02 | Trajectory rubric (100 points)</x:v>
      </x:c>
      <x:c r="I1" s="6" t="str">
        <x:v>D6_6a-N02 | Trajectory rubric (100 points)</x:v>
      </x:c>
      <x:c r="J1" s="6" t="str">
        <x:v>D6_6a-N02 | Trajectory rubric (100 points)</x:v>
      </x:c>
      <x:c r="K1" s="6" t="str">
        <x:v>D6_6a-N02 | Trajectory rubric (100 points)</x:v>
      </x:c>
      <x:c r="L1" s="6" t="str">
        <x:v>D6_6a-N02 | Trajectory rubric (100 points)</x:v>
      </x:c>
      <x:c r="M1" s="6" t="str">
        <x:v>D6_6a-N02 | Trajectory rubric (100 points)</x:v>
      </x:c>
      <x:c r="N1" s="6" t="str">
        <x:v>D6_6a-N02 | Trajectory rubric (100 points)</x:v>
      </x:c>
    </x:row>
    <x:row r="2" ht="28" customHeight="1">
      <x:c r="A2" s="6" t="str">
        <x:v>D6_6a-N02 | Trajectory rubric (100 points)</x:v>
      </x:c>
      <x:c r="B2" s="6" t="str">
        <x:v>D6_6a-N02 | Trajectory rubric (100 points)</x:v>
      </x:c>
      <x:c r="C2" s="6" t="str">
        <x:v>D6_6a-N02 | Trajectory rubric (100 points)</x:v>
      </x:c>
      <x:c r="D2" s="6" t="str">
        <x:v>D6_6a-N02 | Trajectory rubric (100 points)</x:v>
      </x:c>
      <x:c r="E2" s="6" t="str">
        <x:v>D6_6a-N02 | Trajectory rubric (100 points)</x:v>
      </x:c>
      <x:c r="F2" s="6" t="str">
        <x:v>D6_6a-N02 | Trajectory rubric (100 points)</x:v>
      </x:c>
      <x:c r="G2" s="6" t="str">
        <x:v>D6_6a-N02 | Trajectory rubric (100 points)</x:v>
      </x:c>
      <x:c r="H2" s="6" t="str">
        <x:v>D6_6a-N02 | Trajectory rubric (100 points)</x:v>
      </x:c>
      <x:c r="I2" s="6" t="str">
        <x:v>D6_6a-N02 | Trajectory rubric (100 points)</x:v>
      </x:c>
      <x:c r="J2" s="6" t="str">
        <x:v>D6_6a-N02 | Trajectory rubric (100 points)</x:v>
      </x:c>
      <x:c r="K2" s="6" t="str">
        <x:v>D6_6a-N02 | Trajectory rubric (100 points)</x:v>
      </x:c>
      <x:c r="L2" s="6" t="str">
        <x:v>D6_6a-N02 | Trajectory rubric (100 points)</x:v>
      </x:c>
      <x:c r="M2" s="6" t="str">
        <x:v>D6_6a-N02 | Trajectory rubric (100 points)</x:v>
      </x:c>
      <x:c r="N2" s="6" t="str">
        <x:v>D6_6a-N02 | Trajectory rubric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Score the complete fork-join-serial trajectory. A plausible final number without aligned candidate identities and inherited recovery is not sufficient.</x:v>
      </x:c>
      <x:c r="B4" s="29" t="str">
        <x:v>Score the complete fork-join-serial trajectory. A plausible final number without aligned candidate identities and inherited recovery is not sufficient.</x:v>
      </x:c>
      <x:c r="C4" s="29" t="str">
        <x:v>Score the complete fork-join-serial trajectory. A plausible final number without aligned candidate identities and inherited recovery is not sufficient.</x:v>
      </x:c>
      <x:c r="D4" s="29" t="str">
        <x:v>Score the complete fork-join-serial trajectory. A plausible final number without aligned candidate identities and inherited recovery is not sufficient.</x:v>
      </x:c>
      <x:c r="E4" s="29" t="str">
        <x:v>Score the complete fork-join-serial trajectory. A plausible final number without aligned candidate identities and inherited recovery is not sufficient.</x:v>
      </x:c>
      <x:c r="F4" s="29" t="str">
        <x:v>Score the complete fork-join-serial trajectory. A plausible final number without aligned candidate identities and inherited recovery is not sufficient.</x:v>
      </x:c>
      <x:c r="G4" s="29" t="str">
        <x:v>Score the complete fork-join-serial trajectory. A plausible final number without aligned candidate identities and inherited recovery is not sufficient.</x:v>
      </x:c>
      <x:c r="H4" s="29" t="str">
        <x:v>Score the complete fork-join-serial trajectory. A plausible final number without aligned candidate identities and inherited recovery is not sufficient.</x:v>
      </x:c>
      <x:c r="I4" s="29" t="str">
        <x:v>Score the complete fork-join-serial trajectory. A plausible final number without aligned candidate identities and inherited recovery is not sufficient.</x:v>
      </x:c>
      <x:c r="J4" s="29" t="str">
        <x:v>Score the complete fork-join-serial trajectory. A plausible final number without aligned candidate identities and inherited recovery is not sufficient.</x:v>
      </x:c>
      <x:c r="K4" s="29" t="str">
        <x:v>Score the complete fork-join-serial trajectory. A plausible final number without aligned candidate identities and inherited recovery is not sufficient.</x:v>
      </x:c>
      <x:c r="L4" s="29" t="str">
        <x:v>Score the complete fork-join-serial trajectory. A plausible final number without aligned candidate identities and inherited recovery is not sufficient.</x:v>
      </x:c>
      <x:c r="M4" s="29" t="str">
        <x:v>Score the complete fork-join-serial trajectory. A plausible final number without aligned candidate identities and inherited recovery is not sufficient.</x:v>
      </x:c>
      <x:c r="N4" s="29" t="str">
        <x:v>Score the complete fork-join-serial trajectory. A plausible final number without aligned candidate identities and inherited recovery is not sufficient.</x:v>
      </x:c>
    </x:row>
    <x:row r="5">
      <x:c r="A5" s="29" t="str">
        <x:v>Score the complete fork-join-serial trajectory. A plausible final number without aligned candidate identities and inherited recovery is not sufficient.</x:v>
      </x:c>
      <x:c r="B5" s="29" t="str">
        <x:v>Score the complete fork-join-serial trajectory. A plausible final number without aligned candidate identities and inherited recovery is not sufficient.</x:v>
      </x:c>
      <x:c r="C5" s="29" t="str">
        <x:v>Score the complete fork-join-serial trajectory. A plausible final number without aligned candidate identities and inherited recovery is not sufficient.</x:v>
      </x:c>
      <x:c r="D5" s="29" t="str">
        <x:v>Score the complete fork-join-serial trajectory. A plausible final number without aligned candidate identities and inherited recovery is not sufficient.</x:v>
      </x:c>
      <x:c r="E5" s="29" t="str">
        <x:v>Score the complete fork-join-serial trajectory. A plausible final number without aligned candidate identities and inherited recovery is not sufficient.</x:v>
      </x:c>
      <x:c r="F5" s="29" t="str">
        <x:v>Score the complete fork-join-serial trajectory. A plausible final number without aligned candidate identities and inherited recovery is not sufficient.</x:v>
      </x:c>
      <x:c r="G5" s="29" t="str">
        <x:v>Score the complete fork-join-serial trajectory. A plausible final number without aligned candidate identities and inherited recovery is not sufficient.</x:v>
      </x:c>
      <x:c r="H5" s="29" t="str">
        <x:v>Score the complete fork-join-serial trajectory. A plausible final number without aligned candidate identities and inherited recovery is not sufficient.</x:v>
      </x:c>
      <x:c r="I5" s="29" t="str">
        <x:v>Score the complete fork-join-serial trajectory. A plausible final number without aligned candidate identities and inherited recovery is not sufficient.</x:v>
      </x:c>
      <x:c r="J5" s="29" t="str">
        <x:v>Score the complete fork-join-serial trajectory. A plausible final number without aligned candidate identities and inherited recovery is not sufficient.</x:v>
      </x:c>
      <x:c r="K5" s="29" t="str">
        <x:v>Score the complete fork-join-serial trajectory. A plausible final number without aligned candidate identities and inherited recovery is not sufficient.</x:v>
      </x:c>
      <x:c r="L5" s="29" t="str">
        <x:v>Score the complete fork-join-serial trajectory. A plausible final number without aligned candidate identities and inherited recovery is not sufficient.</x:v>
      </x:c>
      <x:c r="M5" s="29" t="str">
        <x:v>Score the complete fork-join-serial trajectory. A plausible final number without aligned candidate identities and inherited recovery is not sufficient.</x:v>
      </x:c>
      <x:c r="N5" s="29" t="str">
        <x:v>Score the complete fork-join-serial trajectory. A plausible final number without aligned candidate identities and inherited recovery is not sufficient.</x:v>
      </x:c>
    </x:row>
    <x:row r="6">
      <x:c r="A6" s="29" t="str">
        <x:v>Score the complete fork-join-serial trajectory. A plausible final number without aligned candidate identities and inherited recovery is not sufficient.</x:v>
      </x:c>
      <x:c r="B6" s="29" t="str">
        <x:v>Score the complete fork-join-serial trajectory. A plausible final number without aligned candidate identities and inherited recovery is not sufficient.</x:v>
      </x:c>
      <x:c r="C6" s="29" t="str">
        <x:v>Score the complete fork-join-serial trajectory. A plausible final number without aligned candidate identities and inherited recovery is not sufficient.</x:v>
      </x:c>
      <x:c r="D6" s="29" t="str">
        <x:v>Score the complete fork-join-serial trajectory. A plausible final number without aligned candidate identities and inherited recovery is not sufficient.</x:v>
      </x:c>
      <x:c r="E6" s="29" t="str">
        <x:v>Score the complete fork-join-serial trajectory. A plausible final number without aligned candidate identities and inherited recovery is not sufficient.</x:v>
      </x:c>
      <x:c r="F6" s="29" t="str">
        <x:v>Score the complete fork-join-serial trajectory. A plausible final number without aligned candidate identities and inherited recovery is not sufficient.</x:v>
      </x:c>
      <x:c r="G6" s="29" t="str">
        <x:v>Score the complete fork-join-serial trajectory. A plausible final number without aligned candidate identities and inherited recovery is not sufficient.</x:v>
      </x:c>
      <x:c r="H6" s="29" t="str">
        <x:v>Score the complete fork-join-serial trajectory. A plausible final number without aligned candidate identities and inherited recovery is not sufficient.</x:v>
      </x:c>
      <x:c r="I6" s="29" t="str">
        <x:v>Score the complete fork-join-serial trajectory. A plausible final number without aligned candidate identities and inherited recovery is not sufficient.</x:v>
      </x:c>
      <x:c r="J6" s="29" t="str">
        <x:v>Score the complete fork-join-serial trajectory. A plausible final number without aligned candidate identities and inherited recovery is not sufficient.</x:v>
      </x:c>
      <x:c r="K6" s="29" t="str">
        <x:v>Score the complete fork-join-serial trajectory. A plausible final number without aligned candidate identities and inherited recovery is not sufficient.</x:v>
      </x:c>
      <x:c r="L6" s="29" t="str">
        <x:v>Score the complete fork-join-serial trajectory. A plausible final number without aligned candidate identities and inherited recovery is not sufficient.</x:v>
      </x:c>
      <x:c r="M6" s="29" t="str">
        <x:v>Score the complete fork-join-serial trajectory. A plausible final number without aligned candidate identities and inherited recovery is not sufficient.</x:v>
      </x:c>
      <x:c r="N6" s="29" t="str">
        <x:v>Score the complete fork-join-serial trajectory. A plausible final number without aligned candidate identities and inherited recovery is not sufficient.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Dimension</x:v>
      </x:c>
      <x:c r="B8" s="129" t="str">
        <x:v>Focus</x:v>
      </x:c>
      <x:c r="C8" s="129" t="str">
        <x:v>Full-credit evidence</x:v>
      </x:c>
      <x:c r="D8" s="129" t="str">
        <x:v>Partial</x:v>
      </x:c>
      <x:c r="E8" s="129" t="str">
        <x:v>Critical failure</x:v>
      </x:c>
      <x:c r="F8" s="129" t="str">
        <x:v>Weight</x:v>
      </x:c>
      <x:c r="G8" s="129" t="str"/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4" customHeight="1">
      <x:c r="A9" s="124" t="str">
        <x:v>TQ1 Formulation</x:v>
      </x:c>
      <x:c r="B9" s="124" t="str">
        <x:v>Common candidate identity</x:v>
      </x:c>
      <x:c r="C9" s="124" t="str">
        <x:v>Defines variables, units, constraints and objective.</x:v>
      </x:c>
      <x:c r="D9" s="124" t="str">
        <x:v>One secondary omission.</x:v>
      </x:c>
      <x:c r="E9" s="124" t="str">
        <x:v>Changes undeclared variables.</x:v>
      </x:c>
      <x:c r="F9" s="124" t="n">
        <x:v>15</x:v>
      </x:c>
      <x:c r="G9" s="124" t="str"/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4" customHeight="1">
      <x:c r="A10" s="124" t="str">
        <x:v>TQ2 Parallel membrane branch</x:v>
      </x:c>
      <x:c r="B10" s="124" t="str">
        <x:v>simulate_ro fidelity</x:v>
      </x:c>
      <x:c r="C10" s="124" t="str">
        <x:v>Runs the declared grid and applies all module constraints.</x:v>
      </x:c>
      <x:c r="D10" s="124" t="str">
        <x:v>Minor transcription error.</x:v>
      </x:c>
      <x:c r="E10" s="124" t="str">
        <x:v>Selects by water flow only.</x:v>
      </x:c>
      <x:c r="F10" s="124" t="n">
        <x:v>15</x:v>
      </x:c>
      <x:c r="G10" s="124" t="str"/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4" customHeight="1">
      <x:c r="A11" s="124" t="str">
        <x:v>TQ3 Parallel plant branch</x:v>
      </x:c>
      <x:c r="B11" s="124" t="str">
        <x:v>simulate_swro_system fidelity</x:v>
      </x:c>
      <x:c r="C11" s="124" t="str">
        <x:v>Uses matching design IDs and applies product/SEC/economic rules.</x:v>
      </x:c>
      <x:c r="D11" s="124" t="str">
        <x:v>One non-decisive omission.</x:v>
      </x:c>
      <x:c r="E11" s="124" t="str">
        <x:v>Mixes module and plant settings.</x:v>
      </x:c>
      <x:c r="F11" s="124" t="n">
        <x:v>15</x:v>
      </x:c>
      <x:c r="G11" s="124" t="str"/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4" customHeight="1">
      <x:c r="A12" s="124" t="str">
        <x:v>TQ4 Join logic</x:v>
      </x:c>
      <x:c r="B12" s="124" t="str">
        <x:v>Joint feasibility</x:v>
      </x:c>
      <x:c r="C12" s="124" t="str">
        <x:v>Intersects both branches before ranking.</x:v>
      </x:c>
      <x:c r="D12" s="124" t="str">
        <x:v>Weak adjacent-failure evidence.</x:v>
      </x:c>
      <x:c r="E12" s="124" t="str">
        <x:v>Ranks one branch independently.</x:v>
      </x:c>
      <x:c r="F12" s="124" t="n">
        <x:v>15</x:v>
      </x:c>
      <x:c r="G12" s="124" t="str"/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4" customHeight="1">
      <x:c r="A13" s="124" t="str">
        <x:v>TQ5 Serial chemistry</x:v>
      </x:c>
      <x:c r="B13" s="124" t="str">
        <x:v>Inherited recovery</x:v>
      </x:c>
      <x:c r="C13" s="124" t="str">
        <x:v>Transfers actual recovery and evaluates dose/state boundaries.</x:v>
      </x:c>
      <x:c r="D13" s="124" t="str">
        <x:v>Non-decisive rounding.</x:v>
      </x:c>
      <x:c r="E13" s="124" t="str">
        <x:v>Uses nominal recovery.</x:v>
      </x:c>
      <x:c r="F13" s="124" t="n">
        <x:v>20</x:v>
      </x:c>
      <x:c r="G13" s="124" t="str"/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4" customHeight="1">
      <x:c r="A14" s="124" t="str">
        <x:v>TQ6 Decision and scope</x:v>
      </x:c>
      <x:c r="B14" s="124" t="str">
        <x:v>Final recommendation</x:v>
      </x:c>
      <x:c r="C14" s="124" t="str">
        <x:v>Reports winner, controlling failure, conversion and model limits.</x:v>
      </x:c>
      <x:c r="D14" s="124" t="str">
        <x:v>Correct winner with weak audit.</x:v>
      </x:c>
      <x:c r="E14" s="124" t="str">
        <x:v>Unsupported certainty or wrong winner.</x:v>
      </x:c>
      <x:c r="F14" s="124" t="n">
        <x:v>20</x:v>
      </x:c>
      <x:c r="G14" s="124" t="str"/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Gold Answer anchors</x:v>
      </x:c>
      <x:c r="B16" s="36" t="str">
        <x:v>Gold Answer anchors</x:v>
      </x:c>
      <x:c r="C16" s="36" t="str">
        <x:v>Gold Answer anchors</x:v>
      </x:c>
      <x:c r="D16" s="36" t="str">
        <x:v>Gold Answer anchors</x:v>
      </x:c>
      <x:c r="E16" s="36" t="str">
        <x:v>Gold Answer anchors</x:v>
      </x:c>
      <x:c r="F16" s="36" t="str">
        <x:v>Gold Answer anchors</x:v>
      </x:c>
      <x:c r="G16" s="36" t="str">
        <x:v>Gold Answer anchors</x:v>
      </x:c>
      <x:c r="H16" s="36" t="str">
        <x:v>Gold Answer anchors</x:v>
      </x:c>
      <x:c r="I16" s="36" t="str">
        <x:v>Gold Answer anchors</x:v>
      </x:c>
      <x:c r="J16" s="36" t="str">
        <x:v>Gold Answer anchors</x:v>
      </x:c>
      <x:c r="K16" s="36" t="str">
        <x:v>Gold Answer anchors</x:v>
      </x:c>
      <x:c r="L16" s="36" t="str">
        <x:v>Gold Answer anchors</x:v>
      </x:c>
      <x:c r="M16" s="36" t="str">
        <x:v>Gold Answer anchors</x:v>
      </x:c>
      <x:c r="N16" s="36" t="str">
        <x:v>Gold Answer anchors</x:v>
      </x:c>
    </x:row>
    <x:row r="17">
      <x:c r="A17" s="124" t="str">
        <x:v>Theme</x:v>
      </x:c>
      <x:c r="B17" s="124" t="str">
        <x:v>Three-model joint decisions for membrane performance, plant energy/economics, and concentrate chemistry under multiple RO operating states</x:v>
      </x:c>
      <x:c r="C17" s="124" t="str"/>
      <x:c r="D17" s="124" t="str"/>
      <x:c r="E17" s="124" t="str"/>
      <x:c r="F17" s="124" t="str"/>
      <x:c r="G17" s="124" t="str"/>
      <x:c r="H17" s="124" t="str"/>
      <x:c r="I17" s="124" t="str"/>
      <x:c r="J17" s="124" t="str"/>
      <x:c r="K17" s="124" t="str"/>
      <x:c r="L17" s="124" t="str"/>
      <x:c r="M17" s="124" t="str"/>
      <x:c r="N17" s="124" t="str"/>
    </x:row>
    <x:row r="18">
      <x:c r="A18" s="124" t="str">
        <x:v>Final design</x:v>
      </x:c>
      <x:c r="B18" s="124" t="str">
        <x:v>PX2</x:v>
      </x:c>
      <x:c r="C18" s="124" t="str"/>
      <x:c r="D18" s="124" t="str"/>
      <x:c r="E18" s="124" t="str"/>
      <x:c r="F18" s="124" t="str"/>
      <x:c r="G18" s="124" t="str"/>
      <x:c r="H18" s="124" t="str"/>
      <x:c r="I18" s="124" t="str"/>
      <x:c r="J18" s="124" t="str"/>
      <x:c r="K18" s="124" t="str"/>
      <x:c r="L18" s="124" t="str"/>
      <x:c r="M18" s="124" t="str"/>
      <x:c r="N18" s="124" t="str"/>
    </x:row>
    <x:row r="19">
      <x:c r="A19" s="124" t="str">
        <x:v>Final HCl mol/s</x:v>
      </x:c>
      <x:c r="B19" s="124" t="n">
        <x:v>0.0003</x:v>
      </x:c>
      <x:c r="C19" s="124" t="str"/>
      <x:c r="D19" s="124" t="str"/>
      <x:c r="E19" s="124" t="str"/>
      <x:c r="F19" s="124" t="str"/>
      <x:c r="G19" s="124" t="str"/>
      <x:c r="H19" s="124" t="str"/>
      <x:c r="I19" s="124" t="str"/>
      <x:c r="J19" s="124" t="str"/>
      <x:c r="K19" s="124" t="str"/>
      <x:c r="L19" s="124" t="str"/>
      <x:c r="M19" s="124" t="str"/>
      <x:c r="N19" s="124" t="str"/>
    </x:row>
    <x:row r="20">
      <x:c r="A20" s="124" t="str">
        <x:v>Parallel calls</x:v>
      </x:c>
      <x:c r="B20" s="124" t="str">
        <x:v>10 simulate_ro + 10 simulate_swro_system</x:v>
      </x:c>
      <x:c r="C20" s="124" t="str"/>
      <x:c r="D20" s="124" t="str"/>
      <x:c r="E20" s="124" t="str"/>
      <x:c r="F20" s="124" t="str"/>
      <x:c r="G20" s="124" t="str"/>
      <x:c r="H20" s="124" t="str"/>
      <x:c r="I20" s="124" t="str"/>
      <x:c r="J20" s="124" t="str"/>
      <x:c r="K20" s="124" t="str"/>
      <x:c r="L20" s="124" t="str"/>
      <x:c r="M20" s="124" t="str"/>
      <x:c r="N20" s="124" t="str"/>
    </x:row>
    <x:row r="21">
      <x:c r="A21" s="124" t="str">
        <x:v>Serial calls</x:v>
      </x:c>
      <x:c r="B21" s="124" t="str">
        <x:v>10 equilibrate_feed</x:v>
      </x:c>
      <x:c r="C21" s="124" t="str"/>
      <x:c r="D21" s="124" t="str"/>
      <x:c r="E21" s="124" t="str"/>
      <x:c r="F21" s="124" t="str"/>
      <x:c r="G21" s="124" t="str"/>
      <x:c r="H21" s="124" t="str"/>
      <x:c r="I21" s="124" t="str"/>
      <x:c r="J21" s="124" t="str"/>
      <x:c r="K21" s="124" t="str"/>
      <x:c r="L21" s="124" t="str"/>
      <x:c r="M21" s="124" t="str"/>
      <x:c r="N21" s="124" t="str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G8:N8"/>
    <x:mergeCell ref="G9:N9"/>
    <x:mergeCell ref="G10:N10"/>
    <x:mergeCell ref="G11:N11"/>
    <x:mergeCell ref="G12:N12"/>
    <x:mergeCell ref="G13:N13"/>
    <x:mergeCell ref="G14:N14"/>
    <x:mergeCell ref="A16:N16"/>
    <x:mergeCell ref="C17:N17"/>
    <x:mergeCell ref="C18:N18"/>
    <x:mergeCell ref="C19:N19"/>
    <x:mergeCell ref="C20:N20"/>
    <x:mergeCell ref="C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D6_6a-N02 | Tool efficiency (100 points)</x:v>
      </x:c>
      <x:c r="B1" s="6" t="str">
        <x:v>D6_6a-N02 | Tool efficiency (100 points)</x:v>
      </x:c>
      <x:c r="C1" s="6" t="str">
        <x:v>D6_6a-N02 | Tool efficiency (100 points)</x:v>
      </x:c>
      <x:c r="D1" s="6" t="str">
        <x:v>D6_6a-N02 | Tool efficiency (100 points)</x:v>
      </x:c>
      <x:c r="E1" s="6" t="str">
        <x:v>D6_6a-N02 | Tool efficiency (100 points)</x:v>
      </x:c>
      <x:c r="F1" s="6" t="str">
        <x:v>D6_6a-N02 | Tool efficiency (100 points)</x:v>
      </x:c>
      <x:c r="G1" s="6" t="str">
        <x:v>D6_6a-N02 | Tool efficiency (100 points)</x:v>
      </x:c>
      <x:c r="H1" s="6" t="str">
        <x:v>D6_6a-N02 | Tool efficiency (100 points)</x:v>
      </x:c>
      <x:c r="I1" s="6" t="str">
        <x:v>D6_6a-N02 | Tool efficiency (100 points)</x:v>
      </x:c>
      <x:c r="J1" s="6" t="str">
        <x:v>D6_6a-N02 | Tool efficiency (100 points)</x:v>
      </x:c>
      <x:c r="K1" s="6" t="str">
        <x:v>D6_6a-N02 | Tool efficiency (100 points)</x:v>
      </x:c>
      <x:c r="L1" s="6" t="str">
        <x:v>D6_6a-N02 | Tool efficiency (100 points)</x:v>
      </x:c>
      <x:c r="M1" s="6" t="str">
        <x:v>D6_6a-N02 | Tool efficiency (100 points)</x:v>
      </x:c>
      <x:c r="N1" s="6" t="str">
        <x:v>D6_6a-N02 | Tool efficiency (100 points)</x:v>
      </x:c>
    </x:row>
    <x:row r="2" ht="28" customHeight="1">
      <x:c r="A2" s="6" t="str">
        <x:v>D6_6a-N02 | Tool efficiency (100 points)</x:v>
      </x:c>
      <x:c r="B2" s="6" t="str">
        <x:v>D6_6a-N02 | Tool efficiency (100 points)</x:v>
      </x:c>
      <x:c r="C2" s="6" t="str">
        <x:v>D6_6a-N02 | Tool efficiency (100 points)</x:v>
      </x:c>
      <x:c r="D2" s="6" t="str">
        <x:v>D6_6a-N02 | Tool efficiency (100 points)</x:v>
      </x:c>
      <x:c r="E2" s="6" t="str">
        <x:v>D6_6a-N02 | Tool efficiency (100 points)</x:v>
      </x:c>
      <x:c r="F2" s="6" t="str">
        <x:v>D6_6a-N02 | Tool efficiency (100 points)</x:v>
      </x:c>
      <x:c r="G2" s="6" t="str">
        <x:v>D6_6a-N02 | Tool efficiency (100 points)</x:v>
      </x:c>
      <x:c r="H2" s="6" t="str">
        <x:v>D6_6a-N02 | Tool efficiency (100 points)</x:v>
      </x:c>
      <x:c r="I2" s="6" t="str">
        <x:v>D6_6a-N02 | Tool efficiency (100 points)</x:v>
      </x:c>
      <x:c r="J2" s="6" t="str">
        <x:v>D6_6a-N02 | Tool efficiency (100 points)</x:v>
      </x:c>
      <x:c r="K2" s="6" t="str">
        <x:v>D6_6a-N02 | Tool efficiency (100 points)</x:v>
      </x:c>
      <x:c r="L2" s="6" t="str">
        <x:v>D6_6a-N02 | Tool efficiency (100 points)</x:v>
      </x:c>
      <x:c r="M2" s="6" t="str">
        <x:v>D6_6a-N02 | Tool efficiency (100 points)</x:v>
      </x:c>
      <x:c r="N2" s="6" t="str">
        <x:v>D6_6a-N02 | Tool efficiency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4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5">
      <x:c r="A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5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6">
      <x:c r="A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6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Stage</x:v>
      </x:c>
      <x:c r="B8" s="129" t="str">
        <x:v>Tool</x:v>
      </x:c>
      <x:c r="C8" s="129" t="str">
        <x:v>Calls</x:v>
      </x:c>
      <x:c r="D8" s="129" t="str">
        <x:v>Key input</x:v>
      </x:c>
      <x:c r="E8" s="129" t="str">
        <x:v>Key observation</x:v>
      </x:c>
      <x:c r="F8" s="129" t="str">
        <x:v>State update</x:v>
      </x:c>
      <x:c r="G8" s="129" t="str">
        <x:v>Next step</x:v>
      </x:c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2" customHeight="1">
      <x:c r="A9" s="124" t="str">
        <x:v>1 Metadata</x:v>
      </x:c>
      <x:c r="B9" s="124" t="str">
        <x:v>describe_*</x:v>
      </x:c>
      <x:c r="C9" s="124" t="n">
        <x:v>0</x:v>
      </x:c>
      <x:c r="D9" s="124" t="str">
        <x:v>Units, species and valid parameter combinations</x:v>
      </x:c>
      <x:c r="E9" s="124" t="str">
        <x:v>Lock common candidate identity</x:v>
      </x:c>
      <x:c r="F9" s="124" t="str">
        <x:v>Create auditable search table</x:v>
      </x:c>
      <x:c r="G9" s="124" t="str">
        <x:v>Fork</x:v>
      </x:c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2" customHeight="1">
      <x:c r="A10" s="124" t="str">
        <x:v>2A Parallel membrane</x:v>
      </x:c>
      <x:c r="B10" s="124" t="str">
        <x:v>simulate_ro</x:v>
      </x:c>
      <x:c r="C10" s="124" t="n">
        <x:v>10</x:v>
      </x:c>
      <x:c r="D10" s="124" t="str">
        <x:v>Pressure, area, A/B, temperature and salinity</x:v>
      </x:c>
      <x:c r="E10" s="124" t="str">
        <x:v>Water, NaCl, CP and actual recovery</x:v>
      </x:c>
      <x:c r="F10" s="124" t="str">
        <x:v>Mark membrane-feasible IDs</x:v>
      </x:c>
      <x:c r="G10" s="124" t="str">
        <x:v>Join</x:v>
      </x:c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2" customHeight="1">
      <x:c r="A11" s="124" t="str">
        <x:v>2B Parallel plant</x:v>
      </x:c>
      <x:c r="B11" s="124" t="str">
        <x:v>simulate_swro_system</x:v>
      </x:c>
      <x:c r="C11" s="124" t="n">
        <x:v>10</x:v>
      </x:c>
      <x:c r="D11" s="124" t="str">
        <x:v>Same ID, plant area, ERD and pump settings</x:v>
      </x:c>
      <x:c r="E11" s="124" t="str">
        <x:v>Product, SEC, CAPEX and LCOW</x:v>
      </x:c>
      <x:c r="F11" s="124" t="str">
        <x:v>Mark plant-feasible IDs</x:v>
      </x:c>
      <x:c r="G11" s="124" t="str">
        <x:v>Join</x:v>
      </x:c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2" customHeight="1">
      <x:c r="A12" s="124" t="str">
        <x:v>3 Join</x:v>
      </x:c>
      <x:c r="B12" s="124" t="str">
        <x:v>—</x:v>
      </x:c>
      <x:c r="C12" s="124" t="n">
        <x:v>0</x:v>
      </x:c>
      <x:c r="D12" s="124" t="str">
        <x:v>Two aligned branch tables</x:v>
      </x:c>
      <x:c r="E12" s="124" t="str">
        <x:v>Intersection and ranking boundary</x:v>
      </x:c>
      <x:c r="F12" s="124" t="str">
        <x:v>Create chemistry shortlist</x:v>
      </x:c>
      <x:c r="G12" s="124" t="str">
        <x:v>Transfer recovery</x:v>
      </x:c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2" customHeight="1">
      <x:c r="A13" s="124" t="str">
        <x:v>4 Serial chemistry</x:v>
      </x:c>
      <x:c r="B13" s="124" t="str">
        <x:v>equilibrate_feed</x:v>
      </x:c>
      <x:c r="C13" s="124" t="n">
        <x:v>10</x:v>
      </x:c>
      <x:c r="D13" s="124" t="str">
        <x:v>Inherited recovery, ion analysis and dose/state</x:v>
      </x:c>
      <x:c r="E13" s="124" t="str">
        <x:v>pH and mineral SI</x:v>
      </x:c>
      <x:c r="F13" s="124" t="str">
        <x:v>Lock final feasible set</x:v>
      </x:c>
      <x:c r="G13" s="124" t="str">
        <x:v>Check adjacent failure</x:v>
      </x:c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2" customHeight="1">
      <x:c r="A14" s="124" t="str">
        <x:v>5 Stop</x:v>
      </x:c>
      <x:c r="B14" s="124" t="str">
        <x:v>—</x:v>
      </x:c>
      <x:c r="C14" s="124" t="n">
        <x:v>0</x:v>
      </x:c>
      <x:c r="D14" s="124" t="str">
        <x:v>Winner plus decisive failure evidence</x:v>
      </x:c>
      <x:c r="E14" s="124" t="str">
        <x:v>No unresolved boundary</x:v>
      </x:c>
      <x:c r="F14" s="124" t="str">
        <x:v>Report recommendation and limits</x:v>
      </x:c>
      <x:c r="G14" s="124" t="str">
        <x:v>Stop</x:v>
      </x:c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Hybrid-trajectory audit</x:v>
      </x:c>
      <x:c r="B16" s="36" t="str">
        <x:v>Hybrid-trajectory audit</x:v>
      </x:c>
      <x:c r="C16" s="36" t="str">
        <x:v>Hybrid-trajectory audit</x:v>
      </x:c>
      <x:c r="D16" s="36" t="str">
        <x:v>Hybrid-trajectory audit</x:v>
      </x:c>
      <x:c r="E16" s="36" t="str">
        <x:v>Hybrid-trajectory audit</x:v>
      </x:c>
      <x:c r="F16" s="36" t="str">
        <x:v>Hybrid-trajectory audit</x:v>
      </x:c>
      <x:c r="G16" s="36" t="str">
        <x:v>Hybrid-trajectory audit</x:v>
      </x:c>
      <x:c r="H16" s="36" t="str">
        <x:v>Hybrid-trajectory audit</x:v>
      </x:c>
      <x:c r="I16" s="36" t="str">
        <x:v>Hybrid-trajectory audit</x:v>
      </x:c>
      <x:c r="J16" s="36" t="str">
        <x:v>Hybrid-trajectory audit</x:v>
      </x:c>
      <x:c r="K16" s="36" t="str">
        <x:v>Hybrid-trajectory audit</x:v>
      </x:c>
      <x:c r="L16" s="36" t="str">
        <x:v>Hybrid-trajectory audit</x:v>
      </x:c>
      <x:c r="M16" s="36" t="str">
        <x:v>Hybrid-trajectory audit</x:v>
      </x:c>
      <x:c r="N16" s="36" t="str">
        <x:v>Hybrid-trajectory audit</x:v>
      </x:c>
    </x:row>
    <x:row r="17">
      <x:c r="A17" s="83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7" s="85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8">
      <x:c r="A18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8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9">
      <x:c r="A19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9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0">
      <x:c r="A20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0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1">
      <x:c r="A21" s="89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1" s="91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H8:N8"/>
    <x:mergeCell ref="H9:N9"/>
    <x:mergeCell ref="H10:N10"/>
    <x:mergeCell ref="H11:N11"/>
    <x:mergeCell ref="H12:N12"/>
    <x:mergeCell ref="H13:N13"/>
    <x:mergeCell ref="H14:N14"/>
    <x:mergeCell ref="A16:N16"/>
    <x:mergeCell ref="A17:N21"/>
  </x:mergeCells>
  <x:pageMargins left="0.7" right="0.7" top="0.75" bottom="0.75" header="0.3" footer="0.3"/>
</x:worksheet>
</file>