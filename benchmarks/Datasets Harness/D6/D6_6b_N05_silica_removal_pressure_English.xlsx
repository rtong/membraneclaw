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b14e853fb4b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16e28f654abc4406"/>
    <x:sheet xmlns:r="http://schemas.openxmlformats.org/officeDocument/2006/relationships" name="Gold_Answer_A" sheetId="2" r:id="R8de2fa7cf4db458d"/>
    <x:sheet xmlns:r="http://schemas.openxmlformats.org/officeDocument/2006/relationships" name="Trajectory_Rubric" sheetId="3" r:id="R65f59bc5b232446b"/>
    <x:sheet xmlns:r="http://schemas.openxmlformats.org/officeDocument/2006/relationships" name="Tool_Efficiency" sheetId="4" r:id="Rc5091c999bc2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0000"/>
    <x:numFmt numFmtId="202" formatCode="0.00E+00"/>
    <x:numFmt numFmtId="203" formatCode="0.00000000"/>
    <x:numFmt numFmtId="204" formatCode="0.00%"/>
  </x:numFmts>
  <x:fonts count="7">
    <x:font>
      <x:sz val="11"/>
      <x:name val="Carlito"/>
    </x:font>
    <x:font>
      <x:sz val="10"/>
      <x:color rgb="FF1F2937"/>
      <x:name val="Aptos"/>
    </x:font>
    <x:font>
      <x:b/>
      <x:sz val="17"/>
      <x:color rgb="FFFFFFFF"/>
      <x:name val="Aptos"/>
    </x:font>
    <x:font>
      <x:sz val="10"/>
      <x:color rgb="FF9C6500"/>
      <x:name val="Aptos"/>
    </x:font>
    <x:font>
      <x:b/>
      <x:sz val="10"/>
      <x:color rgb="FFFFFFFF"/>
      <x:name val="Aptos"/>
    </x:font>
    <x:font>
      <x:b/>
      <x:sz val="10"/>
      <x:color rgb="FF17365D"/>
      <x:name val="Aptos"/>
    </x:font>
    <x:font>
      <x:b/>
      <x:sz val="10"/>
      <x:color rgb="FF37562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4" fontId="1" fillId="0" borderId="1" xfId="0" applyNumberFormat="1" applyFont="1" applyFill="1" applyBorder="1" applyAlignment="1">
      <x:alignment vertical="center" wrapText="1"/>
    </x:xf>
    <x:xf numFmtId="204" fontId="1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eaf6a587e444db" /><Relationship Type="http://schemas.openxmlformats.org/officeDocument/2006/relationships/theme" Target="/xl/theme/theme1.xml" Id="R4a30b60b817c491c" /><Relationship Type="http://schemas.openxmlformats.org/officeDocument/2006/relationships/sharedStrings" Target="/xl/sharedStrings.xml" Id="R7018500078f64782" /><Relationship Type="http://schemas.openxmlformats.org/officeDocument/2006/relationships/worksheet" Target="/xl/worksheets/sheet1.xml" Id="R16e28f654abc4406" /><Relationship Type="http://schemas.openxmlformats.org/officeDocument/2006/relationships/worksheet" Target="/xl/worksheets/sheet2.xml" Id="R8de2fa7cf4db458d" /><Relationship Type="http://schemas.openxmlformats.org/officeDocument/2006/relationships/worksheet" Target="/xl/worksheets/sheet3.xml" Id="R65f59bc5b232446b" /><Relationship Type="http://schemas.openxmlformats.org/officeDocument/2006/relationships/worksheet" Target="/xl/worksheets/sheet4.xml" Id="Rc5091c999bc242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c9bf74a787455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Production boundary by candidate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Production</c:v>
          </c:tx>
          <c:marker>
            <c:symbol val="none"/>
          </c:marker>
          <c:cat>
            <c:strRef>
              <c:f>'Gold_Answer_A'!$J$10:$J$13</c:f>
              <c:strCache>
                <c:ptCount val="0"/>
              </c:strCache>
            </c:strRef>
          </c:cat>
          <c:val>
            <c:numRef>
              <c:f>'Gold_Answer_A'!$K$10:$K$13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Target</c:v>
          </c:tx>
          <c:marker>
            <c:symbol val="none"/>
          </c:marker>
          <c:cat>
            <c:strRef>
              <c:f>'Gold_Answer_A'!$J$10:$J$13</c:f>
              <c:strCache>
                <c:ptCount val="0"/>
              </c:strCache>
            </c:strRef>
          </c:cat>
          <c:val>
            <c:numRef>
              <c:f>'Gold_Answer_A'!$L$10:$L$13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c9bf74a787455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d0d801696664d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" hidden="0" customWidth="1"/>
    <x:col min="8" max="8" width="28" hidden="0" customWidth="1"/>
    <x:col min="9" max="9" width="24" hidden="0" customWidth="1"/>
    <x:col min="10" max="10" width="26" hidden="0" customWidth="1"/>
    <x:col min="11" max="11" width="22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9" customHeight="1">
      <x:c r="A1" s="6" t="str">
        <x:v>N05｜High-Silica Geothermal BWRO: Minimum Pressure plus Silica-Specific Removal</x:v>
      </x:c>
      <x:c r="B1" s="6" t="str">
        <x:v>N05｜High-Silica Geothermal BWRO: Minimum Pressure plus Silica-Specific Removal</x:v>
      </x:c>
      <x:c r="C1" s="6" t="str">
        <x:v>N05｜High-Silica Geothermal BWRO: Minimum Pressure plus Silica-Specific Removal</x:v>
      </x:c>
      <x:c r="D1" s="6" t="str">
        <x:v>N05｜High-Silica Geothermal BWRO: Minimum Pressure plus Silica-Specific Removal</x:v>
      </x:c>
      <x:c r="E1" s="6" t="str">
        <x:v>N05｜High-Silica Geothermal BWRO: Minimum Pressure plus Silica-Specific Removal</x:v>
      </x:c>
      <x:c r="F1" s="6" t="str">
        <x:v>N05｜High-Silica Geothermal BWRO: Minimum Pressure plus Silica-Specific Removal</x:v>
      </x:c>
      <x:c r="G1" s="6" t="str">
        <x:v>N05｜High-Silica Geothermal BWRO: Minimum Pressure plus Silica-Specific Removal</x:v>
      </x:c>
      <x:c r="H1" s="6" t="str">
        <x:v>N05｜High-Silica Geothermal BWRO: Minimum Pressure plus Silica-Specific Removal</x:v>
      </x:c>
      <x:c r="I1" s="6" t="str">
        <x:v>N05｜High-Silica Geothermal BWRO: Minimum Pressure plus Silica-Specific Removal</x:v>
      </x:c>
      <x:c r="J1" s="6" t="str">
        <x:v>N05｜High-Silica Geothermal BWRO: Minimum Pressure plus Silica-Specific Removal</x:v>
      </x:c>
      <x:c r="K1" s="6" t="str">
        <x:v>N05｜High-Silica Geothermal BWRO: Minimum Pressure plus Silica-Specific Removal</x:v>
      </x:c>
      <x:c r="L1" s="6" t="str">
        <x:v>N05｜High-Silica Geothermal BWRO: Minimum Pressure plus Silica-Specific Removal</x:v>
      </x:c>
      <x:c r="M1" s="6" t="str">
        <x:v>N05｜High-Silica Geothermal BWRO: Minimum Pressure plus Silica-Specific Removal</x:v>
      </x:c>
      <x:c r="N1" s="6" t="str">
        <x:v>N05｜High-Silica Geothermal BWRO: Minimum Pressure plus Silica-Specific Removal</x:v>
      </x:c>
    </x:row>
    <x:row r="2" ht="29" customHeight="1">
      <x:c r="A2" s="6" t="str">
        <x:v>N05｜High-Silica Geothermal BWRO: Minimum Pressure plus Silica-Specific Removal</x:v>
      </x:c>
      <x:c r="B2" s="6" t="str">
        <x:v>N05｜High-Silica Geothermal BWRO: Minimum Pressure plus Silica-Specific Removal</x:v>
      </x:c>
      <x:c r="C2" s="6" t="str">
        <x:v>N05｜High-Silica Geothermal BWRO: Minimum Pressure plus Silica-Specific Removal</x:v>
      </x:c>
      <x:c r="D2" s="6" t="str">
        <x:v>N05｜High-Silica Geothermal BWRO: Minimum Pressure plus Silica-Specific Removal</x:v>
      </x:c>
      <x:c r="E2" s="6" t="str">
        <x:v>N05｜High-Silica Geothermal BWRO: Minimum Pressure plus Silica-Specific Removal</x:v>
      </x:c>
      <x:c r="F2" s="6" t="str">
        <x:v>N05｜High-Silica Geothermal BWRO: Minimum Pressure plus Silica-Specific Removal</x:v>
      </x:c>
      <x:c r="G2" s="6" t="str">
        <x:v>N05｜High-Silica Geothermal BWRO: Minimum Pressure plus Silica-Specific Removal</x:v>
      </x:c>
      <x:c r="H2" s="6" t="str">
        <x:v>N05｜High-Silica Geothermal BWRO: Minimum Pressure plus Silica-Specific Removal</x:v>
      </x:c>
      <x:c r="I2" s="6" t="str">
        <x:v>N05｜High-Silica Geothermal BWRO: Minimum Pressure plus Silica-Specific Removal</x:v>
      </x:c>
      <x:c r="J2" s="6" t="str">
        <x:v>N05｜High-Silica Geothermal BWRO: Minimum Pressure plus Silica-Specific Removal</x:v>
      </x:c>
      <x:c r="K2" s="6" t="str">
        <x:v>N05｜High-Silica Geothermal BWRO: Minimum Pressure plus Silica-Specific Removal</x:v>
      </x:c>
      <x:c r="L2" s="6" t="str">
        <x:v>N05｜High-Silica Geothermal BWRO: Minimum Pressure plus Silica-Specific Removal</x:v>
      </x:c>
      <x:c r="M2" s="6" t="str">
        <x:v>N05｜High-Silica Geothermal BWRO: Minimum Pressure plus Silica-Specific Removal</x:v>
      </x:c>
      <x:c r="N2" s="6" t="str">
        <x:v>N05｜High-Silica Geothermal BWRO: Minimum Pressure plus Silica-Specific Removal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32" customHeight="1">
      <x:c r="A4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B4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C4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D4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E4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F4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G4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H4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I4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J4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K4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L4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M4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N4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</x:row>
    <x:row r="5" ht="32" customHeight="1">
      <x:c r="A5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B5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C5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D5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E5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F5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G5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H5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I5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J5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K5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L5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M5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N5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</x:row>
    <x:row r="6" ht="32" customHeight="1">
      <x:c r="A6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B6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C6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D6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E6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F6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G6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H6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I6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J6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K6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L6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M6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  <x:c r="N6" s="9" t="str">
        <x:v>A 30°C geothermal BWRO feed must deliver at least 0.300 kg/s permeate water with NaCl no more than 150 ppm, using the lowest pressure among 20/24/28/32 bar. Calcium, sulfate and alkalinity are low, but dissolved silica is high. At the selected actual recovery, evaluate 0/50%/75%/90% silica removal and require SiO2(a) SI ≤−0.10.</x:v>
      </x:c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1" t="str">
        <x:v>RO / whole-plant model inputs</x:v>
      </x:c>
      <x:c r="B8" s="11" t="str">
        <x:v>RO / whole-plant model inputs</x:v>
      </x:c>
      <x:c r="C8" s="11" t="str">
        <x:v>RO / whole-plant model inputs</x:v>
      </x:c>
      <x:c r="D8" s="11" t="str">
        <x:v>RO / whole-plant model inputs</x:v>
      </x:c>
      <x:c r="E8" s="11" t="str">
        <x:v>RO / whole-plant model inputs</x:v>
      </x:c>
      <x:c r="F8" s="11" t="str">
        <x:v>RO / whole-plant model inputs</x:v>
      </x:c>
      <x:c r="G8" s="2"/>
      <x:c r="H8" s="11" t="str">
        <x:v>Candidate designs and hard constraints</x:v>
      </x:c>
      <x:c r="I8" s="11" t="str">
        <x:v>Candidate designs and hard constraints</x:v>
      </x:c>
      <x:c r="J8" s="11" t="str">
        <x:v>Candidate designs and hard constraints</x:v>
      </x:c>
      <x:c r="K8" s="11" t="str">
        <x:v>Candidate designs and hard constraints</x:v>
      </x:c>
      <x:c r="L8" s="11" t="str">
        <x:v>Candidate designs and hard constraints</x:v>
      </x:c>
      <x:c r="M8" s="11" t="str">
        <x:v>Candidate designs and hard constraints</x:v>
      </x:c>
      <x:c r="N8" s="11" t="str">
        <x:v>Candidate designs and hard constraints</x:v>
      </x:c>
    </x:row>
    <x:row r="9" ht="31" customHeight="1">
      <x:c r="A9" s="16" t="str">
        <x:v>Parameter</x:v>
      </x:c>
      <x:c r="B9" s="16" t="str">
        <x:v>Value</x:v>
      </x:c>
      <x:c r="C9" s="16" t="str">
        <x:v>Unit</x:v>
      </x:c>
      <x:c r="D9" s="2"/>
      <x:c r="E9" s="2"/>
      <x:c r="F9" s="2"/>
      <x:c r="G9" s="2"/>
      <x:c r="H9" s="18" t="str">
        <x:v>1. Pressure: 20/24/28/32 bar</x:v>
      </x:c>
      <x:c r="I9" s="18" t="str">
        <x:v>1. Pressure: 20/24/28/32 bar</x:v>
      </x:c>
      <x:c r="J9" s="18" t="str">
        <x:v>1. Pressure: 20/24/28/32 bar</x:v>
      </x:c>
      <x:c r="K9" s="18" t="str">
        <x:v>1. Pressure: 20/24/28/32 bar</x:v>
      </x:c>
      <x:c r="L9" s="18" t="str">
        <x:v>1. Pressure: 20/24/28/32 bar</x:v>
      </x:c>
      <x:c r="M9" s="18" t="str">
        <x:v>1. Pressure: 20/24/28/32 bar</x:v>
      </x:c>
      <x:c r="N9" s="18" t="str">
        <x:v>1. Pressure: 20/24/28/32 bar</x:v>
      </x:c>
    </x:row>
    <x:row r="10" ht="31" customHeight="1">
      <x:c r="A10" s="18" t="str">
        <x:v>Feed flow</x:v>
      </x:c>
      <x:c r="B10" s="19" t="n">
        <x:v>1</x:v>
      </x:c>
      <x:c r="C10" s="18" t="str">
        <x:v>kg/s</x:v>
      </x:c>
      <x:c r="D10" s="2"/>
      <x:c r="E10" s="2"/>
      <x:c r="F10" s="2"/>
      <x:c r="G10" s="2"/>
      <x:c r="H10" s="18" t="str">
        <x:v>2. Permeate water ≥0.300 kg/s; NaCl ≤150 ppm</x:v>
      </x:c>
      <x:c r="I10" s="18" t="str">
        <x:v>2. Permeate water ≥0.300 kg/s; NaCl ≤150 ppm</x:v>
      </x:c>
      <x:c r="J10" s="18" t="str">
        <x:v>2. Permeate water ≥0.300 kg/s; NaCl ≤150 ppm</x:v>
      </x:c>
      <x:c r="K10" s="18" t="str">
        <x:v>2. Permeate water ≥0.300 kg/s; NaCl ≤150 ppm</x:v>
      </x:c>
      <x:c r="L10" s="18" t="str">
        <x:v>2. Permeate water ≥0.300 kg/s; NaCl ≤150 ppm</x:v>
      </x:c>
      <x:c r="M10" s="18" t="str">
        <x:v>2. Permeate water ≥0.300 kg/s; NaCl ≤150 ppm</x:v>
      </x:c>
      <x:c r="N10" s="18" t="str">
        <x:v>2. Permeate water ≥0.300 kg/s; NaCl ≤150 ppm</x:v>
      </x:c>
    </x:row>
    <x:row r="11" ht="31" customHeight="1">
      <x:c r="A11" s="18" t="str">
        <x:v>NaCl mass fraction</x:v>
      </x:c>
      <x:c r="B11" s="20" t="n">
        <x:v>0.012</x:v>
      </x:c>
      <x:c r="C11" s="18" t="str">
        <x:v>kg/kg</x:v>
      </x:c>
      <x:c r="D11" s="2"/>
      <x:c r="E11" s="2"/>
      <x:c r="F11" s="2"/>
      <x:c r="G11" s="2"/>
      <x:c r="H11" s="18" t="str">
        <x:v>3. Silica removal: 0/50%/75%/90%</x:v>
      </x:c>
      <x:c r="I11" s="18" t="str">
        <x:v>3. Silica removal: 0/50%/75%/90%</x:v>
      </x:c>
      <x:c r="J11" s="18" t="str">
        <x:v>3. Silica removal: 0/50%/75%/90%</x:v>
      </x:c>
      <x:c r="K11" s="18" t="str">
        <x:v>3. Silica removal: 0/50%/75%/90%</x:v>
      </x:c>
      <x:c r="L11" s="18" t="str">
        <x:v>3. Silica removal: 0/50%/75%/90%</x:v>
      </x:c>
      <x:c r="M11" s="18" t="str">
        <x:v>3. Silica removal: 0/50%/75%/90%</x:v>
      </x:c>
      <x:c r="N11" s="18" t="str">
        <x:v>3. Silica removal: 0/50%/75%/90%</x:v>
      </x:c>
    </x:row>
    <x:row r="12" ht="31" customHeight="1">
      <x:c r="A12" s="18" t="str">
        <x:v>Temperature</x:v>
      </x:c>
      <x:c r="B12" s="19" t="n">
        <x:v>30</x:v>
      </x:c>
      <x:c r="C12" s="18" t="str">
        <x:v>°C</x:v>
      </x:c>
      <x:c r="D12" s="2"/>
      <x:c r="E12" s="2"/>
      <x:c r="F12" s="2"/>
      <x:c r="G12" s="2"/>
      <x:c r="H12" s="18" t="str">
        <x:v>4. SiO2(a) SI ≤−0.10; other SIs &lt;0</x:v>
      </x:c>
      <x:c r="I12" s="18" t="str">
        <x:v>4. SiO2(a) SI ≤−0.10; other SIs &lt;0</x:v>
      </x:c>
      <x:c r="J12" s="18" t="str">
        <x:v>4. SiO2(a) SI ≤−0.10; other SIs &lt;0</x:v>
      </x:c>
      <x:c r="K12" s="18" t="str">
        <x:v>4. SiO2(a) SI ≤−0.10; other SIs &lt;0</x:v>
      </x:c>
      <x:c r="L12" s="18" t="str">
        <x:v>4. SiO2(a) SI ≤−0.10; other SIs &lt;0</x:v>
      </x:c>
      <x:c r="M12" s="18" t="str">
        <x:v>4. SiO2(a) SI ≤−0.10; other SIs &lt;0</x:v>
      </x:c>
      <x:c r="N12" s="18" t="str">
        <x:v>4. SiO2(a) SI ≤−0.10; other SIs &lt;0</x:v>
      </x:c>
    </x:row>
    <x:row r="13" ht="31" customHeight="1">
      <x:c r="A13" s="18" t="str">
        <x:v>Membrane area</x:v>
      </x:c>
      <x:c r="B13" s="19" t="n">
        <x:v>60</x:v>
      </x:c>
      <x:c r="C13" s="18" t="str">
        <x:v>m²</x:v>
      </x:c>
      <x:c r="D13" s="2"/>
      <x:c r="E13" s="2"/>
      <x:c r="F13" s="2"/>
      <x:c r="G13" s="2"/>
      <x:c r="H13" s="18" t="str">
        <x:v>5. Pretreatment: Mg-assisted coagulation/precipitation plus solids separation</x:v>
      </x:c>
      <x:c r="I13" s="18" t="str">
        <x:v>5. Pretreatment: Mg-assisted coagulation/precipitation plus solids separation</x:v>
      </x:c>
      <x:c r="J13" s="18" t="str">
        <x:v>5. Pretreatment: Mg-assisted coagulation/precipitation plus solids separation</x:v>
      </x:c>
      <x:c r="K13" s="18" t="str">
        <x:v>5. Pretreatment: Mg-assisted coagulation/precipitation plus solids separation</x:v>
      </x:c>
      <x:c r="L13" s="18" t="str">
        <x:v>5. Pretreatment: Mg-assisted coagulation/precipitation plus solids separation</x:v>
      </x:c>
      <x:c r="M13" s="18" t="str">
        <x:v>5. Pretreatment: Mg-assisted coagulation/precipitation plus solids separation</x:v>
      </x:c>
      <x:c r="N13" s="18" t="str">
        <x:v>5. Pretreatment: Mg-assisted coagulation/precipitation plus solids separation</x:v>
      </x:c>
    </x:row>
    <x:row r="14" ht="31" customHeight="1">
      <x:c r="A14" s="18" t="str">
        <x:v>Membrane A</x:v>
      </x:c>
      <x:c r="B14" s="21" t="n">
        <x:v>4.2e-12</x:v>
      </x:c>
      <x:c r="C14" s="18" t="str">
        <x:v>m/(Pa·s)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31" customHeight="1">
      <x:c r="A15" s="18" t="str">
        <x:v>Membrane B</x:v>
      </x:c>
      <x:c r="B15" s="21" t="n">
        <x:v>3.5e-8</x:v>
      </x:c>
      <x:c r="C15" s="18" t="str">
        <x:v>m/s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31" customHeight="1">
      <x:c r="A16" s="18" t="str">
        <x:v>Pressure drop</x:v>
      </x:c>
      <x:c r="B16" s="19" t="n">
        <x:v>2</x:v>
      </x:c>
      <x:c r="C16" s="18" t="str">
        <x:v>bar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3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3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3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31" customHeight="1">
      <x:c r="A20" s="11" t="str">
        <x:v>Ionic composition for equilibrate_feed</x:v>
      </x:c>
      <x:c r="B20" s="11" t="str">
        <x:v>Ionic composition for equilibrate_feed</x:v>
      </x:c>
      <x:c r="C20" s="11" t="str">
        <x:v>Ionic composition for equilibrate_feed</x:v>
      </x:c>
      <x:c r="D20" s="11" t="str">
        <x:v>Ionic composition for equilibrate_feed</x:v>
      </x:c>
      <x:c r="E20" s="11" t="str">
        <x:v>Ionic composition for equilibrate_feed</x:v>
      </x:c>
      <x:c r="F20" s="11" t="str">
        <x:v>Ionic composition for equilibrate_feed</x:v>
      </x:c>
      <x:c r="G20" s="2"/>
      <x:c r="H20" s="11" t="str">
        <x:v>Required tasks and scope</x:v>
      </x:c>
      <x:c r="I20" s="11" t="str">
        <x:v>Required tasks and scope</x:v>
      </x:c>
      <x:c r="J20" s="11" t="str">
        <x:v>Required tasks and scope</x:v>
      </x:c>
      <x:c r="K20" s="11" t="str">
        <x:v>Required tasks and scope</x:v>
      </x:c>
      <x:c r="L20" s="11" t="str">
        <x:v>Required tasks and scope</x:v>
      </x:c>
      <x:c r="M20" s="11" t="str">
        <x:v>Required tasks and scope</x:v>
      </x:c>
      <x:c r="N20" s="11" t="str">
        <x:v>Required tasks and scope</x:v>
      </x:c>
    </x:row>
    <x:row r="21" ht="31" customHeight="1">
      <x:c r="A21" s="16" t="str">
        <x:v>Species</x:v>
      </x:c>
      <x:c r="B21" s="16" t="str">
        <x:v>Flow mol/s</x:v>
      </x:c>
      <x:c r="C21" s="16" t="str">
        <x:v>Note</x:v>
      </x:c>
      <x:c r="D21" s="2"/>
      <x:c r="E21" s="2"/>
      <x:c r="F21" s="2"/>
      <x:c r="G21" s="2"/>
      <x:c r="H21" s="18" t="str">
        <x:v>1. Use simulate_ro for all candidates with non-target inputs fixed.</x:v>
      </x:c>
      <x:c r="I21" s="18" t="str">
        <x:v>1. Use simulate_ro for all candidates with non-target inputs fixed.</x:v>
      </x:c>
      <x:c r="J21" s="18" t="str">
        <x:v>1. Use simulate_ro for all candidates with non-target inputs fixed.</x:v>
      </x:c>
      <x:c r="K21" s="18" t="str">
        <x:v>1. Use simulate_ro for all candidates with non-target inputs fixed.</x:v>
      </x:c>
      <x:c r="L21" s="18" t="str">
        <x:v>1. Use simulate_ro for all candidates with non-target inputs fixed.</x:v>
      </x:c>
      <x:c r="M21" s="18" t="str">
        <x:v>1. Use simulate_ro for all candidates with non-target inputs fixed.</x:v>
      </x:c>
      <x:c r="N21" s="18" t="str">
        <x:v>1. Use simulate_ro for all candidates with non-target inputs fixed.</x:v>
      </x:c>
    </x:row>
    <x:row r="22" ht="31" customHeight="1">
      <x:c r="A22" s="18" t="str">
        <x:v>H2O</x:v>
      </x:c>
      <x:c r="B22" s="22" t="n">
        <x:v>55.5</x:v>
      </x:c>
      <x:c r="C22" s="18" t="str">
        <x:v>Model input</x:v>
      </x:c>
      <x:c r="D22" s="2"/>
      <x:c r="E22" s="2"/>
      <x:c r="F22" s="2"/>
      <x:c r="G22" s="2"/>
      <x:c r="H22" s="18" t="str">
        <x:v>2. Apply production and quality/energy constraints jointly, not one metric alone.</x:v>
      </x:c>
      <x:c r="I22" s="18" t="str">
        <x:v>2. Apply production and quality/energy constraints jointly, not one metric alone.</x:v>
      </x:c>
      <x:c r="J22" s="18" t="str">
        <x:v>2. Apply production and quality/energy constraints jointly, not one metric alone.</x:v>
      </x:c>
      <x:c r="K22" s="18" t="str">
        <x:v>2. Apply production and quality/energy constraints jointly, not one metric alone.</x:v>
      </x:c>
      <x:c r="L22" s="18" t="str">
        <x:v>2. Apply production and quality/energy constraints jointly, not one metric alone.</x:v>
      </x:c>
      <x:c r="M22" s="18" t="str">
        <x:v>2. Apply production and quality/energy constraints jointly, not one metric alone.</x:v>
      </x:c>
      <x:c r="N22" s="18" t="str">
        <x:v>2. Apply production and quality/energy constraints jointly, not one metric alone.</x:v>
      </x:c>
    </x:row>
    <x:row r="23" ht="31" customHeight="1">
      <x:c r="A23" s="18" t="str">
        <x:v>Na</x:v>
      </x:c>
      <x:c r="B23" s="22" t="n">
        <x:v>0.15</x:v>
      </x:c>
      <x:c r="C23" s="18" t="str">
        <x:v>Model input</x:v>
      </x:c>
      <x:c r="D23" s="2"/>
      <x:c r="E23" s="2"/>
      <x:c r="F23" s="2"/>
      <x:c r="G23" s="2"/>
      <x:c r="H23" s="18" t="str">
        <x:v>3. Pass actual candidate recovery into equilibrate_feed; do not substitute nominal recovery.</x:v>
      </x:c>
      <x:c r="I23" s="18" t="str">
        <x:v>3. Pass actual candidate recovery into equilibrate_feed; do not substitute nominal recovery.</x:v>
      </x:c>
      <x:c r="J23" s="18" t="str">
        <x:v>3. Pass actual candidate recovery into equilibrate_feed; do not substitute nominal recovery.</x:v>
      </x:c>
      <x:c r="K23" s="18" t="str">
        <x:v>3. Pass actual candidate recovery into equilibrate_feed; do not substitute nominal recovery.</x:v>
      </x:c>
      <x:c r="L23" s="18" t="str">
        <x:v>3. Pass actual candidate recovery into equilibrate_feed; do not substitute nominal recovery.</x:v>
      </x:c>
      <x:c r="M23" s="18" t="str">
        <x:v>3. Pass actual candidate recovery into equilibrate_feed; do not substitute nominal recovery.</x:v>
      </x:c>
      <x:c r="N23" s="18" t="str">
        <x:v>3. Pass actual candidate recovery into equilibrate_feed; do not substitute nominal recovery.</x:v>
      </x:c>
    </x:row>
    <x:row r="24" ht="31" customHeight="1">
      <x:c r="A24" s="18" t="str">
        <x:v>Cl</x:v>
      </x:c>
      <x:c r="B24" s="22" t="n">
        <x:v>0.149</x:v>
      </x:c>
      <x:c r="C24" s="18" t="str">
        <x:v>Model input</x:v>
      </x:c>
      <x:c r="D24" s="2"/>
      <x:c r="E24" s="2"/>
      <x:c r="F24" s="2"/>
      <x:c r="G24" s="2"/>
      <x:c r="H24" s="18" t="str">
        <x:v>4. Prove the boundary with adjacent fail/pass cases and state the stopping rule.</x:v>
      </x:c>
      <x:c r="I24" s="18" t="str">
        <x:v>4. Prove the boundary with adjacent fail/pass cases and state the stopping rule.</x:v>
      </x:c>
      <x:c r="J24" s="18" t="str">
        <x:v>4. Prove the boundary with adjacent fail/pass cases and state the stopping rule.</x:v>
      </x:c>
      <x:c r="K24" s="18" t="str">
        <x:v>4. Prove the boundary with adjacent fail/pass cases and state the stopping rule.</x:v>
      </x:c>
      <x:c r="L24" s="18" t="str">
        <x:v>4. Prove the boundary with adjacent fail/pass cases and state the stopping rule.</x:v>
      </x:c>
      <x:c r="M24" s="18" t="str">
        <x:v>4. Prove the boundary with adjacent fail/pass cases and state the stopping rule.</x:v>
      </x:c>
      <x:c r="N24" s="18" t="str">
        <x:v>4. Prove the boundary with adjacent fail/pass cases and state the stopping rule.</x:v>
      </x:c>
    </x:row>
    <x:row r="25" ht="31" customHeight="1">
      <x:c r="A25" s="18" t="str">
        <x:v>Mg</x:v>
      </x:c>
      <x:c r="B25" s="22" t="n">
        <x:v>0.005</x:v>
      </x:c>
      <x:c r="C25" s="18" t="str">
        <x:v>Model input</x:v>
      </x:c>
      <x:c r="D25" s="2"/>
      <x:c r="E25" s="2"/>
      <x:c r="F25" s="2"/>
      <x:c r="G25" s="2"/>
      <x:c r="H25" s="18" t="str">
        <x:v>5. Record key simulations, final conclusion, and omitted kinetics/fouling/control uncertainty.</x:v>
      </x:c>
      <x:c r="I25" s="18" t="str">
        <x:v>5. Record key simulations, final conclusion, and omitted kinetics/fouling/control uncertainty.</x:v>
      </x:c>
      <x:c r="J25" s="18" t="str">
        <x:v>5. Record key simulations, final conclusion, and omitted kinetics/fouling/control uncertainty.</x:v>
      </x:c>
      <x:c r="K25" s="18" t="str">
        <x:v>5. Record key simulations, final conclusion, and omitted kinetics/fouling/control uncertainty.</x:v>
      </x:c>
      <x:c r="L25" s="18" t="str">
        <x:v>5. Record key simulations, final conclusion, and omitted kinetics/fouling/control uncertainty.</x:v>
      </x:c>
      <x:c r="M25" s="18" t="str">
        <x:v>5. Record key simulations, final conclusion, and omitted kinetics/fouling/control uncertainty.</x:v>
      </x:c>
      <x:c r="N25" s="18" t="str">
        <x:v>5. Record key simulations, final conclusion, and omitted kinetics/fouling/control uncertainty.</x:v>
      </x:c>
    </x:row>
    <x:row r="26" ht="31" customHeight="1">
      <x:c r="A26" s="18" t="str">
        <x:v>SO4</x:v>
      </x:c>
      <x:c r="B26" s="22" t="n">
        <x:v>0.01</x:v>
      </x:c>
      <x:c r="C26" s="18" t="str">
        <x:v>Model input</x:v>
      </x:c>
      <x:c r="D26" s="2"/>
      <x:c r="E26" s="2"/>
      <x:c r="F26" s="2"/>
      <x:c r="G26" s="2"/>
      <x:c r="H26" s="18" t="str">
        <x:v>SiO2(a) is the sole control phase; acid is not accepted as silica removal.</x:v>
      </x:c>
      <x:c r="I26" s="18" t="str">
        <x:v>SiO2(a) is the sole control phase; acid is not accepted as silica removal.</x:v>
      </x:c>
      <x:c r="J26" s="18" t="str">
        <x:v>SiO2(a) is the sole control phase; acid is not accepted as silica removal.</x:v>
      </x:c>
      <x:c r="K26" s="18" t="str">
        <x:v>SiO2(a) is the sole control phase; acid is not accepted as silica removal.</x:v>
      </x:c>
      <x:c r="L26" s="18" t="str">
        <x:v>SiO2(a) is the sole control phase; acid is not accepted as silica removal.</x:v>
      </x:c>
      <x:c r="M26" s="18" t="str">
        <x:v>SiO2(a) is the sole control phase; acid is not accepted as silica removal.</x:v>
      </x:c>
      <x:c r="N26" s="18" t="str">
        <x:v>SiO2(a) is the sole control phase; acid is not accepted as silica removal.</x:v>
      </x:c>
    </x:row>
    <x:row r="27" ht="31" customHeight="1">
      <x:c r="A27" s="18" t="str">
        <x:v>Ca</x:v>
      </x:c>
      <x:c r="B27" s="22" t="n">
        <x:v>0.005</x:v>
      </x:c>
      <x:c r="C27" s="18" t="str">
        <x:v>Model input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31" customHeight="1">
      <x:c r="A28" s="18" t="str">
        <x:v>HCO3</x:v>
      </x:c>
      <x:c r="B28" s="22" t="n">
        <x:v>0.001</x:v>
      </x:c>
      <x:c r="C28" s="18" t="str">
        <x:v>Model input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31" customHeight="1">
      <x:c r="A29" s="18" t="str">
        <x:v>SiO2</x:v>
      </x:c>
      <x:c r="B29" s="22" t="n">
        <x:v>0.006</x:v>
      </x:c>
      <x:c r="C29" s="18" t="str">
        <x:v>Model input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3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A1:N2"/>
    <x:mergeCell ref="A4:N6"/>
    <x:mergeCell ref="A8:F8"/>
    <x:mergeCell ref="H8:N8"/>
    <x:mergeCell ref="H9:N9"/>
    <x:mergeCell ref="H10:N10"/>
    <x:mergeCell ref="H11:N11"/>
    <x:mergeCell ref="H12:N12"/>
    <x:mergeCell ref="H13:N13"/>
    <x:mergeCell ref="A20:F20"/>
    <x:mergeCell ref="H20:N20"/>
    <x:mergeCell ref="H21:N21"/>
    <x:mergeCell ref="H22:N22"/>
    <x:mergeCell ref="H23:N23"/>
    <x:mergeCell ref="H24:N24"/>
    <x:mergeCell ref="H25:N25"/>
    <x:mergeCell ref="H26:N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29" hidden="0" customWidth="1"/>
    <x:col min="9" max="9" width="30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9" customHeight="1">
      <x:c r="A1" s="6" t="str">
        <x:v>N05｜Gold Answer</x:v>
      </x:c>
      <x:c r="B1" s="6" t="str">
        <x:v>N05｜Gold Answer</x:v>
      </x:c>
      <x:c r="C1" s="6" t="str">
        <x:v>N05｜Gold Answer</x:v>
      </x:c>
      <x:c r="D1" s="6" t="str">
        <x:v>N05｜Gold Answer</x:v>
      </x:c>
      <x:c r="E1" s="6" t="str">
        <x:v>N05｜Gold Answer</x:v>
      </x:c>
      <x:c r="F1" s="6" t="str">
        <x:v>N05｜Gold Answer</x:v>
      </x:c>
      <x:c r="G1" s="6" t="str">
        <x:v>N05｜Gold Answer</x:v>
      </x:c>
      <x:c r="H1" s="6" t="str">
        <x:v>N05｜Gold Answer</x:v>
      </x:c>
      <x:c r="I1" s="6" t="str">
        <x:v>N05｜Gold Answer</x:v>
      </x:c>
      <x:c r="J1" s="6" t="str">
        <x:v>N05｜Gold Answer</x:v>
      </x:c>
      <x:c r="K1" s="6" t="str">
        <x:v>N05｜Gold Answer</x:v>
      </x:c>
      <x:c r="L1" s="6" t="str">
        <x:v>N05｜Gold Answer</x:v>
      </x:c>
      <x:c r="M1" s="6" t="str">
        <x:v>N05｜Gold Answer</x:v>
      </x:c>
      <x:c r="N1" s="6" t="str">
        <x:v>N05｜Gold Answer</x:v>
      </x:c>
    </x:row>
    <x:row r="2" ht="29" customHeight="1">
      <x:c r="A2" s="6" t="str">
        <x:v>N05｜Gold Answer</x:v>
      </x:c>
      <x:c r="B2" s="6" t="str">
        <x:v>N05｜Gold Answer</x:v>
      </x:c>
      <x:c r="C2" s="6" t="str">
        <x:v>N05｜Gold Answer</x:v>
      </x:c>
      <x:c r="D2" s="6" t="str">
        <x:v>N05｜Gold Answer</x:v>
      </x:c>
      <x:c r="E2" s="6" t="str">
        <x:v>N05｜Gold Answer</x:v>
      </x:c>
      <x:c r="F2" s="6" t="str">
        <x:v>N05｜Gold Answer</x:v>
      </x:c>
      <x:c r="G2" s="6" t="str">
        <x:v>N05｜Gold Answer</x:v>
      </x:c>
      <x:c r="H2" s="6" t="str">
        <x:v>N05｜Gold Answer</x:v>
      </x:c>
      <x:c r="I2" s="6" t="str">
        <x:v>N05｜Gold Answer</x:v>
      </x:c>
      <x:c r="J2" s="6" t="str">
        <x:v>N05｜Gold Answer</x:v>
      </x:c>
      <x:c r="K2" s="6" t="str">
        <x:v>N05｜Gold Answer</x:v>
      </x:c>
      <x:c r="L2" s="6" t="str">
        <x:v>N05｜Gold Answer</x:v>
      </x:c>
      <x:c r="M2" s="6" t="str">
        <x:v>N05｜Gold Answer</x:v>
      </x:c>
      <x:c r="N2" s="6" t="str">
        <x:v>N05｜Gold Answer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5" t="str">
        <x:v>Recommend 28 bar plus 90% silica-specific removal, reducing SiO2 from 0.006 to 0.0006 mol/s. Permeate water is 0.31375 kg/s, NaCl 112.95 ppm, recovery 31.6619%, and SiO2(a) SI −0.41936.</x:v>
      </x:c>
      <x:c r="B4" s="25" t="str">
        <x:v>Recommend 28 bar plus 90% silica-specific removal, reducing SiO2 from 0.006 to 0.0006 mol/s. Permeate water is 0.31375 kg/s, NaCl 112.95 ppm, recovery 31.6619%, and SiO2(a) SI −0.41936.</x:v>
      </x:c>
      <x:c r="C4" s="25" t="str">
        <x:v>Recommend 28 bar plus 90% silica-specific removal, reducing SiO2 from 0.006 to 0.0006 mol/s. Permeate water is 0.31375 kg/s, NaCl 112.95 ppm, recovery 31.6619%, and SiO2(a) SI −0.41936.</x:v>
      </x:c>
      <x:c r="D4" s="25" t="str">
        <x:v>Recommend 28 bar plus 90% silica-specific removal, reducing SiO2 from 0.006 to 0.0006 mol/s. Permeate water is 0.31375 kg/s, NaCl 112.95 ppm, recovery 31.6619%, and SiO2(a) SI −0.41936.</x:v>
      </x:c>
      <x:c r="E4" s="25" t="str">
        <x:v>Recommend 28 bar plus 90% silica-specific removal, reducing SiO2 from 0.006 to 0.0006 mol/s. Permeate water is 0.31375 kg/s, NaCl 112.95 ppm, recovery 31.6619%, and SiO2(a) SI −0.41936.</x:v>
      </x:c>
      <x:c r="F4" s="25" t="str">
        <x:v>Recommend 28 bar plus 90% silica-specific removal, reducing SiO2 from 0.006 to 0.0006 mol/s. Permeate water is 0.31375 kg/s, NaCl 112.95 ppm, recovery 31.6619%, and SiO2(a) SI −0.41936.</x:v>
      </x:c>
      <x:c r="G4" s="25" t="str">
        <x:v>Recommend 28 bar plus 90% silica-specific removal, reducing SiO2 from 0.006 to 0.0006 mol/s. Permeate water is 0.31375 kg/s, NaCl 112.95 ppm, recovery 31.6619%, and SiO2(a) SI −0.41936.</x:v>
      </x:c>
      <x:c r="H4" s="25" t="str">
        <x:v>Recommend 28 bar plus 90% silica-specific removal, reducing SiO2 from 0.006 to 0.0006 mol/s. Permeate water is 0.31375 kg/s, NaCl 112.95 ppm, recovery 31.6619%, and SiO2(a) SI −0.41936.</x:v>
      </x:c>
      <x:c r="I4" s="25" t="str">
        <x:v>Recommend 28 bar plus 90% silica-specific removal, reducing SiO2 from 0.006 to 0.0006 mol/s. Permeate water is 0.31375 kg/s, NaCl 112.95 ppm, recovery 31.6619%, and SiO2(a) SI −0.41936.</x:v>
      </x:c>
      <x:c r="J4" s="25" t="str">
        <x:v>Recommend 28 bar plus 90% silica-specific removal, reducing SiO2 from 0.006 to 0.0006 mol/s. Permeate water is 0.31375 kg/s, NaCl 112.95 ppm, recovery 31.6619%, and SiO2(a) SI −0.41936.</x:v>
      </x:c>
      <x:c r="K4" s="25" t="str">
        <x:v>Recommend 28 bar plus 90% silica-specific removal, reducing SiO2 from 0.006 to 0.0006 mol/s. Permeate water is 0.31375 kg/s, NaCl 112.95 ppm, recovery 31.6619%, and SiO2(a) SI −0.41936.</x:v>
      </x:c>
      <x:c r="L4" s="25" t="str">
        <x:v>Recommend 28 bar plus 90% silica-specific removal, reducing SiO2 from 0.006 to 0.0006 mol/s. Permeate water is 0.31375 kg/s, NaCl 112.95 ppm, recovery 31.6619%, and SiO2(a) SI −0.41936.</x:v>
      </x:c>
      <x:c r="M4" s="25" t="str">
        <x:v>Recommend 28 bar plus 90% silica-specific removal, reducing SiO2 from 0.006 to 0.0006 mol/s. Permeate water is 0.31375 kg/s, NaCl 112.95 ppm, recovery 31.6619%, and SiO2(a) SI −0.41936.</x:v>
      </x:c>
      <x:c r="N4" s="25" t="str">
        <x:v>Recommend 28 bar plus 90% silica-specific removal, reducing SiO2 from 0.006 to 0.0006 mol/s. Permeate water is 0.31375 kg/s, NaCl 112.95 ppm, recovery 31.6619%, and SiO2(a) SI −0.41936.</x:v>
      </x:c>
    </x:row>
    <x:row r="5">
      <x:c r="A5" s="25" t="str">
        <x:v>Recommend 28 bar plus 90% silica-specific removal, reducing SiO2 from 0.006 to 0.0006 mol/s. Permeate water is 0.31375 kg/s, NaCl 112.95 ppm, recovery 31.6619%, and SiO2(a) SI −0.41936.</x:v>
      </x:c>
      <x:c r="B5" s="25" t="str">
        <x:v>Recommend 28 bar plus 90% silica-specific removal, reducing SiO2 from 0.006 to 0.0006 mol/s. Permeate water is 0.31375 kg/s, NaCl 112.95 ppm, recovery 31.6619%, and SiO2(a) SI −0.41936.</x:v>
      </x:c>
      <x:c r="C5" s="25" t="str">
        <x:v>Recommend 28 bar plus 90% silica-specific removal, reducing SiO2 from 0.006 to 0.0006 mol/s. Permeate water is 0.31375 kg/s, NaCl 112.95 ppm, recovery 31.6619%, and SiO2(a) SI −0.41936.</x:v>
      </x:c>
      <x:c r="D5" s="25" t="str">
        <x:v>Recommend 28 bar plus 90% silica-specific removal, reducing SiO2 from 0.006 to 0.0006 mol/s. Permeate water is 0.31375 kg/s, NaCl 112.95 ppm, recovery 31.6619%, and SiO2(a) SI −0.41936.</x:v>
      </x:c>
      <x:c r="E5" s="25" t="str">
        <x:v>Recommend 28 bar plus 90% silica-specific removal, reducing SiO2 from 0.006 to 0.0006 mol/s. Permeate water is 0.31375 kg/s, NaCl 112.95 ppm, recovery 31.6619%, and SiO2(a) SI −0.41936.</x:v>
      </x:c>
      <x:c r="F5" s="25" t="str">
        <x:v>Recommend 28 bar plus 90% silica-specific removal, reducing SiO2 from 0.006 to 0.0006 mol/s. Permeate water is 0.31375 kg/s, NaCl 112.95 ppm, recovery 31.6619%, and SiO2(a) SI −0.41936.</x:v>
      </x:c>
      <x:c r="G5" s="25" t="str">
        <x:v>Recommend 28 bar plus 90% silica-specific removal, reducing SiO2 from 0.006 to 0.0006 mol/s. Permeate water is 0.31375 kg/s, NaCl 112.95 ppm, recovery 31.6619%, and SiO2(a) SI −0.41936.</x:v>
      </x:c>
      <x:c r="H5" s="25" t="str">
        <x:v>Recommend 28 bar plus 90% silica-specific removal, reducing SiO2 from 0.006 to 0.0006 mol/s. Permeate water is 0.31375 kg/s, NaCl 112.95 ppm, recovery 31.6619%, and SiO2(a) SI −0.41936.</x:v>
      </x:c>
      <x:c r="I5" s="25" t="str">
        <x:v>Recommend 28 bar plus 90% silica-specific removal, reducing SiO2 from 0.006 to 0.0006 mol/s. Permeate water is 0.31375 kg/s, NaCl 112.95 ppm, recovery 31.6619%, and SiO2(a) SI −0.41936.</x:v>
      </x:c>
      <x:c r="J5" s="25" t="str">
        <x:v>Recommend 28 bar plus 90% silica-specific removal, reducing SiO2 from 0.006 to 0.0006 mol/s. Permeate water is 0.31375 kg/s, NaCl 112.95 ppm, recovery 31.6619%, and SiO2(a) SI −0.41936.</x:v>
      </x:c>
      <x:c r="K5" s="25" t="str">
        <x:v>Recommend 28 bar plus 90% silica-specific removal, reducing SiO2 from 0.006 to 0.0006 mol/s. Permeate water is 0.31375 kg/s, NaCl 112.95 ppm, recovery 31.6619%, and SiO2(a) SI −0.41936.</x:v>
      </x:c>
      <x:c r="L5" s="25" t="str">
        <x:v>Recommend 28 bar plus 90% silica-specific removal, reducing SiO2 from 0.006 to 0.0006 mol/s. Permeate water is 0.31375 kg/s, NaCl 112.95 ppm, recovery 31.6619%, and SiO2(a) SI −0.41936.</x:v>
      </x:c>
      <x:c r="M5" s="25" t="str">
        <x:v>Recommend 28 bar plus 90% silica-specific removal, reducing SiO2 from 0.006 to 0.0006 mol/s. Permeate water is 0.31375 kg/s, NaCl 112.95 ppm, recovery 31.6619%, and SiO2(a) SI −0.41936.</x:v>
      </x:c>
      <x:c r="N5" s="25" t="str">
        <x:v>Recommend 28 bar plus 90% silica-specific removal, reducing SiO2 from 0.006 to 0.0006 mol/s. Permeate water is 0.31375 kg/s, NaCl 112.95 ppm, recovery 31.6619%, and SiO2(a) SI −0.41936.</x:v>
      </x:c>
    </x:row>
    <x:row r="6">
      <x:c r="A6" s="25" t="str">
        <x:v>Recommend 28 bar plus 90% silica-specific removal, reducing SiO2 from 0.006 to 0.0006 mol/s. Permeate water is 0.31375 kg/s, NaCl 112.95 ppm, recovery 31.6619%, and SiO2(a) SI −0.41936.</x:v>
      </x:c>
      <x:c r="B6" s="25" t="str">
        <x:v>Recommend 28 bar plus 90% silica-specific removal, reducing SiO2 from 0.006 to 0.0006 mol/s. Permeate water is 0.31375 kg/s, NaCl 112.95 ppm, recovery 31.6619%, and SiO2(a) SI −0.41936.</x:v>
      </x:c>
      <x:c r="C6" s="25" t="str">
        <x:v>Recommend 28 bar plus 90% silica-specific removal, reducing SiO2 from 0.006 to 0.0006 mol/s. Permeate water is 0.31375 kg/s, NaCl 112.95 ppm, recovery 31.6619%, and SiO2(a) SI −0.41936.</x:v>
      </x:c>
      <x:c r="D6" s="25" t="str">
        <x:v>Recommend 28 bar plus 90% silica-specific removal, reducing SiO2 from 0.006 to 0.0006 mol/s. Permeate water is 0.31375 kg/s, NaCl 112.95 ppm, recovery 31.6619%, and SiO2(a) SI −0.41936.</x:v>
      </x:c>
      <x:c r="E6" s="25" t="str">
        <x:v>Recommend 28 bar plus 90% silica-specific removal, reducing SiO2 from 0.006 to 0.0006 mol/s. Permeate water is 0.31375 kg/s, NaCl 112.95 ppm, recovery 31.6619%, and SiO2(a) SI −0.41936.</x:v>
      </x:c>
      <x:c r="F6" s="25" t="str">
        <x:v>Recommend 28 bar plus 90% silica-specific removal, reducing SiO2 from 0.006 to 0.0006 mol/s. Permeate water is 0.31375 kg/s, NaCl 112.95 ppm, recovery 31.6619%, and SiO2(a) SI −0.41936.</x:v>
      </x:c>
      <x:c r="G6" s="25" t="str">
        <x:v>Recommend 28 bar plus 90% silica-specific removal, reducing SiO2 from 0.006 to 0.0006 mol/s. Permeate water is 0.31375 kg/s, NaCl 112.95 ppm, recovery 31.6619%, and SiO2(a) SI −0.41936.</x:v>
      </x:c>
      <x:c r="H6" s="25" t="str">
        <x:v>Recommend 28 bar plus 90% silica-specific removal, reducing SiO2 from 0.006 to 0.0006 mol/s. Permeate water is 0.31375 kg/s, NaCl 112.95 ppm, recovery 31.6619%, and SiO2(a) SI −0.41936.</x:v>
      </x:c>
      <x:c r="I6" s="25" t="str">
        <x:v>Recommend 28 bar plus 90% silica-specific removal, reducing SiO2 from 0.006 to 0.0006 mol/s. Permeate water is 0.31375 kg/s, NaCl 112.95 ppm, recovery 31.6619%, and SiO2(a) SI −0.41936.</x:v>
      </x:c>
      <x:c r="J6" s="25" t="str">
        <x:v>Recommend 28 bar plus 90% silica-specific removal, reducing SiO2 from 0.006 to 0.0006 mol/s. Permeate water is 0.31375 kg/s, NaCl 112.95 ppm, recovery 31.6619%, and SiO2(a) SI −0.41936.</x:v>
      </x:c>
      <x:c r="K6" s="25" t="str">
        <x:v>Recommend 28 bar plus 90% silica-specific removal, reducing SiO2 from 0.006 to 0.0006 mol/s. Permeate water is 0.31375 kg/s, NaCl 112.95 ppm, recovery 31.6619%, and SiO2(a) SI −0.41936.</x:v>
      </x:c>
      <x:c r="L6" s="25" t="str">
        <x:v>Recommend 28 bar plus 90% silica-specific removal, reducing SiO2 from 0.006 to 0.0006 mol/s. Permeate water is 0.31375 kg/s, NaCl 112.95 ppm, recovery 31.6619%, and SiO2(a) SI −0.41936.</x:v>
      </x:c>
      <x:c r="M6" s="25" t="str">
        <x:v>Recommend 28 bar plus 90% silica-specific removal, reducing SiO2 from 0.006 to 0.0006 mol/s. Permeate water is 0.31375 kg/s, NaCl 112.95 ppm, recovery 31.6619%, and SiO2(a) SI −0.41936.</x:v>
      </x:c>
      <x:c r="N6" s="25" t="str">
        <x:v>Recommend 28 bar plus 90% silica-specific removal, reducing SiO2 from 0.006 to 0.0006 mol/s. Permeate water is 0.31375 kg/s, NaCl 112.95 ppm, recovery 31.6619%, and SiO2(a) SI −0.41936.</x:v>
      </x:c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1" t="str">
        <x:v>Step 1｜simulate_ro</x:v>
      </x:c>
      <x:c r="B8" s="11" t="str">
        <x:v>Step 1｜simulate_ro</x:v>
      </x:c>
      <x:c r="C8" s="11" t="str">
        <x:v>Step 1｜simulate_ro</x:v>
      </x:c>
      <x:c r="D8" s="11" t="str">
        <x:v>Step 1｜simulate_ro</x:v>
      </x:c>
      <x:c r="E8" s="11" t="str">
        <x:v>Step 1｜simulate_ro</x:v>
      </x:c>
      <x:c r="F8" s="11" t="str">
        <x:v>Step 1｜simulate_ro</x:v>
      </x:c>
      <x:c r="G8" s="11" t="str">
        <x:v>Step 1｜simulate_ro</x:v>
      </x:c>
      <x:c r="H8" s="11" t="str">
        <x:v>Step 1｜simulate_ro</x:v>
      </x:c>
      <x:c r="I8" s="2"/>
      <x:c r="J8" s="2"/>
      <x:c r="K8" s="2"/>
      <x:c r="L8" s="2"/>
      <x:c r="M8" s="2"/>
      <x:c r="N8" s="2"/>
    </x:row>
    <x:row r="9">
      <x:c r="A9" s="16" t="str">
        <x:v>Case</x:v>
      </x:c>
      <x:c r="B9" s="16" t="str">
        <x:v>Pressure bar</x:v>
      </x:c>
      <x:c r="C9" s="16" t="str">
        <x:v>Permeate water kg/s</x:v>
      </x:c>
      <x:c r="D9" s="16" t="str">
        <x:v>NaCl ppm</x:v>
      </x:c>
      <x:c r="E9" s="16" t="str">
        <x:v>Recovery %</x:v>
      </x:c>
      <x:c r="F9" s="16" t="str">
        <x:v>Flux LMH</x:v>
      </x:c>
      <x:c r="G9" s="16" t="str">
        <x:v>Brine NaCl g/L</x:v>
      </x:c>
      <x:c r="H9" s="16" t="str">
        <x:v>Decision</x:v>
      </x:c>
      <x:c r="I9" s="2"/>
      <x:c r="J9" s="2" t="str">
        <x:v>Candidate</x:v>
      </x:c>
      <x:c r="K9" s="2" t="str">
        <x:v>Production</x:v>
      </x:c>
      <x:c r="L9" s="2" t="str">
        <x:v>Target</x:v>
      </x:c>
      <x:c r="M9" s="2"/>
      <x:c r="N9" s="2"/>
    </x:row>
    <x:row r="10" ht="38" customHeight="1">
      <x:c r="A10" s="18" t="str">
        <x:v>P20</x:v>
      </x:c>
      <x:c r="B10" s="18" t="n">
        <x:v>20</x:v>
      </x:c>
      <x:c r="C10" s="20" t="n">
        <x:v>0.1691305831</x:v>
      </x:c>
      <x:c r="D10" s="20" t="n">
        <x:v>174.8018743</x:v>
      </x:c>
      <x:c r="E10" s="20" t="n">
        <x:v>17.06798164</x:v>
      </x:c>
      <x:c r="F10" s="20" t="n">
        <x:v>10.14783498</x:v>
      </x:c>
      <x:c r="G10" s="20" t="n">
        <x:v>14.49251897</x:v>
      </x:c>
      <x:c r="H10" s="18" t="str">
        <x:v>Flow and salinity fail</x:v>
      </x:c>
      <x:c r="I10" s="2"/>
      <x:c r="J10" s="2" t="str">
        <x:f>A10</x:f>
        <x:v>P20</x:v>
      </x:c>
      <x:c r="K10" s="2" t="n">
        <x:f>C10</x:f>
        <x:v>0.1691305831</x:v>
      </x:c>
      <x:c r="L10" s="2" t="n">
        <x:f>0.3</x:f>
        <x:v>0.3</x:v>
      </x:c>
      <x:c r="M10" s="2"/>
      <x:c r="N10" s="2"/>
    </x:row>
    <x:row r="11" ht="38" customHeight="1">
      <x:c r="A11" s="18" t="str">
        <x:v>P24</x:v>
      </x:c>
      <x:c r="B11" s="18" t="n">
        <x:v>24</x:v>
      </x:c>
      <x:c r="C11" s="20" t="n">
        <x:v>0.2430833258</x:v>
      </x:c>
      <x:c r="D11" s="20" t="n">
        <x:v>133.0246652</x:v>
      </x:c>
      <x:c r="E11" s="20" t="n">
        <x:v>24.53075009</x:v>
      </x:c>
      <x:c r="F11" s="20" t="n">
        <x:v>14.58499955</x:v>
      </x:c>
      <x:c r="G11" s="20" t="n">
        <x:v>15.92169149</x:v>
      </x:c>
      <x:c r="H11" s="18" t="str">
        <x:v>Flow fails</x:v>
      </x:c>
      <x:c r="I11" s="2"/>
      <x:c r="J11" s="2" t="str">
        <x:f>A11</x:f>
        <x:v>P24</x:v>
      </x:c>
      <x:c r="K11" s="2" t="n">
        <x:f>C11</x:f>
        <x:v>0.2430833258</x:v>
      </x:c>
      <x:c r="L11" s="2" t="n">
        <x:f>0.3</x:f>
        <x:v>0.3</x:v>
      </x:c>
      <x:c r="M11" s="2"/>
      <x:c r="N11" s="2"/>
    </x:row>
    <x:row r="12" ht="38" customHeight="1">
      <x:c r="A12" s="26" t="str">
        <x:v>P28</x:v>
      </x:c>
      <x:c r="B12" s="26" t="n">
        <x:v>28</x:v>
      </x:c>
      <x:c r="C12" s="27" t="n">
        <x:v>0.3137502573</x:v>
      </x:c>
      <x:c r="D12" s="27" t="n">
        <x:v>112.9495835</x:v>
      </x:c>
      <x:c r="E12" s="27" t="n">
        <x:v>31.6619496</x:v>
      </x:c>
      <x:c r="F12" s="27" t="n">
        <x:v>18.82501544</x:v>
      </x:c>
      <x:c r="G12" s="27" t="n">
        <x:v>17.57824607</x:v>
      </x:c>
      <x:c r="H12" s="26" t="str">
        <x:v>First dual pass / select</x:v>
      </x:c>
      <x:c r="I12" s="2"/>
      <x:c r="J12" s="2" t="str">
        <x:f>A12</x:f>
        <x:v>P28</x:v>
      </x:c>
      <x:c r="K12" s="2" t="n">
        <x:f>C12</x:f>
        <x:v>0.3137502573</x:v>
      </x:c>
      <x:c r="L12" s="2" t="n">
        <x:f>0.3</x:f>
        <x:v>0.3</x:v>
      </x:c>
      <x:c r="M12" s="2"/>
      <x:c r="N12" s="2"/>
    </x:row>
    <x:row r="13" ht="38" customHeight="1">
      <x:c r="A13" s="18" t="str">
        <x:v>P32</x:v>
      </x:c>
      <x:c r="B13" s="18" t="n">
        <x:v>32</x:v>
      </x:c>
      <x:c r="C13" s="20" t="n">
        <x:v>0.3804263063</x:v>
      </x:c>
      <x:c r="D13" s="20" t="n">
        <x:v>102.3568506</x:v>
      </x:c>
      <x:c r="E13" s="20" t="n">
        <x:v>38.39043185</x:v>
      </x:c>
      <x:c r="F13" s="20" t="n">
        <x:v>22.82557838</x:v>
      </x:c>
      <x:c r="G13" s="20" t="n">
        <x:v>19.49177472</x:v>
      </x:c>
      <x:c r="H13" s="18" t="str">
        <x:v>Pass but pressure not minimum</x:v>
      </x:c>
      <x:c r="I13" s="2"/>
      <x:c r="J13" s="2" t="str">
        <x:f>A13</x:f>
        <x:v>P32</x:v>
      </x:c>
      <x:c r="K13" s="2" t="n">
        <x:f>C13</x:f>
        <x:v>0.3804263063</x:v>
      </x:c>
      <x:c r="L13" s="2" t="n">
        <x:f>0.3</x:f>
        <x:v>0.3</x:v>
      </x:c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11" t="str">
        <x:v>Step 2｜equilibrate_feed</x:v>
      </x:c>
      <x:c r="B17" s="11" t="str">
        <x:v>Step 2｜equilibrate_feed</x:v>
      </x:c>
      <x:c r="C17" s="11" t="str">
        <x:v>Step 2｜equilibrate_feed</x:v>
      </x:c>
      <x:c r="D17" s="11" t="str">
        <x:v>Step 2｜equilibrate_feed</x:v>
      </x:c>
      <x:c r="E17" s="11" t="str">
        <x:v>Step 2｜equilibrate_feed</x:v>
      </x:c>
      <x:c r="F17" s="11" t="str">
        <x:v>Step 2｜equilibrate_feed</x:v>
      </x:c>
      <x:c r="G17" s="11" t="str">
        <x:v>Step 2｜equilibrate_feed</x:v>
      </x:c>
      <x:c r="H17" s="11" t="str">
        <x:v>Step 2｜equilibrate_feed</x:v>
      </x:c>
      <x:c r="I17" s="11" t="str">
        <x:v>Step 2｜equilibrate_feed</x:v>
      </x:c>
      <x:c r="J17" s="2"/>
      <x:c r="K17" s="2"/>
      <x:c r="L17" s="2"/>
      <x:c r="M17" s="2"/>
      <x:c r="N17" s="2"/>
    </x:row>
    <x:row r="18">
      <x:c r="A18" s="16" t="str">
        <x:v>Silica case</x:v>
      </x:c>
      <x:c r="B18" s="16" t="str">
        <x:v>Residual SiO2 mol/s</x:v>
      </x:c>
      <x:c r="C18" s="16" t="str">
        <x:v>Removal</x:v>
      </x:c>
      <x:c r="D18" s="16" t="str">
        <x:v>SiO2(a) SI</x:v>
      </x:c>
      <x:c r="E18" s="16" t="str">
        <x:v>Calcite SI</x:v>
      </x:c>
      <x:c r="F18" s="16" t="str">
        <x:v>Gypsum SI</x:v>
      </x:c>
      <x:c r="G18" s="16" t="str">
        <x:v>—</x:v>
      </x:c>
      <x:c r="H18" s="16" t="str">
        <x:v>pH</x:v>
      </x:c>
      <x:c r="I18" s="16" t="str">
        <x:v>Decision</x:v>
      </x:c>
      <x:c r="J18" s="2"/>
      <x:c r="K18" s="2"/>
      <x:c r="L18" s="2"/>
      <x:c r="M18" s="2"/>
      <x:c r="N18" s="2"/>
    </x:row>
    <x:row r="19" ht="39" customHeight="1">
      <x:c r="A19" s="18" t="str">
        <x:v>No removal</x:v>
      </x:c>
      <x:c r="B19" s="20" t="n">
        <x:v>0.006</x:v>
      </x:c>
      <x:c r="C19" s="28" t="n">
        <x:v>0</x:v>
      </x:c>
      <x:c r="D19" s="20" t="n">
        <x:v>0.5807675734</x:v>
      </x:c>
      <x:c r="E19" s="20" t="n">
        <x:v>-0.8800877611</x:v>
      </x:c>
      <x:c r="F19" s="20" t="n">
        <x:v>-0.7399894872</x:v>
      </x:c>
      <x:c r="G19" s="20"/>
      <x:c r="H19" s="20" t="n">
        <x:v>6.772373723</x:v>
      </x:c>
      <x:c r="I19" s="18" t="str">
        <x:v>Silica scale risk</x:v>
      </x:c>
      <x:c r="J19" s="2"/>
      <x:c r="K19" s="2"/>
      <x:c r="L19" s="2"/>
      <x:c r="M19" s="2"/>
      <x:c r="N19" s="2"/>
    </x:row>
    <x:row r="20" ht="39" customHeight="1">
      <x:c r="A20" s="18" t="str">
        <x:v>50% removal</x:v>
      </x:c>
      <x:c r="B20" s="20" t="n">
        <x:v>0.003</x:v>
      </x:c>
      <x:c r="C20" s="28" t="n">
        <x:v>0.5</x:v>
      </x:c>
      <x:c r="D20" s="20" t="n">
        <x:v>0.2796668325</x:v>
      </x:c>
      <x:c r="E20" s="20" t="n">
        <x:v>-0.8808197997</x:v>
      </x:c>
      <x:c r="F20" s="20" t="n">
        <x:v>-0.7404971925</x:v>
      </x:c>
      <x:c r="G20" s="20"/>
      <x:c r="H20" s="20" t="n">
        <x:v>6.772505961</x:v>
      </x:c>
      <x:c r="I20" s="18" t="str">
        <x:v>Still supersaturated</x:v>
      </x:c>
      <x:c r="J20" s="2"/>
      <x:c r="K20" s="2"/>
      <x:c r="L20" s="2"/>
      <x:c r="M20" s="2"/>
      <x:c r="N20" s="2"/>
    </x:row>
    <x:row r="21" ht="39" customHeight="1">
      <x:c r="A21" s="18" t="str">
        <x:v>75% removal</x:v>
      </x:c>
      <x:c r="B21" s="20" t="n">
        <x:v>0.0015</x:v>
      </x:c>
      <x:c r="C21" s="28" t="n">
        <x:v>0.75</x:v>
      </x:c>
      <x:c r="D21" s="20" t="n">
        <x:v>-0.0213985408</x:v>
      </x:c>
      <x:c r="E21" s="20" t="n">
        <x:v>-0.8811822233</x:v>
      </x:c>
      <x:c r="F21" s="20" t="n">
        <x:v>-0.7407510443</x:v>
      </x:c>
      <x:c r="G21" s="20"/>
      <x:c r="H21" s="20" t="n">
        <x:v>6.772575062</x:v>
      </x:c>
      <x:c r="I21" s="18" t="str">
        <x:v>Below zero but misses −0.10 margin</x:v>
      </x:c>
      <x:c r="J21" s="2"/>
      <x:c r="K21" s="2"/>
      <x:c r="L21" s="2"/>
      <x:c r="M21" s="2"/>
      <x:c r="N21" s="2"/>
    </x:row>
    <x:row r="22" ht="39" customHeight="1">
      <x:c r="A22" s="26" t="str">
        <x:v>90% removal</x:v>
      </x:c>
      <x:c r="B22" s="27" t="n">
        <x:v>0.0006</x:v>
      </x:c>
      <x:c r="C22" s="29" t="n">
        <x:v>0.9</x:v>
      </x:c>
      <x:c r="D22" s="27" t="n">
        <x:v>-0.4193597778</x:v>
      </x:c>
      <x:c r="E22" s="27" t="n">
        <x:v>-0.8813984635</x:v>
      </x:c>
      <x:c r="F22" s="27" t="n">
        <x:v>-0.7409033551</x:v>
      </x:c>
      <x:c r="G22" s="27"/>
      <x:c r="H22" s="27" t="n">
        <x:v>6.772617528</x:v>
      </x:c>
      <x:c r="I22" s="26" t="str">
        <x:v>Minimum passing point / recommend</x:v>
      </x:c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11" t="str">
        <x:v>Engineering calculations</x:v>
      </x:c>
      <x:c r="B25" s="11" t="str">
        <x:v>Engineering calculations</x:v>
      </x:c>
      <x:c r="C25" s="11" t="str">
        <x:v>Engineering calculations</x:v>
      </x:c>
      <x:c r="D25" s="2"/>
      <x:c r="E25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F25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G25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H25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I25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J25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K25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L25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M25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N25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</x:row>
    <x:row r="26">
      <x:c r="A26" s="16" t="str">
        <x:v>Metric</x:v>
      </x:c>
      <x:c r="B26" s="16" t="str">
        <x:v>Formula</x:v>
      </x:c>
      <x:c r="C26" s="16" t="str">
        <x:v>Result</x:v>
      </x:c>
      <x:c r="D26" s="2"/>
      <x:c r="E26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F26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G26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H26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I26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J26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K26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L26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M26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N26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</x:row>
    <x:row r="27">
      <x:c r="A27" s="18" t="str">
        <x:v>Daily permeate</x:v>
      </x:c>
      <x:c r="B27" s="18" t="str">
        <x:v>=C12*86400/1000</x:v>
      </x:c>
      <x:c r="C27" s="20" t="n">
        <x:f>C12*86400/1000</x:f>
        <x:v>27.10802223072</x:v>
      </x:c>
      <x:c r="D27" s="2"/>
      <x:c r="E27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F27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G27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H27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I27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J27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K27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L27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M27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N27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</x:row>
    <x:row r="28">
      <x:c r="A28" s="18" t="str">
        <x:v>Concentration factor</x:v>
      </x:c>
      <x:c r="B28" s="18" t="str">
        <x:v>=1/(1-E12/100)</x:v>
      </x:c>
      <x:c r="C28" s="20" t="n">
        <x:f>1/(1-E12/100)</x:f>
        <x:v>1.4633136212501607</x:v>
      </x:c>
      <x:c r="D28" s="2"/>
      <x:c r="E28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F28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G28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H28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I28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J28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K28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L28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M28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N28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</x:row>
    <x:row r="29">
      <x:c r="A29" s="18" t="str">
        <x:v>Silica removal</x:v>
      </x:c>
      <x:c r="B29" s="18" t="str">
        <x:v>=C22</x:v>
      </x:c>
      <x:c r="C29" s="20" t="n">
        <x:f>C22</x:f>
        <x:v>0.9</x:v>
      </x:c>
      <x:c r="D29" s="2"/>
      <x:c r="E29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F29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G29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H29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I29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J29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K29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L29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M29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N29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</x:row>
    <x:row r="30">
      <x:c r="A30" s="18" t="str">
        <x:v>Residual SiO2</x:v>
      </x:c>
      <x:c r="B30" s="18" t="str">
        <x:v>=B22</x:v>
      </x:c>
      <x:c r="C30" s="20" t="n">
        <x:f>B22</x:f>
        <x:v>0.0006</x:v>
      </x:c>
      <x:c r="D30" s="2"/>
      <x:c r="E30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F30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G30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H30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I30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J30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K30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L30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M30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  <x:c r="N30" s="25" t="str">
        <x:v>Boundary evidence
24 bar gives only 0.24308 kg/s; 28 bar reaches 0.31375 kg/s and 112.95 ppm. SiO2(a) SI is −0.02140 at 75% removal and −0.41936 at 90%.
Final conclusion
Recommend 28 bar plus 90% silica-specific removal, reducing SiO2 from 0.006 to 0.0006 mol/s. Permeate water is 0.31375 kg/s, NaCl 112.95 ppm, recovery 31.6619%, and SiO2(a) SI −0.41936.</x:v>
      </x:c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11" t="str">
        <x:v>Model boundary and reproducibility</x:v>
      </x:c>
      <x:c r="B33" s="11" t="str">
        <x:v>Model boundary and reproducibility</x:v>
      </x:c>
      <x:c r="C33" s="11" t="str">
        <x:v>Model boundary and reproducibility</x:v>
      </x:c>
      <x:c r="D33" s="11" t="str">
        <x:v>Model boundary and reproducibility</x:v>
      </x:c>
      <x:c r="E33" s="11" t="str">
        <x:v>Model boundary and reproducibility</x:v>
      </x:c>
      <x:c r="F33" s="11" t="str">
        <x:v>Model boundary and reproducibility</x:v>
      </x:c>
      <x:c r="G33" s="11" t="str">
        <x:v>Model boundary and reproducibility</x:v>
      </x:c>
      <x:c r="H33" s="11" t="str">
        <x:v>Model boundary and reproducibility</x:v>
      </x:c>
      <x:c r="I33" s="11" t="str">
        <x:v>Model boundary and reproducibility</x:v>
      </x:c>
      <x:c r="J33" s="11" t="str">
        <x:v>Model boundary and reproducibility</x:v>
      </x:c>
      <x:c r="K33" s="11" t="str">
        <x:v>Model boundary and reproducibility</x:v>
      </x:c>
      <x:c r="L33" s="11" t="str">
        <x:v>Model boundary and reproducibility</x:v>
      </x:c>
      <x:c r="M33" s="11" t="str">
        <x:v>Model boundary and reproducibility</x:v>
      </x:c>
      <x:c r="N33" s="11" t="str">
        <x:v>Model boundary and reproducibility</x:v>
      </x:c>
    </x:row>
    <x:row r="34" ht="28" customHeight="1">
      <x:c r="A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B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C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D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E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F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G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H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I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J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K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L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M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N34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</x:row>
    <x:row r="35" ht="28" customHeight="1">
      <x:c r="A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B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C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D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E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F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G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H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I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J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K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L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M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N35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</x:row>
    <x:row r="36" ht="28" customHeight="1">
      <x:c r="A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B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C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D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E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F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G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H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I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J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K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L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M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N36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</x:row>
    <x:row r="37" ht="28" customHeight="1">
      <x:c r="A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B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C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D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E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F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G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H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I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J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K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L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M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  <x:c r="N37" s="9" t="str">
        <x:v>Reference scientific calls: 4 simulate_ro + 4 equilibrate_feed. The RO and ionic-chemistry models are coupled by actual recovery; their salinity representations and osmotic pressures need not match exactly. Equilibrium SI excludes nucleation/kinetics, fouling, dynamic antiscalant performance, control error, corrosion, and chemical mixing.</x:v>
      </x:c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A1:N2"/>
    <x:mergeCell ref="A4:N6"/>
    <x:mergeCell ref="A8:H8"/>
    <x:mergeCell ref="A17:I17"/>
    <x:mergeCell ref="A25:C25"/>
    <x:mergeCell ref="E25:N30"/>
    <x:mergeCell ref="A33:N33"/>
    <x:mergeCell ref="A34:N37"/>
  </x:mergeCells>
  <x:pageMargins left="0.7" right="0.7" top="0.75" bottom="0.75" header="0.3" footer="0.3"/>
  <x:drawing xmlns:r="http://schemas.openxmlformats.org/officeDocument/2006/relationships" r:id="Rfd0d801696664d0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5" hidden="0" customWidth="1"/>
    <x:col min="3" max="3" width="53" hidden="0" customWidth="1"/>
    <x:col min="4" max="4" width="43" hidden="0" customWidth="1"/>
    <x:col min="5" max="5" width="43" hidden="0" customWidth="1"/>
    <x:col min="6" max="6" width="12" hidden="0" customWidth="1"/>
    <x:col min="7" max="7" width="12" hidden="0" customWidth="1"/>
  </x:cols>
  <x:sheetData>
    <x:row r="1" ht="29" customHeight="1">
      <x:c r="A1" s="6" t="str">
        <x:v>N05｜Trajectory Rubric (100 points)</x:v>
      </x:c>
      <x:c r="B1" s="6" t="str">
        <x:v>N05｜Trajectory Rubric (100 points)</x:v>
      </x:c>
      <x:c r="C1" s="6" t="str">
        <x:v>N05｜Trajectory Rubric (100 points)</x:v>
      </x:c>
      <x:c r="D1" s="6" t="str">
        <x:v>N05｜Trajectory Rubric (100 points)</x:v>
      </x:c>
      <x:c r="E1" s="6" t="str">
        <x:v>N05｜Trajectory Rubric (100 points)</x:v>
      </x:c>
      <x:c r="F1" s="6" t="str">
        <x:v>N05｜Trajectory Rubric (100 points)</x:v>
      </x:c>
      <x:c r="G1" s="6" t="str">
        <x:v>N05｜Trajectory Rubric (100 points)</x:v>
      </x:c>
      <x:c r="H1" s="2"/>
      <x:c r="I1" s="2"/>
      <x:c r="J1" s="2"/>
      <x:c r="K1" s="2"/>
      <x:c r="L1" s="2"/>
      <x:c r="M1" s="2"/>
      <x:c r="N1" s="2"/>
    </x:row>
    <x:row r="2" ht="29" customHeight="1">
      <x:c r="A2" s="6" t="str">
        <x:v>N05｜Trajectory Rubric (100 points)</x:v>
      </x:c>
      <x:c r="B2" s="6" t="str">
        <x:v>N05｜Trajectory Rubric (100 points)</x:v>
      </x:c>
      <x:c r="C2" s="6" t="str">
        <x:v>N05｜Trajectory Rubric (100 points)</x:v>
      </x:c>
      <x:c r="D2" s="6" t="str">
        <x:v>N05｜Trajectory Rubric (100 points)</x:v>
      </x:c>
      <x:c r="E2" s="6" t="str">
        <x:v>N05｜Trajectory Rubric (100 points)</x:v>
      </x:c>
      <x:c r="F2" s="6" t="str">
        <x:v>N05｜Trajectory Rubric (100 points)</x:v>
      </x:c>
      <x:c r="G2" s="6" t="str">
        <x:v>N05｜Trajectory Rubric (100 points)</x:v>
      </x:c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B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C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D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E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F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G4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H4" s="2"/>
      <x:c r="I4" s="2"/>
      <x:c r="J4" s="2"/>
      <x:c r="K4" s="2"/>
      <x:c r="L4" s="2"/>
      <x:c r="M4" s="2"/>
      <x:c r="N4" s="2"/>
    </x:row>
    <x:row r="5">
      <x:c r="A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B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C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D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E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F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G5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H5" s="2"/>
      <x:c r="I5" s="2"/>
      <x:c r="J5" s="2"/>
      <x:c r="K5" s="2"/>
      <x:c r="L5" s="2"/>
      <x:c r="M5" s="2"/>
      <x:c r="N5" s="2"/>
    </x:row>
    <x:row r="6">
      <x:c r="A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B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C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D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E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F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G6" s="9" t="str">
        <x:v>Evaluate the complete state→plan→tool→observation→update→pruning→stop trajectory. Require cross-model recovery transfer, adjacent fail/pass evidence, and engineering constraints—not just the final number.</x:v>
      </x:c>
      <x:c r="H6" s="2"/>
      <x:c r="I6" s="2"/>
      <x:c r="J6" s="2"/>
      <x:c r="K6" s="2"/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6" t="str">
        <x:v>Dimension</x:v>
      </x:c>
      <x:c r="B8" s="16" t="str">
        <x:v>Focus</x:v>
      </x:c>
      <x:c r="C8" s="16" t="str">
        <x:v>Full credit</x:v>
      </x:c>
      <x:c r="D8" s="16" t="str">
        <x:v>Partial credit</x:v>
      </x:c>
      <x:c r="E8" s="16" t="str">
        <x:v>Critical failure</x:v>
      </x:c>
      <x:c r="F8" s="16" t="str">
        <x:v>Weight</x:v>
      </x:c>
      <x:c r="G8" s="16" t="str">
        <x:v>Score</x:v>
      </x:c>
      <x:c r="H8" s="2"/>
      <x:c r="I8" s="2"/>
      <x:c r="J8" s="2"/>
      <x:c r="K8" s="2"/>
      <x:c r="L8" s="2"/>
      <x:c r="M8" s="2"/>
      <x:c r="N8" s="2"/>
    </x:row>
    <x:row r="9" ht="80" customHeight="1">
      <x:c r="A9" s="18" t="str">
        <x:v>TQ1 Problem representation</x:v>
      </x:c>
      <x:c r="B9" s="18" t="str">
        <x:v>Recognize production and second constraint</x:v>
      </x:c>
      <x:c r="C9" s="18" t="str">
        <x:v>Correctly represent: Permeate water ≥0.300 kg/s; NaCl ≤150 ppm</x:v>
      </x:c>
      <x:c r="D9" s="18" t="str">
        <x:v>Main goal correct but one constraint missing</x:v>
      </x:c>
      <x:c r="E9" s="18" t="str">
        <x:v>Select on production or SI alone</x:v>
      </x:c>
      <x:c r="F9" s="18" t="n">
        <x:v>15</x:v>
      </x:c>
      <x:c r="G9" s="18"/>
      <x:c r="H9" s="2"/>
      <x:c r="I9" s="2"/>
      <x:c r="J9" s="2"/>
      <x:c r="K9" s="2"/>
      <x:c r="L9" s="2"/>
      <x:c r="M9" s="2"/>
      <x:c r="N9" s="2"/>
    </x:row>
    <x:row r="10" ht="80" customHeight="1">
      <x:c r="A10" s="18" t="str">
        <x:v>TQ2 Tool choice</x:v>
      </x:c>
      <x:c r="B10" s="18" t="str">
        <x:v>Use simulate_ro and equilibrate_feed correctly</x:v>
      </x:c>
      <x:c r="C10" s="18" t="str">
        <x:v>Clear model roles and correct units</x:v>
      </x:c>
      <x:c r="D10" s="18" t="str">
        <x:v>Right tools but incomplete unit/metadata basis</x:v>
      </x:c>
      <x:c r="E10" s="18" t="str">
        <x:v>Wrong module/plant tool or one tool only</x:v>
      </x:c>
      <x:c r="F10" s="18" t="n">
        <x:v>15</x:v>
      </x:c>
      <x:c r="G10" s="18"/>
      <x:c r="H10" s="2"/>
      <x:c r="I10" s="2"/>
      <x:c r="J10" s="2"/>
      <x:c r="K10" s="2"/>
      <x:c r="L10" s="2"/>
      <x:c r="M10" s="2"/>
      <x:c r="N10" s="2"/>
    </x:row>
    <x:row r="11" ht="80" customHeight="1">
      <x:c r="A11" s="18" t="str">
        <x:v>TQ3 Controlled comparison</x:v>
      </x:c>
      <x:c r="B11" s="18" t="str">
        <x:v>Hold non-target inputs fixed</x:v>
      </x:c>
      <x:c r="C11" s="18" t="str">
        <x:v>Only stated design variables change</x:v>
      </x:c>
      <x:c r="D11" s="18" t="str">
        <x:v>Minor non-controlling difference</x:v>
      </x:c>
      <x:c r="E11" s="18" t="str">
        <x:v>Change salinity, temperature, or composition across candidates</x:v>
      </x:c>
      <x:c r="F11" s="18" t="n">
        <x:v>15</x:v>
      </x:c>
      <x:c r="G11" s="18"/>
      <x:c r="H11" s="2"/>
      <x:c r="I11" s="2"/>
      <x:c r="J11" s="2"/>
      <x:c r="K11" s="2"/>
      <x:c r="L11" s="2"/>
      <x:c r="M11" s="2"/>
      <x:c r="N11" s="2"/>
    </x:row>
    <x:row r="12" ht="80" customHeight="1">
      <x:c r="A12" s="18" t="str">
        <x:v>TQ4 Cross-model coupling</x:v>
      </x:c>
      <x:c r="B12" s="18" t="str">
        <x:v>Pass actual recovery</x:v>
      </x:c>
      <x:c r="C12" s="18" t="str">
        <x:v>Selected and necessary boundary cases use actual simulate_ro recovery</x:v>
      </x:c>
      <x:c r="D12" s="18" t="str">
        <x:v>Rounding only</x:v>
      </x:c>
      <x:c r="E12" s="18" t="str">
        <x:v>Use nominal or target recovery</x:v>
      </x:c>
      <x:c r="F12" s="18" t="n">
        <x:v>20</x:v>
      </x:c>
      <x:c r="G12" s="18"/>
      <x:c r="H12" s="2"/>
      <x:c r="I12" s="2"/>
      <x:c r="J12" s="2"/>
      <x:c r="K12" s="2"/>
      <x:c r="L12" s="2"/>
      <x:c r="M12" s="2"/>
      <x:c r="N12" s="2"/>
    </x:row>
    <x:row r="13" ht="80" customHeight="1">
      <x:c r="A13" s="18" t="str">
        <x:v>TQ5 Boundary proof</x:v>
      </x:c>
      <x:c r="B13" s="18" t="str">
        <x:v>Adjacent fail/pass evidence</x:v>
      </x:c>
      <x:c r="C13" s="18" t="str">
        <x:v>24 bar gives only 0.24308 kg/s; 28 bar reaches 0.31375 kg/s and 112.95 ppm. SiO2(a) SI is −0.02140 at 75% removal and −0.41936 at 90%.</x:v>
      </x:c>
      <x:c r="D13" s="18" t="str">
        <x:v>Right answer but one boundary missing</x:v>
      </x:c>
      <x:c r="E13" s="18" t="str">
        <x:v>Report selected point only</x:v>
      </x:c>
      <x:c r="F13" s="18" t="n">
        <x:v>20</x:v>
      </x:c>
      <x:c r="G13" s="18"/>
      <x:c r="H13" s="2"/>
      <x:c r="I13" s="2"/>
      <x:c r="J13" s="2"/>
      <x:c r="K13" s="2"/>
      <x:c r="L13" s="2"/>
      <x:c r="M13" s="2"/>
      <x:c r="N13" s="2"/>
    </x:row>
    <x:row r="14" ht="80" customHeight="1">
      <x:c r="A14" s="18" t="str">
        <x:v>TQ6 Decision and scope</x:v>
      </x:c>
      <x:c r="B14" s="18" t="str">
        <x:v>Executable conclusion and model limits</x:v>
      </x:c>
      <x:c r="C14" s="18" t="str">
        <x:v>Recommend 28 bar plus 90% silica-specific removal, reducing SiO2 from 0.006 to 0.0006 mol/s. Permeate water is 0.31375 kg/s, NaCl 112.95 ppm, recovery 31.6619%, and SiO2(a) SI −0.41936.</x:v>
      </x:c>
      <x:c r="D14" s="18" t="str">
        <x:v>Right conclusion but missing value or limitation</x:v>
      </x:c>
      <x:c r="E14" s="18" t="str">
        <x:v>Recommend failing case or treat SI as guarantee</x:v>
      </x:c>
      <x:c r="F14" s="18" t="n">
        <x:v>15</x:v>
      </x:c>
      <x:c r="G14" s="18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11" t="str">
        <x:v>Gold-answer anchors</x:v>
      </x:c>
      <x:c r="B17" s="11" t="str">
        <x:v>Gold-answer anchors</x:v>
      </x:c>
      <x:c r="C17" s="11" t="str">
        <x:v>Gold-answer anchors</x:v>
      </x:c>
      <x:c r="D17" s="11" t="str">
        <x:v>Gold-answer anchors</x:v>
      </x:c>
      <x:c r="E17" s="11" t="str">
        <x:v>Gold-answer anchors</x:v>
      </x:c>
      <x:c r="F17" s="11" t="str">
        <x:v>Gold-answer anchors</x:v>
      </x:c>
      <x:c r="G17" s="11" t="str">
        <x:v>Gold-answer anchors</x:v>
      </x:c>
      <x:c r="H17" s="2"/>
      <x:c r="I17" s="2"/>
      <x:c r="J17" s="2"/>
      <x:c r="K17" s="2"/>
      <x:c r="L17" s="2"/>
      <x:c r="M17" s="2"/>
      <x:c r="N17" s="2"/>
    </x:row>
    <x:row r="18" ht="47" customHeight="1">
      <x:c r="A18" s="18" t="str">
        <x:v>Recommended case</x:v>
      </x:c>
      <x:c r="B18" s="18" t="str">
        <x:v>Recommend 28 bar plus 90% silica-specific removal, reducing SiO2 from 0.006 to 0.0006 mol/s. Permeate water is 0.31375 kg/s, NaCl 112.95 ppm, recovery 31.6619%, and SiO2(a) SI −0.41936.</x:v>
      </x:c>
      <x:c r="C18" s="18"/>
      <x:c r="D18" s="18"/>
      <x:c r="E18" s="18"/>
      <x:c r="F18" s="18"/>
      <x:c r="G18" s="18"/>
      <x:c r="H18" s="2"/>
      <x:c r="I18" s="2"/>
      <x:c r="J18" s="2"/>
      <x:c r="K18" s="2"/>
      <x:c r="L18" s="2"/>
      <x:c r="M18" s="2"/>
      <x:c r="N18" s="2"/>
    </x:row>
    <x:row r="19" ht="47" customHeight="1">
      <x:c r="A19" s="18" t="str">
        <x:v>Boundary evidence</x:v>
      </x:c>
      <x:c r="B19" s="18" t="str">
        <x:v>24 bar gives only 0.24308 kg/s; 28 bar reaches 0.31375 kg/s and 112.95 ppm. SiO2(a) SI is −0.02140 at 75% removal and −0.41936 at 90%.</x:v>
      </x:c>
      <x:c r="C19" s="18"/>
      <x:c r="D19" s="18"/>
      <x:c r="E19" s="18"/>
      <x:c r="F19" s="18"/>
      <x:c r="G19" s="18"/>
      <x:c r="H19" s="2"/>
      <x:c r="I19" s="2"/>
      <x:c r="J19" s="2"/>
      <x:c r="K19" s="2"/>
      <x:c r="L19" s="2"/>
      <x:c r="M19" s="2"/>
      <x:c r="N19" s="2"/>
    </x:row>
    <x:row r="20" ht="47" customHeight="1">
      <x:c r="A20" s="18" t="str">
        <x:v>Reference calls</x:v>
      </x:c>
      <x:c r="B20" s="18" t="str">
        <x:v>4 simulate_ro + 4 equilibrate_feed</x:v>
      </x:c>
      <x:c r="C20" s="18"/>
      <x:c r="D20" s="18"/>
      <x:c r="E20" s="18"/>
      <x:c r="F20" s="18"/>
      <x:c r="G20" s="18"/>
      <x:c r="H20" s="2"/>
      <x:c r="I20" s="2"/>
      <x:c r="J20" s="2"/>
      <x:c r="K20" s="2"/>
      <x:c r="L20" s="2"/>
      <x:c r="M20" s="2"/>
      <x:c r="N20" s="2"/>
    </x:row>
    <x:row r="21" ht="47" customHeight="1">
      <x:c r="A21" s="18" t="str">
        <x:v>Stopping rule</x:v>
      </x:c>
      <x:c r="B21" s="18" t="str">
        <x:v>All hard constraints pass and adjacent failure is proven</x:v>
      </x:c>
      <x:c r="C21" s="18"/>
      <x:c r="D21" s="18"/>
      <x:c r="E21" s="18"/>
      <x:c r="F21" s="18"/>
      <x:c r="G21" s="18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A1:G2"/>
    <x:mergeCell ref="A4:G6"/>
    <x:mergeCell ref="A17:G17"/>
    <x:mergeCell ref="B18:G18"/>
    <x:mergeCell ref="B19:G19"/>
    <x:mergeCell ref="B20:G20"/>
    <x:mergeCell ref="B21:G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52" hidden="0" customWidth="1"/>
    <x:col min="4" max="4" width="43" hidden="0" customWidth="1"/>
    <x:col min="5" max="5" width="43" hidden="0" customWidth="1"/>
    <x:col min="6" max="6" width="51" hidden="0" customWidth="1"/>
    <x:col min="7" max="7" width="12" hidden="0" customWidth="1"/>
  </x:cols>
  <x:sheetData>
    <x:row r="1" ht="29" customHeight="1">
      <x:c r="A1" s="6" t="str">
        <x:v>N05｜Tool Efficiency (100 points)</x:v>
      </x:c>
      <x:c r="B1" s="6" t="str">
        <x:v>N05｜Tool Efficiency (100 points)</x:v>
      </x:c>
      <x:c r="C1" s="6" t="str">
        <x:v>N05｜Tool Efficiency (100 points)</x:v>
      </x:c>
      <x:c r="D1" s="6" t="str">
        <x:v>N05｜Tool Efficiency (100 points)</x:v>
      </x:c>
      <x:c r="E1" s="6" t="str">
        <x:v>N05｜Tool Efficiency (100 points)</x:v>
      </x:c>
      <x:c r="F1" s="6" t="str">
        <x:v>N05｜Tool Efficiency (100 points)</x:v>
      </x:c>
      <x:c r="G1" s="6" t="str">
        <x:v>N05｜Tool Efficiency (100 points)</x:v>
      </x:c>
      <x:c r="H1" s="2"/>
      <x:c r="I1" s="2"/>
      <x:c r="J1" s="2"/>
      <x:c r="K1" s="2"/>
      <x:c r="L1" s="2"/>
      <x:c r="M1" s="2"/>
      <x:c r="N1" s="2"/>
    </x:row>
    <x:row r="2" ht="29" customHeight="1">
      <x:c r="A2" s="6" t="str">
        <x:v>N05｜Tool Efficiency (100 points)</x:v>
      </x:c>
      <x:c r="B2" s="6" t="str">
        <x:v>N05｜Tool Efficiency (100 points)</x:v>
      </x:c>
      <x:c r="C2" s="6" t="str">
        <x:v>N05｜Tool Efficiency (100 points)</x:v>
      </x:c>
      <x:c r="D2" s="6" t="str">
        <x:v>N05｜Tool Efficiency (100 points)</x:v>
      </x:c>
      <x:c r="E2" s="6" t="str">
        <x:v>N05｜Tool Efficiency (100 points)</x:v>
      </x:c>
      <x:c r="F2" s="6" t="str">
        <x:v>N05｜Tool Efficiency (100 points)</x:v>
      </x:c>
      <x:c r="G2" s="6" t="str">
        <x:v>N05｜Tool Efficiency (100 points)</x:v>
      </x:c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9" t="str">
        <x:v>Reference trajectory: 4 simulate_ro + 4 equilibrate_feed. Efficiency means every call changes the next decision, locks a boundary, or proves reusable—not merely fewer calls.</x:v>
      </x:c>
      <x:c r="B4" s="9" t="str">
        <x:v>Reference trajectory: 4 simulate_ro + 4 equilibrate_feed. Efficiency means every call changes the next decision, locks a boundary, or proves reusable—not merely fewer calls.</x:v>
      </x:c>
      <x:c r="C4" s="9" t="str">
        <x:v>Reference trajectory: 4 simulate_ro + 4 equilibrate_feed. Efficiency means every call changes the next decision, locks a boundary, or proves reusable—not merely fewer calls.</x:v>
      </x:c>
      <x:c r="D4" s="9" t="str">
        <x:v>Reference trajectory: 4 simulate_ro + 4 equilibrate_feed. Efficiency means every call changes the next decision, locks a boundary, or proves reusable—not merely fewer calls.</x:v>
      </x:c>
      <x:c r="E4" s="9" t="str">
        <x:v>Reference trajectory: 4 simulate_ro + 4 equilibrate_feed. Efficiency means every call changes the next decision, locks a boundary, or proves reusable—not merely fewer calls.</x:v>
      </x:c>
      <x:c r="F4" s="9" t="str">
        <x:v>Reference trajectory: 4 simulate_ro + 4 equilibrate_feed. Efficiency means every call changes the next decision, locks a boundary, or proves reusable—not merely fewer calls.</x:v>
      </x:c>
      <x:c r="G4" s="9" t="str">
        <x:v>Reference trajectory: 4 simulate_ro + 4 equilibrate_feed. Efficiency means every call changes the next decision, locks a boundary, or proves reusable—not merely fewer calls.</x:v>
      </x:c>
      <x:c r="H4" s="2"/>
      <x:c r="I4" s="2"/>
      <x:c r="J4" s="2"/>
      <x:c r="K4" s="2"/>
      <x:c r="L4" s="2"/>
      <x:c r="M4" s="2"/>
      <x:c r="N4" s="2"/>
    </x:row>
    <x:row r="5">
      <x:c r="A5" s="9" t="str">
        <x:v>Reference trajectory: 4 simulate_ro + 4 equilibrate_feed. Efficiency means every call changes the next decision, locks a boundary, or proves reusable—not merely fewer calls.</x:v>
      </x:c>
      <x:c r="B5" s="9" t="str">
        <x:v>Reference trajectory: 4 simulate_ro + 4 equilibrate_feed. Efficiency means every call changes the next decision, locks a boundary, or proves reusable—not merely fewer calls.</x:v>
      </x:c>
      <x:c r="C5" s="9" t="str">
        <x:v>Reference trajectory: 4 simulate_ro + 4 equilibrate_feed. Efficiency means every call changes the next decision, locks a boundary, or proves reusable—not merely fewer calls.</x:v>
      </x:c>
      <x:c r="D5" s="9" t="str">
        <x:v>Reference trajectory: 4 simulate_ro + 4 equilibrate_feed. Efficiency means every call changes the next decision, locks a boundary, or proves reusable—not merely fewer calls.</x:v>
      </x:c>
      <x:c r="E5" s="9" t="str">
        <x:v>Reference trajectory: 4 simulate_ro + 4 equilibrate_feed. Efficiency means every call changes the next decision, locks a boundary, or proves reusable—not merely fewer calls.</x:v>
      </x:c>
      <x:c r="F5" s="9" t="str">
        <x:v>Reference trajectory: 4 simulate_ro + 4 equilibrate_feed. Efficiency means every call changes the next decision, locks a boundary, or proves reusable—not merely fewer calls.</x:v>
      </x:c>
      <x:c r="G5" s="9" t="str">
        <x:v>Reference trajectory: 4 simulate_ro + 4 equilibrate_feed. Efficiency means every call changes the next decision, locks a boundary, or proves reusable—not merely fewer calls.</x:v>
      </x:c>
      <x:c r="H5" s="2"/>
      <x:c r="I5" s="2"/>
      <x:c r="J5" s="2"/>
      <x:c r="K5" s="2"/>
      <x:c r="L5" s="2"/>
      <x:c r="M5" s="2"/>
      <x:c r="N5" s="2"/>
    </x:row>
    <x:row r="6">
      <x:c r="A6" s="9" t="str">
        <x:v>Reference trajectory: 4 simulate_ro + 4 equilibrate_feed. Efficiency means every call changes the next decision, locks a boundary, or proves reusable—not merely fewer calls.</x:v>
      </x:c>
      <x:c r="B6" s="9" t="str">
        <x:v>Reference trajectory: 4 simulate_ro + 4 equilibrate_feed. Efficiency means every call changes the next decision, locks a boundary, or proves reusable—not merely fewer calls.</x:v>
      </x:c>
      <x:c r="C6" s="9" t="str">
        <x:v>Reference trajectory: 4 simulate_ro + 4 equilibrate_feed. Efficiency means every call changes the next decision, locks a boundary, or proves reusable—not merely fewer calls.</x:v>
      </x:c>
      <x:c r="D6" s="9" t="str">
        <x:v>Reference trajectory: 4 simulate_ro + 4 equilibrate_feed. Efficiency means every call changes the next decision, locks a boundary, or proves reusable—not merely fewer calls.</x:v>
      </x:c>
      <x:c r="E6" s="9" t="str">
        <x:v>Reference trajectory: 4 simulate_ro + 4 equilibrate_feed. Efficiency means every call changes the next decision, locks a boundary, or proves reusable—not merely fewer calls.</x:v>
      </x:c>
      <x:c r="F6" s="9" t="str">
        <x:v>Reference trajectory: 4 simulate_ro + 4 equilibrate_feed. Efficiency means every call changes the next decision, locks a boundary, or proves reusable—not merely fewer calls.</x:v>
      </x:c>
      <x:c r="G6" s="9" t="str">
        <x:v>Reference trajectory: 4 simulate_ro + 4 equilibrate_feed. Efficiency means every call changes the next decision, locks a boundary, or proves reusable—not merely fewer calls.</x:v>
      </x:c>
      <x:c r="H6" s="2"/>
      <x:c r="I6" s="2"/>
      <x:c r="J6" s="2"/>
      <x:c r="K6" s="2"/>
      <x:c r="L6" s="2"/>
      <x:c r="M6" s="2"/>
      <x:c r="N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>
      <x:c r="A8" s="16" t="str">
        <x:v>Efficiency dimension</x:v>
      </x:c>
      <x:c r="B8" s="16" t="str">
        <x:v>Focus</x:v>
      </x:c>
      <x:c r="C8" s="16" t="str">
        <x:v>Full credit</x:v>
      </x:c>
      <x:c r="D8" s="16" t="str">
        <x:v>Medium</x:v>
      </x:c>
      <x:c r="E8" s="16" t="str">
        <x:v>Low</x:v>
      </x:c>
      <x:c r="F8" s="16" t="str">
        <x:v>Benchmark evidence</x:v>
      </x:c>
      <x:c r="G8" s="16" t="str">
        <x:v>Points</x:v>
      </x:c>
      <x:c r="H8" s="2"/>
      <x:c r="I8" s="2"/>
      <x:c r="J8" s="2"/>
      <x:c r="K8" s="2"/>
      <x:c r="L8" s="2"/>
      <x:c r="M8" s="2"/>
      <x:c r="N8" s="2"/>
    </x:row>
    <x:row r="9" ht="82" customHeight="1">
      <x:c r="A9" s="18" t="str">
        <x:v>E1 Tool routing</x:v>
      </x:c>
      <x:c r="B9" s="18" t="str">
        <x:v>Match model to decision level</x:v>
      </x:c>
      <x:c r="C9" s="18" t="str">
        <x:v>simulate_ro for production/energy; equilibrate_feed for scaling</x:v>
      </x:c>
      <x:c r="D9" s="18" t="str">
        <x:v>Right tools, unclear order</x:v>
      </x:c>
      <x:c r="E9" s="18" t="str">
        <x:v>Irrelevant tools or repeated solving</x:v>
      </x:c>
      <x:c r="F9" s="18" t="str">
        <x:v>Process first, chemistry second</x:v>
      </x:c>
      <x:c r="G9" s="18" t="n">
        <x:v>20</x:v>
      </x:c>
      <x:c r="H9" s="2"/>
      <x:c r="I9" s="2"/>
      <x:c r="J9" s="2"/>
      <x:c r="K9" s="2"/>
      <x:c r="L9" s="2"/>
      <x:c r="M9" s="2"/>
      <x:c r="N9" s="2"/>
    </x:row>
    <x:row r="10" ht="82" customHeight="1">
      <x:c r="A10" s="18" t="str">
        <x:v>E2 Input reuse</x:v>
      </x:c>
      <x:c r="B10" s="18" t="str">
        <x:v>Controlled variable/package comparison</x:v>
      </x:c>
      <x:c r="C10" s="18" t="str">
        <x:v>Hold all non-target inputs fixed</x:v>
      </x:c>
      <x:c r="D10" s="18" t="str">
        <x:v>Minor repeated-input error</x:v>
      </x:c>
      <x:c r="E10" s="18" t="str">
        <x:v>Candidates are not comparable</x:v>
      </x:c>
      <x:c r="F10" s="18" t="str">
        <x:v>Composition and fixed conditions held</x:v>
      </x:c>
      <x:c r="G10" s="18" t="n">
        <x:v>20</x:v>
      </x:c>
      <x:c r="H10" s="2"/>
      <x:c r="I10" s="2"/>
      <x:c r="J10" s="2"/>
      <x:c r="K10" s="2"/>
      <x:c r="L10" s="2"/>
      <x:c r="M10" s="2"/>
      <x:c r="N10" s="2"/>
    </x:row>
    <x:row r="11" ht="82" customHeight="1">
      <x:c r="A11" s="18" t="str">
        <x:v>E3 Information gain</x:v>
      </x:c>
      <x:c r="B11" s="18" t="str">
        <x:v>Screen production before necessary chemistry</x:v>
      </x:c>
      <x:c r="C11" s="18" t="str">
        <x:v>Prune hard-constraint failures early</x:v>
      </x:c>
      <x:c r="D11" s="18" t="str">
        <x:v>One or two low-value calls</x:v>
      </x:c>
      <x:c r="E11" s="18" t="str">
        <x:v>Blind Cartesian grid</x:v>
      </x:c>
      <x:c r="F11" s="18" t="str">
        <x:v>24 bar gives only 0.24308 kg/s; 28 bar reaches 0.31375 kg/s and 112.95 ppm. SiO2(a) SI is −0.02140 at 75% removal and −0.41936 at 90%.</x:v>
      </x:c>
      <x:c r="G11" s="18" t="n">
        <x:v>20</x:v>
      </x:c>
      <x:c r="H11" s="2"/>
      <x:c r="I11" s="2"/>
      <x:c r="J11" s="2"/>
      <x:c r="K11" s="2"/>
      <x:c r="L11" s="2"/>
      <x:c r="M11" s="2"/>
      <x:c r="N11" s="2"/>
    </x:row>
    <x:row r="12" ht="82" customHeight="1">
      <x:c r="A12" s="18" t="str">
        <x:v>E4 Adaptive pruning</x:v>
      </x:c>
      <x:c r="B12" s="18" t="str">
        <x:v>Stop failed branches</x:v>
      </x:c>
      <x:c r="C12" s="18" t="str">
        <x:v>Use salinity, SEC, SI, or site constraints to prune</x:v>
      </x:c>
      <x:c r="D12" s="18" t="str">
        <x:v>Minor redundancy</x:v>
      </x:c>
      <x:c r="E12" s="18" t="str">
        <x:v>Continue rejected routes</x:v>
      </x:c>
      <x:c r="F12" s="18" t="str">
        <x:v>Every failure changes next action</x:v>
      </x:c>
      <x:c r="G12" s="18" t="n">
        <x:v>20</x:v>
      </x:c>
      <x:c r="H12" s="2"/>
      <x:c r="I12" s="2"/>
      <x:c r="J12" s="2"/>
      <x:c r="K12" s="2"/>
      <x:c r="L12" s="2"/>
      <x:c r="M12" s="2"/>
      <x:c r="N12" s="2"/>
    </x:row>
    <x:row r="13" ht="82" customHeight="1">
      <x:c r="A13" s="18" t="str">
        <x:v>E5 Stop transparency</x:v>
      </x:c>
      <x:c r="B13" s="18" t="str">
        <x:v>Stop with sufficient evidence</x:v>
      </x:c>
      <x:c r="C13" s="18" t="str">
        <x:v>Report calls, reuse, boundaries, and limitations</x:v>
      </x:c>
      <x:c r="D13" s="18" t="str">
        <x:v>Slight over-call or one unclear basis</x:v>
      </x:c>
      <x:c r="E13" s="18" t="str">
        <x:v>Hidden assumptions or enumeration</x:v>
      </x:c>
      <x:c r="F13" s="18" t="str">
        <x:v>Recommend: Recommend 28 bar plus 90% silica-specific removal, reducing SiO2 from 0.006 to 0.0006 mol/s. Permeate water is 0.31375 kg/s, NaCl 112.95 ppm, recovery 31.6619%, and SiO2(a) SI −0.41936.</x:v>
      </x:c>
      <x:c r="G13" s="18" t="n">
        <x:v>20</x:v>
      </x:c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4" t="str">
        <x:v>Tool-efficiency total</x:v>
      </x:c>
      <x:c r="G15" s="24" t="n">
        <x:f>SUM(G9:G13)</x:f>
        <x:v>100</x:v>
      </x:c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11" t="str">
        <x:v>Efficient reference trajectory</x:v>
      </x:c>
      <x:c r="B18" s="11" t="str">
        <x:v>Efficient reference trajectory</x:v>
      </x:c>
      <x:c r="C18" s="11" t="str">
        <x:v>Efficient reference trajectory</x:v>
      </x:c>
      <x:c r="D18" s="11" t="str">
        <x:v>Efficient reference trajectory</x:v>
      </x:c>
      <x:c r="E18" s="11" t="str">
        <x:v>Efficient reference trajectory</x:v>
      </x:c>
      <x:c r="F18" s="11" t="str">
        <x:v>Efficient reference trajectory</x:v>
      </x:c>
      <x:c r="G18" s="11" t="str">
        <x:v>Efficient reference trajectory</x:v>
      </x:c>
      <x:c r="H18" s="2"/>
      <x:c r="I18" s="2"/>
      <x:c r="J18" s="2"/>
      <x:c r="K18" s="2"/>
      <x:c r="L18" s="2"/>
      <x:c r="M18" s="2"/>
      <x:c r="N18" s="2"/>
    </x:row>
    <x:row r="19">
      <x:c r="A19" s="16" t="str">
        <x:v>Stage</x:v>
      </x:c>
      <x:c r="B19" s="16" t="str">
        <x:v>Action/tool</x:v>
      </x:c>
      <x:c r="C19" s="16" t="str">
        <x:v>Call logic</x:v>
      </x:c>
      <x:c r="D19" s="16" t="str">
        <x:v>Key observation</x:v>
      </x:c>
      <x:c r="E19" s="16" t="str">
        <x:v>Prune/reuse</x:v>
      </x:c>
      <x:c r="F19" s="16" t="str">
        <x:v>Next</x:v>
      </x:c>
      <x:c r="G19" s="16" t="str">
        <x:v>Role</x:v>
      </x:c>
      <x:c r="H19" s="2"/>
      <x:c r="I19" s="2"/>
      <x:c r="J19" s="2"/>
      <x:c r="K19" s="2"/>
      <x:c r="L19" s="2"/>
      <x:c r="M19" s="2"/>
      <x:c r="N19" s="2"/>
    </x:row>
    <x:row r="20" ht="53" customHeight="1">
      <x:c r="A20" s="18" t="str">
        <x:v>1</x:v>
      </x:c>
      <x:c r="B20" s="18" t="str">
        <x:v>Read definitions</x:v>
      </x:c>
      <x:c r="C20" s="18" t="str">
        <x:v>Confirm units and scope</x:v>
      </x:c>
      <x:c r="D20" s="18" t="str">
        <x:v>Prepare controlled inputs</x:v>
      </x:c>
      <x:c r="E20" s="18" t="str">
        <x:v>—</x:v>
      </x:c>
      <x:c r="F20" s="18" t="str">
        <x:v>Run candidates</x:v>
      </x:c>
      <x:c r="G20" s="18" t="str">
        <x:v>Metadata</x:v>
      </x:c>
      <x:c r="H20" s="2"/>
      <x:c r="I20" s="2"/>
      <x:c r="J20" s="2"/>
      <x:c r="K20" s="2"/>
      <x:c r="L20" s="2"/>
      <x:c r="M20" s="2"/>
      <x:c r="N20" s="2"/>
    </x:row>
    <x:row r="21" ht="53" customHeight="1">
      <x:c r="A21" s="18" t="str">
        <x:v>2</x:v>
      </x:c>
      <x:c r="B21" s="18" t="str">
        <x:v>simulate_ro</x:v>
      </x:c>
      <x:c r="C21" s="18" t="str">
        <x:v>Compare all design points</x:v>
      </x:c>
      <x:c r="D21" s="18" t="str">
        <x:v>Lock production/quality/energy candidates</x:v>
      </x:c>
      <x:c r="E21" s="18" t="str">
        <x:v>Prune hard failures</x:v>
      </x:c>
      <x:c r="F21" s="18" t="str">
        <x:v>Pass actual recovery</x:v>
      </x:c>
      <x:c r="G21" s="18" t="str">
        <x:v>Process</x:v>
      </x:c>
      <x:c r="H21" s="2"/>
      <x:c r="I21" s="2"/>
      <x:c r="J21" s="2"/>
      <x:c r="K21" s="2"/>
      <x:c r="L21" s="2"/>
      <x:c r="M21" s="2"/>
      <x:c r="N21" s="2"/>
    </x:row>
    <x:row r="22" ht="53" customHeight="1">
      <x:c r="A22" s="18" t="str">
        <x:v>3</x:v>
      </x:c>
      <x:c r="B22" s="18" t="str">
        <x:v>equilibrate_feed</x:v>
      </x:c>
      <x:c r="C22" s="18" t="str">
        <x:v>Evaluate only necessary unique recoveries</x:v>
      </x:c>
      <x:c r="D22" s="18" t="str">
        <x:v>Identify controlling mineral and boundary</x:v>
      </x:c>
      <x:c r="E22" s="18" t="str">
        <x:v>Reuse duplicate recovery</x:v>
      </x:c>
      <x:c r="F22" s="18" t="str">
        <x:v>Form joint decision</x:v>
      </x:c>
      <x:c r="G22" s="18" t="str">
        <x:v>Chemistry</x:v>
      </x:c>
      <x:c r="H22" s="2"/>
      <x:c r="I22" s="2"/>
      <x:c r="J22" s="2"/>
      <x:c r="K22" s="2"/>
      <x:c r="L22" s="2"/>
      <x:c r="M22" s="2"/>
      <x:c r="N22" s="2"/>
    </x:row>
    <x:row r="23" ht="53" customHeight="1">
      <x:c r="A23" s="18" t="str">
        <x:v>4</x:v>
      </x:c>
      <x:c r="B23" s="18" t="str">
        <x:v>Boundary check</x:v>
      </x:c>
      <x:c r="C23" s="18" t="str">
        <x:v>Compare adjacent fail/pass</x:v>
      </x:c>
      <x:c r="D23" s="18" t="str">
        <x:v>Prove minimum/maximum/uniqueness</x:v>
      </x:c>
      <x:c r="E23" s="18" t="str">
        <x:v>Stop low-value calls</x:v>
      </x:c>
      <x:c r="F23" s="18" t="str">
        <x:v>Engineering conversion</x:v>
      </x:c>
      <x:c r="G23" s="18" t="str">
        <x:v>Convergence</x:v>
      </x:c>
      <x:c r="H23" s="2"/>
      <x:c r="I23" s="2"/>
      <x:c r="J23" s="2"/>
      <x:c r="K23" s="2"/>
      <x:c r="L23" s="2"/>
      <x:c r="M23" s="2"/>
      <x:c r="N23" s="2"/>
    </x:row>
    <x:row r="24" ht="53" customHeight="1">
      <x:c r="A24" s="18" t="str">
        <x:v>5</x:v>
      </x:c>
      <x:c r="B24" s="18" t="str">
        <x:v>Stop</x:v>
      </x:c>
      <x:c r="C24" s="18" t="str">
        <x:v>Report limits and conclusion</x:v>
      </x:c>
      <x:c r="D24" s="18" t="str">
        <x:v>Evidence sufficient</x:v>
      </x:c>
      <x:c r="E24" s="18" t="str">
        <x:v>Do not extend grid</x:v>
      </x:c>
      <x:c r="F24" s="18" t="str">
        <x:v>Write Gold Answer</x:v>
      </x:c>
      <x:c r="G24" s="18" t="str">
        <x:v>Decision</x:v>
      </x:c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</x:sheetData>
  <x:mergeCells>
    <x:mergeCell ref="A1:G2"/>
    <x:mergeCell ref="A4:G6"/>
    <x:mergeCell ref="A18:G18"/>
  </x:mergeCells>
  <x:pageMargins left="0.7" right="0.7" top="0.75" bottom="0.75" header="0.3" footer="0.3"/>
</x:worksheet>
</file>