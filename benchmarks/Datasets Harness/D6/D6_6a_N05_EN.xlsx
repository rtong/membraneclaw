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8de6c0be0f45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ddc2ad904f9f41d5"/>
    <x:sheet xmlns:r="http://schemas.openxmlformats.org/officeDocument/2006/relationships" name="Gold_Answer_A" sheetId="2" r:id="R513b945638c4465f"/>
    <x:sheet xmlns:r="http://schemas.openxmlformats.org/officeDocument/2006/relationships" name="Trajectory_Rubric" sheetId="3" r:id="Rb0b865141204442c"/>
    <x:sheet xmlns:r="http://schemas.openxmlformats.org/officeDocument/2006/relationships" name="Tool_Efficiency" sheetId="4" r:id="Rf324afb828bc4e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6">
    <x:font>
      <x:sz val="11"/>
      <x:name val="Carlito"/>
    </x:font>
    <x:font>
      <x:sz val="10"/>
      <x:color rgb="FF24364B"/>
      <x:name val="Aptos"/>
    </x:font>
    <x:font>
      <x:b/>
      <x:sz val="18"/>
      <x:color rgb="FFFFFFFF"/>
      <x:name val="Aptos"/>
    </x:font>
    <x:font>
      <x:b/>
      <x:sz val="11"/>
      <x:color rgb="FFFFFFFF"/>
      <x:name val="Aptos"/>
    </x:font>
    <x:font>
      <x:b/>
      <x:sz val="10"/>
      <x:color rgb="FF24364B"/>
      <x:name val="Aptos"/>
    </x:font>
    <x:font>
      <x:b/>
      <x:sz val="10"/>
      <x:color rgb="FF244A76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244A7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3F6FA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4B183"/>
      </x:patternFill>
    </x:fill>
  </x:fills>
  <x:borders count="10">
    <x:border/>
    <x:border>
      <x:left style="thin">
        <x:color rgb="FFB4C7E7"/>
      </x:left>
      <x:top style="thin">
        <x:color rgb="FFB4C7E7"/>
      </x:top>
    </x:border>
    <x:border>
      <x:top style="thin">
        <x:color rgb="FFB4C7E7"/>
      </x:top>
    </x:border>
    <x:border>
      <x:right style="thin">
        <x:color rgb="FFB4C7E7"/>
      </x:right>
      <x:top style="thin">
        <x:color rgb="FFB4C7E7"/>
      </x:top>
    </x:border>
    <x:border>
      <x:left style="thin">
        <x:color rgb="FFB4C7E7"/>
      </x:left>
    </x:border>
    <x:border>
      <x:right style="thin">
        <x:color rgb="FFB4C7E7"/>
      </x:right>
    </x:border>
    <x:border>
      <x:left style="thin">
        <x:color rgb="FFB4C7E7"/>
      </x:left>
      <x:bottom style="thin">
        <x:color rgb="FFB4C7E7"/>
      </x:bottom>
    </x:border>
    <x:border>
      <x:bottom style="thin">
        <x:color rgb="FFB4C7E7"/>
      </x:bottom>
    </x:border>
    <x:border>
      <x:right style="thin">
        <x:color rgb="FFB4C7E7"/>
      </x:right>
      <x:bottom style="thin">
        <x:color rgb="FFB4C7E7"/>
      </x:bottom>
    </x:border>
    <x:border>
      <x:left style="thin">
        <x:color rgb="FFB4C7E7"/>
      </x:left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3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1" fillId="3" borderId="2" xfId="0" applyNumberFormat="1" applyFont="1" applyFill="1" applyBorder="1" applyAlignment="1">
      <x:alignment wrapText="1"/>
    </x:xf>
    <x:xf numFmtId="0" fontId="1" fillId="3" borderId="3" xfId="0" applyNumberFormat="1" applyFont="1" applyFill="1" applyBorder="1" applyAlignment="1">
      <x:alignment wrapText="1"/>
    </x:xf>
    <x:xf numFmtId="0" fontId="1" fillId="3" borderId="4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0" fontId="1" fillId="3" borderId="7" xfId="0" applyNumberFormat="1" applyFont="1" applyFill="1" applyBorder="1" applyAlignment="1">
      <x:alignment wrapText="1"/>
    </x:xf>
    <x:xf numFmtId="0" fontId="1" fillId="3" borderId="8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" xfId="0" applyNumberFormat="1" applyFont="1" applyFill="1" applyBorder="1" applyAlignment="1">
      <x:alignment vertical="top" wrapText="1"/>
    </x:xf>
    <x:xf numFmtId="0" fontId="1" fillId="3" borderId="3" xfId="0" applyNumberFormat="1" applyFont="1" applyFill="1" applyBorder="1" applyAlignment="1">
      <x:alignment vertical="top" wrapText="1"/>
    </x:xf>
    <x:xf numFmtId="0" fontId="1" fillId="3" borderId="4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5" xfId="0" applyNumberFormat="1" applyFont="1" applyFill="1" applyBorder="1" applyAlignment="1">
      <x:alignment vertical="top" wrapText="1"/>
    </x:xf>
    <x:xf numFmtId="0" fontId="1" fillId="3" borderId="6" xfId="0" applyNumberFormat="1" applyFont="1" applyFill="1" applyBorder="1" applyAlignment="1">
      <x:alignment vertical="top" wrapText="1"/>
    </x:xf>
    <x:xf numFmtId="0" fontId="1" fillId="3" borderId="7" xfId="0" applyNumberFormat="1" applyFont="1" applyFill="1" applyBorder="1" applyAlignment="1">
      <x:alignment vertical="top" wrapText="1"/>
    </x:xf>
    <x:xf numFmtId="0" fontId="1" fillId="3" borderId="8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1" fillId="5" borderId="1" xfId="0" applyNumberFormat="1" applyFont="1" applyFill="1" applyBorder="1"/>
    <x:xf numFmtId="0" fontId="1" fillId="5" borderId="2" xfId="0" applyNumberFormat="1" applyFont="1" applyFill="1" applyBorder="1"/>
    <x:xf numFmtId="0" fontId="1" fillId="5" borderId="3" xfId="0" applyNumberFormat="1" applyFont="1" applyFill="1" applyBorder="1"/>
    <x:xf numFmtId="0" fontId="1" fillId="5" borderId="4" xfId="0" applyNumberFormat="1" applyFont="1" applyFill="1" applyBorder="1"/>
    <x:xf numFmtId="0" fontId="1" fillId="5" borderId="5" xfId="0" applyNumberFormat="1" applyFont="1" applyFill="1" applyBorder="1"/>
    <x:xf numFmtId="0" fontId="1" fillId="5" borderId="6" xfId="0" applyNumberFormat="1" applyFont="1" applyFill="1" applyBorder="1"/>
    <x:xf numFmtId="0" fontId="1" fillId="5" borderId="7" xfId="0" applyNumberFormat="1" applyFont="1" applyFill="1" applyBorder="1"/>
    <x:xf numFmtId="0" fontId="1" fillId="5" borderId="8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2" xfId="0" applyNumberFormat="1" applyFont="1" applyFill="1" applyBorder="1" applyAlignment="1">
      <x:alignment wrapText="1"/>
    </x:xf>
    <x:xf numFmtId="0" fontId="1" fillId="5" borderId="3" xfId="0" applyNumberFormat="1" applyFont="1" applyFill="1" applyBorder="1" applyAlignment="1">
      <x:alignment wrapText="1"/>
    </x:xf>
    <x:xf numFmtId="0" fontId="1" fillId="5" borderId="4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5" xfId="0" applyNumberFormat="1" applyFont="1" applyFill="1" applyBorder="1" applyAlignment="1">
      <x:alignment wrapText="1"/>
    </x:xf>
    <x:xf numFmtId="0" fontId="1" fillId="5" borderId="6" xfId="0" applyNumberFormat="1" applyFont="1" applyFill="1" applyBorder="1" applyAlignment="1">
      <x:alignment wrapText="1"/>
    </x:xf>
    <x:xf numFmtId="0" fontId="1" fillId="5" borderId="7" xfId="0" applyNumberFormat="1" applyFont="1" applyFill="1" applyBorder="1" applyAlignment="1">
      <x:alignment wrapText="1"/>
    </x:xf>
    <x:xf numFmtId="0" fontId="1" fillId="5" borderId="8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vertical="top" wrapText="1"/>
    </x:xf>
    <x:xf numFmtId="0" fontId="1" fillId="5" borderId="2" xfId="0" applyNumberFormat="1" applyFont="1" applyFill="1" applyBorder="1" applyAlignment="1">
      <x:alignment vertical="top" wrapText="1"/>
    </x:xf>
    <x:xf numFmtId="0" fontId="1" fillId="5" borderId="3" xfId="0" applyNumberFormat="1" applyFont="1" applyFill="1" applyBorder="1" applyAlignment="1">
      <x:alignment vertical="top" wrapText="1"/>
    </x:xf>
    <x:xf numFmtId="0" fontId="1" fillId="5" borderId="4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1" fillId="5" borderId="5" xfId="0" applyNumberFormat="1" applyFont="1" applyFill="1" applyBorder="1" applyAlignment="1">
      <x:alignment vertical="top" wrapText="1"/>
    </x:xf>
    <x:xf numFmtId="0" fontId="1" fillId="5" borderId="6" xfId="0" applyNumberFormat="1" applyFont="1" applyFill="1" applyBorder="1" applyAlignment="1">
      <x:alignment vertical="top" wrapText="1"/>
    </x:xf>
    <x:xf numFmtId="0" fontId="1" fillId="5" borderId="7" xfId="0" applyNumberFormat="1" applyFont="1" applyFill="1" applyBorder="1" applyAlignment="1">
      <x:alignment vertical="top" wrapText="1"/>
    </x:xf>
    <x:xf numFmtId="0" fontId="1" fillId="5" borderId="8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" xfId="0" applyNumberFormat="1" applyFont="1" applyFill="1" applyBorder="1"/>
    <x:xf numFmtId="0" fontId="4" fillId="6" borderId="2" xfId="0" applyNumberFormat="1" applyFont="1" applyFill="1" applyBorder="1"/>
    <x:xf numFmtId="0" fontId="4" fillId="6" borderId="3" xfId="0" applyNumberFormat="1" applyFont="1" applyFill="1" applyBorder="1"/>
    <x:xf numFmtId="0" fontId="4" fillId="6" borderId="4" xfId="0" applyNumberFormat="1" applyFont="1" applyFill="1" applyBorder="1"/>
    <x:xf numFmtId="0" fontId="4" fillId="6" borderId="5" xfId="0" applyNumberFormat="1" applyFont="1" applyFill="1" applyBorder="1"/>
    <x:xf numFmtId="0" fontId="4" fillId="6" borderId="6" xfId="0" applyNumberFormat="1" applyFont="1" applyFill="1" applyBorder="1"/>
    <x:xf numFmtId="0" fontId="4" fillId="6" borderId="7" xfId="0" applyNumberFormat="1" applyFont="1" applyFill="1" applyBorder="1"/>
    <x:xf numFmtId="0" fontId="4" fillId="6" borderId="8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4" fillId="6" borderId="4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5" xfId="0" applyNumberFormat="1" applyFont="1" applyFill="1" applyBorder="1" applyAlignment="1">
      <x:alignment wrapText="1"/>
    </x:xf>
    <x:xf numFmtId="0" fontId="4" fillId="6" borderId="6" xfId="0" applyNumberFormat="1" applyFont="1" applyFill="1" applyBorder="1" applyAlignment="1">
      <x:alignment wrapText="1"/>
    </x:xf>
    <x:xf numFmtId="0" fontId="4" fillId="6" borderId="7" xfId="0" applyNumberFormat="1" applyFont="1" applyFill="1" applyBorder="1" applyAlignment="1">
      <x:alignment wrapText="1"/>
    </x:xf>
    <x:xf numFmtId="0" fontId="4" fillId="6" borderId="8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2" xfId="0" applyNumberFormat="1" applyFont="1" applyFill="1" applyBorder="1" applyAlignment="1">
      <x:alignment vertical="top" wrapText="1"/>
    </x:xf>
    <x:xf numFmtId="0" fontId="4" fillId="6" borderId="3" xfId="0" applyNumberFormat="1" applyFont="1" applyFill="1" applyBorder="1" applyAlignment="1">
      <x:alignment vertical="top" wrapText="1"/>
    </x:xf>
    <x:xf numFmtId="0" fontId="4" fillId="6" borderId="4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5" xfId="0" applyNumberFormat="1" applyFont="1" applyFill="1" applyBorder="1" applyAlignment="1">
      <x:alignment vertical="top" wrapText="1"/>
    </x:xf>
    <x:xf numFmtId="0" fontId="4" fillId="6" borderId="6" xfId="0" applyNumberFormat="1" applyFont="1" applyFill="1" applyBorder="1" applyAlignment="1">
      <x:alignment vertical="top" wrapText="1"/>
    </x:xf>
    <x:xf numFmtId="0" fontId="4" fillId="6" borderId="7" xfId="0" applyNumberFormat="1" applyFont="1" applyFill="1" applyBorder="1" applyAlignment="1">
      <x:alignment vertical="top" wrapText="1"/>
    </x:xf>
    <x:xf numFmtId="0" fontId="4" fillId="6" borderId="8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2" xfId="0" applyNumberFormat="1" applyFont="1" applyFill="1" applyBorder="1"/>
    <x:xf numFmtId="0" fontId="1" fillId="7" borderId="3" xfId="0" applyNumberFormat="1" applyFont="1" applyFill="1" applyBorder="1"/>
    <x:xf numFmtId="0" fontId="1" fillId="7" borderId="4" xfId="0" applyNumberFormat="1" applyFont="1" applyFill="1" applyBorder="1"/>
    <x:xf numFmtId="0" fontId="1" fillId="7" borderId="5" xfId="0" applyNumberFormat="1" applyFont="1" applyFill="1" applyBorder="1"/>
    <x:xf numFmtId="0" fontId="1" fillId="7" borderId="6" xfId="0" applyNumberFormat="1" applyFont="1" applyFill="1" applyBorder="1"/>
    <x:xf numFmtId="0" fontId="1" fillId="7" borderId="7" xfId="0" applyNumberFormat="1" applyFont="1" applyFill="1" applyBorder="1"/>
    <x:xf numFmtId="0" fontId="1" fillId="7" borderId="8" xfId="0" applyNumberFormat="1" applyFont="1" applyFill="1" applyBorder="1"/>
    <x:xf numFmtId="0" fontId="1" fillId="7" borderId="1" xfId="0" applyNumberFormat="1" applyFont="1" applyFill="1" applyBorder="1" applyAlignment="1">
      <x:alignment wrapText="1"/>
    </x:xf>
    <x:xf numFmtId="0" fontId="1" fillId="7" borderId="2" xfId="0" applyNumberFormat="1" applyFont="1" applyFill="1" applyBorder="1" applyAlignment="1">
      <x:alignment wrapText="1"/>
    </x:xf>
    <x:xf numFmtId="0" fontId="1" fillId="7" borderId="3" xfId="0" applyNumberFormat="1" applyFont="1" applyFill="1" applyBorder="1" applyAlignment="1">
      <x:alignment wrapText="1"/>
    </x:xf>
    <x:xf numFmtId="0" fontId="1" fillId="7" borderId="4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1" fillId="7" borderId="5" xfId="0" applyNumberFormat="1" applyFont="1" applyFill="1" applyBorder="1" applyAlignment="1">
      <x:alignment wrapText="1"/>
    </x:xf>
    <x:xf numFmtId="0" fontId="1" fillId="7" borderId="6" xfId="0" applyNumberFormat="1" applyFont="1" applyFill="1" applyBorder="1" applyAlignment="1">
      <x:alignment wrapText="1"/>
    </x:xf>
    <x:xf numFmtId="0" fontId="1" fillId="7" borderId="7" xfId="0" applyNumberFormat="1" applyFont="1" applyFill="1" applyBorder="1" applyAlignment="1">
      <x:alignment wrapText="1"/>
    </x:xf>
    <x:xf numFmtId="0" fontId="1" fillId="7" borderId="8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vertical="top" wrapText="1"/>
    </x:xf>
    <x:xf numFmtId="0" fontId="1" fillId="7" borderId="2" xfId="0" applyNumberFormat="1" applyFont="1" applyFill="1" applyBorder="1" applyAlignment="1">
      <x:alignment vertical="top" wrapText="1"/>
    </x:xf>
    <x:xf numFmtId="0" fontId="1" fillId="7" borderId="3" xfId="0" applyNumberFormat="1" applyFont="1" applyFill="1" applyBorder="1" applyAlignment="1">
      <x:alignment vertical="top" wrapText="1"/>
    </x:xf>
    <x:xf numFmtId="0" fontId="1" fillId="7" borderId="4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top" wrapText="1"/>
    </x:xf>
    <x:xf numFmtId="0" fontId="1" fillId="7" borderId="5" xfId="0" applyNumberFormat="1" applyFont="1" applyFill="1" applyBorder="1" applyAlignment="1">
      <x:alignment vertical="top" wrapText="1"/>
    </x:xf>
    <x:xf numFmtId="0" fontId="1" fillId="7" borderId="6" xfId="0" applyNumberFormat="1" applyFont="1" applyFill="1" applyBorder="1" applyAlignment="1">
      <x:alignment vertical="top" wrapText="1"/>
    </x:xf>
    <x:xf numFmtId="0" fontId="1" fillId="7" borderId="7" xfId="0" applyNumberFormat="1" applyFont="1" applyFill="1" applyBorder="1" applyAlignment="1">
      <x:alignment vertical="top" wrapText="1"/>
    </x:xf>
    <x:xf numFmtId="0" fontId="1" fillId="7" borderId="8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9" xfId="0" applyNumberFormat="1" applyFont="1" applyFill="1" applyBorder="1" applyAlignment="1">
      <x:alignment horizontal="center"/>
    </x:xf>
    <x:xf numFmtId="0" fontId="1" fillId="0" borderId="9" xfId="0" applyNumberFormat="1" applyFont="1" applyFill="1" applyBorder="1"/>
    <x:xf numFmtId="0" fontId="1" fillId="0" borderId="9" xfId="0" applyNumberFormat="1" applyFont="1" applyFill="1" applyBorder="1" applyAlignment="1">
      <x:alignment wrapText="1"/>
    </x:xf>
    <x:xf numFmtId="0" fontId="5" fillId="7" borderId="0" xfId="0" applyNumberFormat="1" applyFont="1" applyFill="1" applyBorder="1"/>
    <x:xf numFmtId="0" fontId="5" fillId="7" borderId="9" xfId="0" applyNumberFormat="1" applyFont="1" applyFill="1" applyBorder="1"/>
    <x:xf numFmtId="0" fontId="5" fillId="7" borderId="9" xfId="0" applyNumberFormat="1" applyFont="1" applyFill="1" applyBorder="1" applyAlignment="1">
      <x:alignment wrapText="1"/>
    </x:xf>
    <x:xf numFmtId="0" fontId="5" fillId="7" borderId="9" xfId="0" applyNumberFormat="1" applyFont="1" applyFill="1" applyBorder="1" applyAlignment="1">
      <x:alignment horizontal="center" wrapText="1"/>
    </x:xf>
    <x:xf numFmtId="0" fontId="5" fillId="7" borderId="9" xfId="0" applyNumberFormat="1" applyFont="1" applyFill="1" applyBorder="1" applyAlignment="1">
      <x:alignment horizontal="center" vertical="center" wrapText="1"/>
    </x:xf>
    <x:xf numFmtId="0" fontId="1" fillId="6" borderId="9" xfId="0" applyNumberFormat="1" applyFont="1" applyFill="1" applyBorder="1"/>
    <x:xf numFmtId="0" fontId="1" fillId="6" borderId="9" xfId="0" applyNumberFormat="1" applyFont="1" applyFill="1" applyBorder="1" applyAlignment="1">
      <x:alignment wrapText="1"/>
    </x:xf>
    <x:xf numFmtId="200" fontId="1" fillId="6" borderId="9" xfId="0" applyNumberFormat="1" applyFont="1" applyFill="1" applyBorder="1" applyAlignment="1">
      <x:alignment wrapText="1"/>
    </x:xf>
    <x:xf numFmtId="200" fontId="1" fillId="0" borderId="9" xfId="0" applyNumberFormat="1" applyFont="1" applyFill="1" applyBorder="1" applyAlignment="1">
      <x:alignment wrapText="1"/>
    </x:xf>
    <x:xf numFmtId="0" fontId="1" fillId="5" borderId="9" xfId="0" applyNumberFormat="1" applyFont="1" applyFill="1" applyBorder="1" applyAlignment="1">
      <x:alignment wrapText="1"/>
    </x:xf>
    <x:xf numFmtId="200" fontId="1" fillId="5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085fb796954e09" /><Relationship Type="http://schemas.openxmlformats.org/officeDocument/2006/relationships/theme" Target="/xl/theme/theme1.xml" Id="Rf7dc7c040a8548ca" /><Relationship Type="http://schemas.openxmlformats.org/officeDocument/2006/relationships/sharedStrings" Target="/xl/sharedStrings.xml" Id="R9d2be4884b104399" /><Relationship Type="http://schemas.openxmlformats.org/officeDocument/2006/relationships/worksheet" Target="/xl/worksheets/sheet1.xml" Id="Rddc2ad904f9f41d5" /><Relationship Type="http://schemas.openxmlformats.org/officeDocument/2006/relationships/worksheet" Target="/xl/worksheets/sheet2.xml" Id="R513b945638c4465f" /><Relationship Type="http://schemas.openxmlformats.org/officeDocument/2006/relationships/worksheet" Target="/xl/worksheets/sheet3.xml" Id="Rb0b865141204442c" /><Relationship Type="http://schemas.openxmlformats.org/officeDocument/2006/relationships/worksheet" Target="/xl/worksheets/sheet4.xml" Id="Rf324afb828bc4e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D6_6a-N05 | Joint selection of winter/summer pressure tiers and one year-round acid dose</x:v>
      </x:c>
      <x:c r="B1" s="6" t="str">
        <x:v>D6_6a-N05 | Joint selection of winter/summer pressure tiers and one year-round acid dose</x:v>
      </x:c>
      <x:c r="C1" s="6" t="str">
        <x:v>D6_6a-N05 | Joint selection of winter/summer pressure tiers and one year-round acid dose</x:v>
      </x:c>
      <x:c r="D1" s="6" t="str">
        <x:v>D6_6a-N05 | Joint selection of winter/summer pressure tiers and one year-round acid dose</x:v>
      </x:c>
      <x:c r="E1" s="6" t="str">
        <x:v>D6_6a-N05 | Joint selection of winter/summer pressure tiers and one year-round acid dose</x:v>
      </x:c>
      <x:c r="F1" s="6" t="str">
        <x:v>D6_6a-N05 | Joint selection of winter/summer pressure tiers and one year-round acid dose</x:v>
      </x:c>
      <x:c r="G1" s="6" t="str">
        <x:v>D6_6a-N05 | Joint selection of winter/summer pressure tiers and one year-round acid dose</x:v>
      </x:c>
      <x:c r="H1" s="6" t="str">
        <x:v>D6_6a-N05 | Joint selection of winter/summer pressure tiers and one year-round acid dose</x:v>
      </x:c>
      <x:c r="I1" s="6" t="str">
        <x:v>D6_6a-N05 | Joint selection of winter/summer pressure tiers and one year-round acid dose</x:v>
      </x:c>
      <x:c r="J1" s="6" t="str">
        <x:v>D6_6a-N05 | Joint selection of winter/summer pressure tiers and one year-round acid dose</x:v>
      </x:c>
      <x:c r="K1" s="6" t="str">
        <x:v>D6_6a-N05 | Joint selection of winter/summer pressure tiers and one year-round acid dose</x:v>
      </x:c>
      <x:c r="L1" s="6" t="str">
        <x:v>D6_6a-N05 | Joint selection of winter/summer pressure tiers and one year-round acid dose</x:v>
      </x:c>
      <x:c r="M1" s="6" t="str">
        <x:v>D6_6a-N05 | Joint selection of winter/summer pressure tiers and one year-round acid dose</x:v>
      </x:c>
      <x:c r="N1" s="6" t="str">
        <x:v>D6_6a-N05 | Joint selection of winter/summer pressure tiers and one year-round acid dose</x:v>
      </x:c>
    </x:row>
    <x:row r="2" ht="28" customHeight="1">
      <x:c r="A2" s="6" t="str">
        <x:v>D6_6a-N05 | Joint selection of winter/summer pressure tiers and one year-round acid dose</x:v>
      </x:c>
      <x:c r="B2" s="6" t="str">
        <x:v>D6_6a-N05 | Joint selection of winter/summer pressure tiers and one year-round acid dose</x:v>
      </x:c>
      <x:c r="C2" s="6" t="str">
        <x:v>D6_6a-N05 | Joint selection of winter/summer pressure tiers and one year-round acid dose</x:v>
      </x:c>
      <x:c r="D2" s="6" t="str">
        <x:v>D6_6a-N05 | Joint selection of winter/summer pressure tiers and one year-round acid dose</x:v>
      </x:c>
      <x:c r="E2" s="6" t="str">
        <x:v>D6_6a-N05 | Joint selection of winter/summer pressure tiers and one year-round acid dose</x:v>
      </x:c>
      <x:c r="F2" s="6" t="str">
        <x:v>D6_6a-N05 | Joint selection of winter/summer pressure tiers and one year-round acid dose</x:v>
      </x:c>
      <x:c r="G2" s="6" t="str">
        <x:v>D6_6a-N05 | Joint selection of winter/summer pressure tiers and one year-round acid dose</x:v>
      </x:c>
      <x:c r="H2" s="6" t="str">
        <x:v>D6_6a-N05 | Joint selection of winter/summer pressure tiers and one year-round acid dose</x:v>
      </x:c>
      <x:c r="I2" s="6" t="str">
        <x:v>D6_6a-N05 | Joint selection of winter/summer pressure tiers and one year-round acid dose</x:v>
      </x:c>
      <x:c r="J2" s="6" t="str">
        <x:v>D6_6a-N05 | Joint selection of winter/summer pressure tiers and one year-round acid dose</x:v>
      </x:c>
      <x:c r="K2" s="6" t="str">
        <x:v>D6_6a-N05 | Joint selection of winter/summer pressure tiers and one year-round acid dose</x:v>
      </x:c>
      <x:c r="L2" s="6" t="str">
        <x:v>D6_6a-N05 | Joint selection of winter/summer pressure tiers and one year-round acid dose</x:v>
      </x:c>
      <x:c r="M2" s="6" t="str">
        <x:v>D6_6a-N05 | Joint selection of winter/summer pressure tiers and one year-round acid dose</x:v>
      </x:c>
      <x:c r="N2" s="6" t="str">
        <x:v>D6_6a-N05 | Joint selection of winter/summer pressure tiers and one year-round acid dose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5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B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C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D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E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F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G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H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I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J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K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L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M4" s="26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N4" s="27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</x:row>
    <x:row r="5">
      <x:c r="A5" s="28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B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C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D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E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F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G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H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I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J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K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L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M5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N5" s="30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</x:row>
    <x:row r="6">
      <x:c r="A6" s="28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B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C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D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E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F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G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H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I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J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K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L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M6" s="29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N6" s="30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</x:row>
    <x:row r="7">
      <x:c r="A7" s="31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B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C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D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E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F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G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H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I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J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K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L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M7" s="32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  <x:c r="N7" s="33" t="str">
        <x:v>An SWRO plant may use different winter and summer pressures, while membrane area, PX configuration and the acid metering setpoint remain fixed year-round. Determine the minimum compliant pressure in each season, then use the two actual recoveries to find one common acid dose without over-dosing solely for the harsh season.</x:v>
      </x:c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36" t="str">
        <x:v>Engineering inputs and design boundary</x:v>
      </x:c>
      <x:c r="B9" s="36" t="str">
        <x:v>Engineering inputs and design boundary</x:v>
      </x:c>
      <x:c r="C9" s="36" t="str">
        <x:v>Engineering inputs and design boundary</x:v>
      </x:c>
      <x:c r="D9" s="36" t="str">
        <x:v>Engineering inputs and design boundary</x:v>
      </x:c>
      <x:c r="E9" s="36" t="str">
        <x:v>Engineering inputs and design boundary</x:v>
      </x:c>
      <x:c r="F9" s="36" t="str">
        <x:v>Engineering inputs and design boundary</x:v>
      </x:c>
      <x:c r="G9" s="1"/>
      <x:c r="H9" s="36" t="str">
        <x:v>Hard constraints and decision rule</x:v>
      </x:c>
      <x:c r="I9" s="36" t="str">
        <x:v>Hard constraints and decision rule</x:v>
      </x:c>
      <x:c r="J9" s="36" t="str">
        <x:v>Hard constraints and decision rule</x:v>
      </x:c>
      <x:c r="K9" s="36" t="str">
        <x:v>Hard constraints and decision rule</x:v>
      </x:c>
      <x:c r="L9" s="36" t="str">
        <x:v>Hard constraints and decision rule</x:v>
      </x:c>
      <x:c r="M9" s="36" t="str">
        <x:v>Hard constraints and decision rule</x:v>
      </x:c>
      <x:c r="N9" s="36" t="str">
        <x:v>Hard constraints and decision rule</x:v>
      </x:c>
    </x:row>
    <x:row r="10">
      <x:c r="A10" s="55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0" s="56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0" s="56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0" s="56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0" s="56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0" s="57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0" s="1"/>
      <x:c r="H10" s="83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0" s="84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0" s="84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0" s="84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0" s="84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0" s="84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0" s="85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1">
      <x:c r="A11" s="58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1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1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1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1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1" s="60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1" s="1"/>
      <x:c r="H11" s="86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1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1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1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1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1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1" s="88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2">
      <x:c r="A12" s="58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2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2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2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2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2" s="60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2" s="1"/>
      <x:c r="H12" s="86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2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2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2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2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2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2" s="88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3">
      <x:c r="A13" s="58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3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3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3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3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3" s="60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3" s="1"/>
      <x:c r="H13" s="86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3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3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3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3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3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3" s="88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4">
      <x:c r="A14" s="58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4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4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4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4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4" s="60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4" s="1"/>
      <x:c r="H14" s="86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4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4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4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4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4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4" s="88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5">
      <x:c r="A15" s="58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5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5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5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5" s="59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5" s="60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5" s="1"/>
      <x:c r="H15" s="86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5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5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5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5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5" s="87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5" s="88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6">
      <x:c r="A16" s="61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B16" s="62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C16" s="62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D16" s="62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E16" s="62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F16" s="63" t="str">
        <x:v>Module area 70 m², PX efficiency 95%, A=4.0×10⁻¹² m/s/Pa and B=3.0×10⁻⁸ m/s. Winter is 15°C and 36 g/kg with 62–70 bar; summer is 31°C and 40 g/kg with 66–74 bar. Build a reproducible pressure grid for each season.</x:v>
      </x:c>
      <x:c r="G16" s="1"/>
      <x:c r="H16" s="89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I16" s="90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J16" s="90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K16" s="90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L16" s="90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M16" s="90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  <x:c r="N16" s="91" t="str">
        <x:v>Each season must meet module water≥0.400 kg/s, NaCl≤350 mg/L, CP≤1.34; plant product≥0.043 m³/s and SEC≤3.00 kWh/m³. One common dose must keep both seasons at pH≥6.15 with all four SI≤0. Minimize seasonal pressures first, then the common dose.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</x:row>
    <x:row r="18">
      <x:c r="A18" s="36" t="str">
        <x:v>Engineering dependency</x:v>
      </x:c>
      <x:c r="B18" s="36" t="str">
        <x:v>Engineering dependency</x:v>
      </x:c>
      <x:c r="C18" s="36" t="str">
        <x:v>Engineering dependency</x:v>
      </x:c>
      <x:c r="D18" s="36" t="str">
        <x:v>Engineering dependency</x:v>
      </x:c>
      <x:c r="E18" s="36" t="str">
        <x:v>Engineering dependency</x:v>
      </x:c>
      <x:c r="F18" s="36" t="str">
        <x:v>Engineering dependency</x:v>
      </x:c>
      <x:c r="G18" s="1"/>
      <x:c r="H18" s="36" t="str">
        <x:v>Required engineering answer</x:v>
      </x:c>
      <x:c r="I18" s="36" t="str">
        <x:v>Required engineering answer</x:v>
      </x:c>
      <x:c r="J18" s="36" t="str">
        <x:v>Required engineering answer</x:v>
      </x:c>
      <x:c r="K18" s="36" t="str">
        <x:v>Required engineering answer</x:v>
      </x:c>
      <x:c r="L18" s="36" t="str">
        <x:v>Required engineering answer</x:v>
      </x:c>
      <x:c r="M18" s="36" t="str">
        <x:v>Required engineering answer</x:v>
      </x:c>
      <x:c r="N18" s="36" t="str">
        <x:v>Required engineering answer</x:v>
      </x:c>
    </x:row>
    <x:row r="19">
      <x:c r="A19" s="110" t="str">
        <x:v>Membrane performance and whole-plant performance must be evaluated for the same design identity. Only jointly feasible designs proceed to concentrate chemistry, whose recovery must inherit the actual membrane result.</x:v>
      </x:c>
      <x:c r="B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C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D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E19" s="111" t="str">
        <x:v>Membrane performance and whole-plant performance must be evaluated for the same design identity. Only jointly feasible designs proceed to concentrate chemistry, whose recovery must inherit the actual membrane result.</x:v>
      </x:c>
      <x:c r="F19" s="112" t="str">
        <x:v>Membrane performance and whole-plant performance must be evaluated for the same design identity. Only jointly feasible designs proceed to concentrate chemistry, whose recovery must inherit the actual membrane result.</x:v>
      </x:c>
      <x:c r="G19" s="1"/>
      <x:c r="H19" s="122" t="n">
        <x:v>1</x:v>
      </x:c>
      <x:c r="I19" s="124" t="str">
        <x:v>Define a reproducible discrete search within the stated bounds.</x:v>
      </x:c>
      <x:c r="J19" s="124" t="str">
        <x:v>Define a reproducible discrete search within the stated bounds.</x:v>
      </x:c>
      <x:c r="K19" s="124" t="str">
        <x:v>Define a reproducible discrete search within the stated bounds.</x:v>
      </x:c>
      <x:c r="L19" s="124" t="str">
        <x:v>Define a reproducible discrete search within the stated bounds.</x:v>
      </x:c>
      <x:c r="M19" s="124" t="str">
        <x:v>Define a reproducible discrete search within the stated bounds.</x:v>
      </x:c>
      <x:c r="N19" s="124" t="str">
        <x:v>Define a reproducible discrete search within the stated bounds.</x:v>
      </x:c>
    </x:row>
    <x:row r="20">
      <x:c r="A20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0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0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0" s="1"/>
      <x:c r="H20" s="122" t="n">
        <x:v>2</x:v>
      </x:c>
      <x:c r="I20" s="124" t="str">
        <x:v>Evaluate membrane and plant constraints without mixing design identities.</x:v>
      </x:c>
      <x:c r="J20" s="124" t="str">
        <x:v>Evaluate membrane and plant constraints without mixing design identities.</x:v>
      </x:c>
      <x:c r="K20" s="124" t="str">
        <x:v>Evaluate membrane and plant constraints without mixing design identities.</x:v>
      </x:c>
      <x:c r="L20" s="124" t="str">
        <x:v>Evaluate membrane and plant constraints without mixing design identities.</x:v>
      </x:c>
      <x:c r="M20" s="124" t="str">
        <x:v>Evaluate membrane and plant constraints without mixing design identities.</x:v>
      </x:c>
      <x:c r="N20" s="124" t="str">
        <x:v>Evaluate membrane and plant constraints without mixing design identities.</x:v>
      </x:c>
    </x:row>
    <x:row r="21">
      <x:c r="A21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1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1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1" s="1"/>
      <x:c r="H21" s="122" t="n">
        <x:v>3</x:v>
      </x:c>
      <x:c r="I21" s="124" t="str">
        <x:v>Transfer actual recovery into concentrate chemistry.</x:v>
      </x:c>
      <x:c r="J21" s="124" t="str">
        <x:v>Transfer actual recovery into concentrate chemistry.</x:v>
      </x:c>
      <x:c r="K21" s="124" t="str">
        <x:v>Transfer actual recovery into concentrate chemistry.</x:v>
      </x:c>
      <x:c r="L21" s="124" t="str">
        <x:v>Transfer actual recovery into concentrate chemistry.</x:v>
      </x:c>
      <x:c r="M21" s="124" t="str">
        <x:v>Transfer actual recovery into concentrate chemistry.</x:v>
      </x:c>
      <x:c r="N21" s="124" t="str">
        <x:v>Transfer actual recovery into concentrate chemistry.</x:v>
      </x:c>
    </x:row>
    <x:row r="22">
      <x:c r="A22" s="113" t="str">
        <x:v>Membrane performance and whole-plant performance must be evaluated for the same design identity. Only jointly feasible designs proceed to concentrate chemistry, whose recovery must inherit the actual membrane result.</x:v>
      </x:c>
      <x:c r="B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C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D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E22" s="114" t="str">
        <x:v>Membrane performance and whole-plant performance must be evaluated for the same design identity. Only jointly feasible designs proceed to concentrate chemistry, whose recovery must inherit the actual membrane result.</x:v>
      </x:c>
      <x:c r="F22" s="115" t="str">
        <x:v>Membrane performance and whole-plant performance must be evaluated for the same design identity. Only jointly feasible designs proceed to concentrate chemistry, whose recovery must inherit the actual membrane result.</x:v>
      </x:c>
      <x:c r="G22" s="1"/>
      <x:c r="H22" s="122" t="n">
        <x:v>4</x:v>
      </x:c>
      <x:c r="I22" s="124" t="str">
        <x:v>Show the controlling failure immediately outside the feasible boundary.</x:v>
      </x:c>
      <x:c r="J22" s="124" t="str">
        <x:v>Show the controlling failure immediately outside the feasible boundary.</x:v>
      </x:c>
      <x:c r="K22" s="124" t="str">
        <x:v>Show the controlling failure immediately outside the feasible boundary.</x:v>
      </x:c>
      <x:c r="L22" s="124" t="str">
        <x:v>Show the controlling failure immediately outside the feasible boundary.</x:v>
      </x:c>
      <x:c r="M22" s="124" t="str">
        <x:v>Show the controlling failure immediately outside the feasible boundary.</x:v>
      </x:c>
      <x:c r="N22" s="124" t="str">
        <x:v>Show the controlling failure immediately outside the feasible boundary.</x:v>
      </x:c>
    </x:row>
    <x:row r="23">
      <x:c r="A23" s="116" t="str">
        <x:v>Membrane performance and whole-plant performance must be evaluated for the same design identity. Only jointly feasible designs proceed to concentrate chemistry, whose recovery must inherit the actual membrane result.</x:v>
      </x:c>
      <x:c r="B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C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D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E23" s="117" t="str">
        <x:v>Membrane performance and whole-plant performance must be evaluated for the same design identity. Only jointly feasible designs proceed to concentrate chemistry, whose recovery must inherit the actual membrane result.</x:v>
      </x:c>
      <x:c r="F23" s="118" t="str">
        <x:v>Membrane performance and whole-plant performance must be evaluated for the same design identity. Only jointly feasible designs proceed to concentrate chemistry, whose recovery must inherit the actual membrane result.</x:v>
      </x:c>
      <x:c r="G23" s="1"/>
      <x:c r="H23" s="122" t="n">
        <x:v>5</x:v>
      </x:c>
      <x:c r="I23" s="124" t="str">
        <x:v>Report the final setting, decisive values and model limitations.</x:v>
      </x:c>
      <x:c r="J23" s="124" t="str">
        <x:v>Report the final setting, decisive values and model limitations.</x:v>
      </x:c>
      <x:c r="K23" s="124" t="str">
        <x:v>Report the final setting, decisive values and model limitations.</x:v>
      </x:c>
      <x:c r="L23" s="124" t="str">
        <x:v>Report the final setting, decisive values and model limitations.</x:v>
      </x:c>
      <x:c r="M23" s="124" t="str">
        <x:v>Report the final setting, decisive values and model limitations.</x:v>
      </x:c>
      <x:c r="N23" s="124" t="str">
        <x:v>Report the final setting, decisive values and model limitations.</x:v>
      </x:c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36" t="str">
        <x:v>Boundary note</x:v>
      </x:c>
      <x:c r="B25" s="36" t="str">
        <x:v>Boundary note</x:v>
      </x:c>
      <x:c r="C25" s="36" t="str">
        <x:v>Boundary note</x:v>
      </x:c>
      <x:c r="D25" s="36" t="str">
        <x:v>Boundary note</x:v>
      </x:c>
      <x:c r="E25" s="36" t="str">
        <x:v>Boundary note</x:v>
      </x:c>
      <x:c r="F25" s="36" t="str">
        <x:v>Boundary note</x:v>
      </x:c>
      <x:c r="G25" s="36" t="str">
        <x:v>Boundary note</x:v>
      </x:c>
      <x:c r="H25" s="36" t="str">
        <x:v>Boundary note</x:v>
      </x:c>
      <x:c r="I25" s="36" t="str">
        <x:v>Boundary note</x:v>
      </x:c>
      <x:c r="J25" s="36" t="str">
        <x:v>Boundary note</x:v>
      </x:c>
      <x:c r="K25" s="36" t="str">
        <x:v>Boundary note</x:v>
      </x:c>
      <x:c r="L25" s="36" t="str">
        <x:v>Boundary note</x:v>
      </x:c>
      <x:c r="M25" s="36" t="str">
        <x:v>Boundary note</x:v>
      </x:c>
      <x:c r="N25" s="36" t="str">
        <x:v>Boundary note</x:v>
      </x:c>
    </x:row>
    <x:row r="26">
      <x:c r="A26" s="25" t="str">
        <x:v>Do not substitute nominal recovery, mix outputs from different design packages, or average away a failed season/state. The answer must preserve engineering lineage from design identity to final chemistry verification.</x:v>
      </x:c>
      <x:c r="B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C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D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E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F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G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H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I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J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K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L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M26" s="26" t="str">
        <x:v>Do not substitute nominal recovery, mix outputs from different design packages, or average away a failed season/state. The answer must preserve engineering lineage from design identity to final chemistry verification.</x:v>
      </x:c>
      <x:c r="N26" s="27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7">
      <x:c r="A27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7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7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8">
      <x:c r="A28" s="28" t="str">
        <x:v>Do not substitute nominal recovery, mix outputs from different design packages, or average away a failed season/state. The answer must preserve engineering lineage from design identity to final chemistry verification.</x:v>
      </x:c>
      <x:c r="B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C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D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E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F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G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H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I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J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K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L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M28" s="29" t="str">
        <x:v>Do not substitute nominal recovery, mix outputs from different design packages, or average away a failed season/state. The answer must preserve engineering lineage from design identity to final chemistry verification.</x:v>
      </x:c>
      <x:c r="N28" s="30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29">
      <x:c r="A29" s="31" t="str">
        <x:v>Do not substitute nominal recovery, mix outputs from different design packages, or average away a failed season/state. The answer must preserve engineering lineage from design identity to final chemistry verification.</x:v>
      </x:c>
      <x:c r="B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C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D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E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F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G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H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I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J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K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L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M29" s="32" t="str">
        <x:v>Do not substitute nominal recovery, mix outputs from different design packages, or average away a failed season/state. The answer must preserve engineering lineage from design identity to final chemistry verification.</x:v>
      </x:c>
      <x:c r="N29" s="33" t="str">
        <x:v>Do not substitute nominal recovery, mix outputs from different design packages, or average away a failed season/state. The answer must preserve engineering lineage from design identity to final chemistry verification.</x:v>
      </x:c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7"/>
    <x:mergeCell ref="A9:F9"/>
    <x:mergeCell ref="H9:N9"/>
    <x:mergeCell ref="A10:F16"/>
    <x:mergeCell ref="H10:N16"/>
    <x:mergeCell ref="A18:F18"/>
    <x:mergeCell ref="A19:F23"/>
    <x:mergeCell ref="H18:N18"/>
    <x:mergeCell ref="I19:N19"/>
    <x:mergeCell ref="I20:N20"/>
    <x:mergeCell ref="I21:N21"/>
    <x:mergeCell ref="I22:N22"/>
    <x:mergeCell ref="I23:N23"/>
    <x:mergeCell ref="A25:N25"/>
    <x:mergeCell ref="A26:N2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Gold Answer | D6_6a-N05</x:v>
      </x:c>
      <x:c r="B1" s="6" t="str">
        <x:v>Gold Answer | D6_6a-N05</x:v>
      </x:c>
      <x:c r="C1" s="6" t="str">
        <x:v>Gold Answer | D6_6a-N05</x:v>
      </x:c>
      <x:c r="D1" s="6" t="str">
        <x:v>Gold Answer | D6_6a-N05</x:v>
      </x:c>
      <x:c r="E1" s="6" t="str">
        <x:v>Gold Answer | D6_6a-N05</x:v>
      </x:c>
      <x:c r="F1" s="6" t="str">
        <x:v>Gold Answer | D6_6a-N05</x:v>
      </x:c>
      <x:c r="G1" s="6" t="str">
        <x:v>Gold Answer | D6_6a-N05</x:v>
      </x:c>
      <x:c r="H1" s="6" t="str">
        <x:v>Gold Answer | D6_6a-N05</x:v>
      </x:c>
      <x:c r="I1" s="6" t="str">
        <x:v>Gold Answer | D6_6a-N05</x:v>
      </x:c>
      <x:c r="J1" s="6" t="str">
        <x:v>Gold Answer | D6_6a-N05</x:v>
      </x:c>
      <x:c r="K1" s="6" t="str">
        <x:v>Gold Answer | D6_6a-N05</x:v>
      </x:c>
      <x:c r="L1" s="6" t="str">
        <x:v>Gold Answer | D6_6a-N05</x:v>
      </x:c>
      <x:c r="M1" s="6" t="str">
        <x:v>Gold Answer | D6_6a-N05</x:v>
      </x:c>
      <x:c r="N1" s="6" t="str">
        <x:v>Gold Answer | D6_6a-N05</x:v>
      </x:c>
    </x:row>
    <x:row r="2" ht="28" customHeight="1">
      <x:c r="A2" s="6" t="str">
        <x:v>Gold Answer | D6_6a-N05</x:v>
      </x:c>
      <x:c r="B2" s="6" t="str">
        <x:v>Gold Answer | D6_6a-N05</x:v>
      </x:c>
      <x:c r="C2" s="6" t="str">
        <x:v>Gold Answer | D6_6a-N05</x:v>
      </x:c>
      <x:c r="D2" s="6" t="str">
        <x:v>Gold Answer | D6_6a-N05</x:v>
      </x:c>
      <x:c r="E2" s="6" t="str">
        <x:v>Gold Answer | D6_6a-N05</x:v>
      </x:c>
      <x:c r="F2" s="6" t="str">
        <x:v>Gold Answer | D6_6a-N05</x:v>
      </x:c>
      <x:c r="G2" s="6" t="str">
        <x:v>Gold Answer | D6_6a-N05</x:v>
      </x:c>
      <x:c r="H2" s="6" t="str">
        <x:v>Gold Answer | D6_6a-N05</x:v>
      </x:c>
      <x:c r="I2" s="6" t="str">
        <x:v>Gold Answer | D6_6a-N05</x:v>
      </x:c>
      <x:c r="J2" s="6" t="str">
        <x:v>Gold Answer | D6_6a-N05</x:v>
      </x:c>
      <x:c r="K2" s="6" t="str">
        <x:v>Gold Answer | D6_6a-N05</x:v>
      </x:c>
      <x:c r="L2" s="6" t="str">
        <x:v>Gold Answer | D6_6a-N05</x:v>
      </x:c>
      <x:c r="M2" s="6" t="str">
        <x:v>Gold Answer | D6_6a-N05</x:v>
      </x:c>
      <x:c r="N2" s="6" t="str">
        <x:v>Gold Answer | D6_6a-N05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83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B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C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D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E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F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G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H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I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J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K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4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4" s="85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5">
      <x:c r="A5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B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C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D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E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F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G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H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I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J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K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5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6">
      <x:c r="A6" s="89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B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C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D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E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F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G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H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I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J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K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6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6" s="91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36" t="str">
        <x:v>Parallel membrane + whole-plant join (key rows from 10 + 10 calls)</x:v>
      </x:c>
      <x:c r="B8" s="36" t="str">
        <x:v>Parallel membrane + whole-plant join (key rows from 10 + 10 calls)</x:v>
      </x:c>
      <x:c r="C8" s="36" t="str">
        <x:v>Parallel membrane + whole-plant join (key rows from 10 + 10 calls)</x:v>
      </x:c>
      <x:c r="D8" s="36" t="str">
        <x:v>Parallel membrane + whole-plant join (key rows from 10 + 10 calls)</x:v>
      </x:c>
      <x:c r="E8" s="36" t="str">
        <x:v>Parallel membrane + whole-plant join (key rows from 10 + 10 calls)</x:v>
      </x:c>
      <x:c r="F8" s="36" t="str">
        <x:v>Parallel membrane + whole-plant join (key rows from 10 + 10 calls)</x:v>
      </x:c>
      <x:c r="G8" s="36" t="str">
        <x:v>Parallel membrane + whole-plant join (key rows from 10 + 10 calls)</x:v>
      </x:c>
      <x:c r="H8" s="36" t="str">
        <x:v>Parallel membrane + whole-plant join (key rows from 10 + 10 calls)</x:v>
      </x:c>
      <x:c r="I8" s="36" t="str">
        <x:v>Parallel membrane + whole-plant join (key rows from 10 + 10 calls)</x:v>
      </x:c>
      <x:c r="J8" s="36" t="str">
        <x:v>Parallel membrane + whole-plant join (key rows from 10 + 10 calls)</x:v>
      </x:c>
      <x:c r="K8" s="36" t="str">
        <x:v>Joint-decision summary</x:v>
      </x:c>
      <x:c r="L8" s="36" t="str">
        <x:v>Joint-decision summary</x:v>
      </x:c>
      <x:c r="M8" s="36" t="str">
        <x:v>Joint-decision summary</x:v>
      </x:c>
      <x:c r="N8" s="36" t="str">
        <x:v>Joint-decision summary</x:v>
      </x:c>
    </x:row>
    <x:row r="9">
      <x:c r="A9" s="129" t="str">
        <x:v>ID</x:v>
      </x:c>
      <x:c r="B9" s="129" t="str">
        <x:v>Setting</x:v>
      </x:c>
      <x:c r="C9" s="129" t="str">
        <x:v>Water kg/s</x:v>
      </x:c>
      <x:c r="D9" s="129" t="str">
        <x:v>NaCl mg/L</x:v>
      </x:c>
      <x:c r="E9" s="129" t="str">
        <x:v>Recovery</x:v>
      </x:c>
      <x:c r="F9" s="129" t="str">
        <x:v>CP</x:v>
      </x:c>
      <x:c r="G9" s="129" t="str">
        <x:v>Plant m³/s</x:v>
      </x:c>
      <x:c r="H9" s="129" t="str">
        <x:v>SEC</x:v>
      </x:c>
      <x:c r="I9" s="129" t="str">
        <x:v>LCOW</x:v>
      </x:c>
      <x:c r="J9" s="129" t="str">
        <x:v>Status</x:v>
      </x:c>
      <x:c r="K9" s="83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9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9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9" s="85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0">
      <x:c r="A10" s="131" t="str">
        <x:v>W62</x:v>
      </x:c>
      <x:c r="B10" s="131" t="str">
        <x:v>Winter / 62 bar</x:v>
      </x:c>
      <x:c r="C10" s="132" t="n">
        <x:v>0.4061794</x:v>
      </x:c>
      <x:c r="D10" s="132" t="n">
        <x:v>295.298</x:v>
      </x:c>
      <x:c r="E10" s="132" t="n">
        <x:v>0.4173192</x:v>
      </x:c>
      <x:c r="F10" s="132" t="n">
        <x:v>1.302423</x:v>
      </x:c>
      <x:c r="G10" s="132" t="n">
        <x:v>0.0444529</x:v>
      </x:c>
      <x:c r="H10" s="132" t="n">
        <x:v>2.613432</x:v>
      </x:c>
      <x:c r="I10" s="132" t="n">
        <x:v>1.091622</x:v>
      </x:c>
      <x:c r="J10" s="131" t="str">
        <x:f>IF(AND(C10&gt;=0.4,D10&lt;=350,F10&lt;=1.34,G10&gt;=0.043,H10&lt;=3),"PASS","FAIL")</x:f>
        <x:v>PASS</x:v>
      </x:c>
      <x:c r="K10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0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0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0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1">
      <x:c r="A11" s="124" t="str">
        <x:v>W64</x:v>
      </x:c>
      <x:c r="B11" s="124" t="str">
        <x:v>Winter / 64 bar</x:v>
      </x:c>
      <x:c r="C11" s="133" t="n">
        <x:v>0.4254321</x:v>
      </x:c>
      <x:c r="D11" s="133" t="n">
        <x:v>289.6326</x:v>
      </x:c>
      <x:c r="E11" s="133" t="n">
        <x:v>0.4370993</x:v>
      </x:c>
      <x:c r="F11" s="133" t="n">
        <x:v>1.322744</x:v>
      </x:c>
      <x:c r="G11" s="133" t="n">
        <x:v>0.0462097</x:v>
      </x:c>
      <x:c r="H11" s="133" t="n">
        <x:v>2.675283</x:v>
      </x:c>
      <x:c r="I11" s="133" t="n">
        <x:v>1.068707</x:v>
      </x:c>
      <x:c r="J11" s="124" t="str">
        <x:f>IF(AND(C11&gt;=0.4,D11&lt;=350,F11&lt;=1.34,G11&gt;=0.043,H11&lt;=3),"PASS","FAIL")</x:f>
        <x:v>PASS</x:v>
      </x:c>
      <x:c r="K11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1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1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1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2">
      <x:c r="A12" s="124" t="str">
        <x:v>W66</x:v>
      </x:c>
      <x:c r="B12" s="124" t="str">
        <x:v>Winter / 66 bar</x:v>
      </x:c>
      <x:c r="C12" s="133" t="n">
        <x:v>0.4440126</x:v>
      </x:c>
      <x:c r="D12" s="133" t="n">
        <x:v>284.9819</x:v>
      </x:c>
      <x:c r="E12" s="133" t="n">
        <x:v>0.4561888</x:v>
      </x:c>
      <x:c r="F12" s="133" t="n">
        <x:v>1.343279</x:v>
      </x:c>
      <x:c r="G12" s="133" t="n">
        <x:v>0.0479043</x:v>
      </x:c>
      <x:c r="H12" s="133" t="n">
        <x:v>2.737639</x:v>
      </x:c>
      <x:c r="I12" s="133" t="n">
        <x:v>1.048843</x:v>
      </x:c>
      <x:c r="J12" s="124" t="str">
        <x:f>IF(AND(C12&gt;=0.4,D12&lt;=350,F12&lt;=1.34,G12&gt;=0.043,H12&lt;=3),"PASS","FAIL")</x:f>
        <x:v>FAIL</x:v>
      </x:c>
      <x:c r="K12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2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2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2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3">
      <x:c r="A13" s="124" t="str">
        <x:v>S68</x:v>
      </x:c>
      <x:c r="B13" s="124" t="str">
        <x:v>Summer / 68 bar</x:v>
      </x:c>
      <x:c r="C13" s="133" t="n">
        <x:v>0.3872472</x:v>
      </x:c>
      <x:c r="D13" s="133" t="n">
        <x:v>335.441</x:v>
      </x:c>
      <x:c r="E13" s="133" t="n">
        <x:v>0.3990486</x:v>
      </x:c>
      <x:c r="F13" s="133" t="n">
        <x:v>1.295409</x:v>
      </x:c>
      <x:c r="G13" s="133" t="n">
        <x:v>0.0426391</x:v>
      </x:c>
      <x:c r="H13" s="133" t="n">
        <x:v>2.846131</x:v>
      </x:c>
      <x:c r="I13" s="133" t="n">
        <x:v>1.14752</x:v>
      </x:c>
      <x:c r="J13" s="124" t="str">
        <x:f>IF(AND(C13&gt;=0.4,D13&lt;=350,F13&lt;=1.34,G13&gt;=0.043,H13&lt;=3),"PASS","FAIL")</x:f>
        <x:v>FAIL</x:v>
      </x:c>
      <x:c r="K13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3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3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3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4">
      <x:c r="A14" s="131" t="str">
        <x:v>S70</x:v>
      </x:c>
      <x:c r="B14" s="131" t="str">
        <x:v>Summer / 70 bar</x:v>
      </x:c>
      <x:c r="C14" s="132" t="n">
        <x:v>0.4051803</x:v>
      </x:c>
      <x:c r="D14" s="132" t="n">
        <x:v>328.44</x:v>
      </x:c>
      <x:c r="E14" s="132" t="n">
        <x:v>0.4175275</x:v>
      </x:c>
      <x:c r="F14" s="132" t="n">
        <x:v>1.31456</x:v>
      </x:c>
      <x:c r="G14" s="132" t="n">
        <x:v>0.0442578</x:v>
      </x:c>
      <x:c r="H14" s="132" t="n">
        <x:v>2.90782</x:v>
      </x:c>
      <x:c r="I14" s="132" t="n">
        <x:v>1.124569</x:v>
      </x:c>
      <x:c r="J14" s="131" t="str">
        <x:f>IF(AND(C14&gt;=0.4,D14&lt;=350,F14&lt;=1.34,G14&gt;=0.043,H14&lt;=3),"PASS","FAIL")</x:f>
        <x:v>PASS</x:v>
      </x:c>
      <x:c r="K14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4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4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4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5">
      <x:c r="A15" s="124" t="str">
        <x:v>S72</x:v>
      </x:c>
      <x:c r="B15" s="124" t="str">
        <x:v>Summer / 72 bar</x:v>
      </x:c>
      <x:c r="C15" s="133" t="n">
        <x:v>0.4225426</x:v>
      </x:c>
      <x:c r="D15" s="133" t="n">
        <x:v>322.538</x:v>
      </x:c>
      <x:c r="E15" s="133" t="n">
        <x:v>0.4354183</x:v>
      </x:c>
      <x:c r="F15" s="133" t="n">
        <x:v>1.33389</x:v>
      </x:c>
      <x:c r="G15" s="133" t="n">
        <x:v>0.0458234</x:v>
      </x:c>
      <x:c r="H15" s="133" t="n">
        <x:v>2.97003</x:v>
      </x:c>
      <x:c r="I15" s="133" t="n">
        <x:v>1.104533</x:v>
      </x:c>
      <x:c r="J15" s="124" t="str">
        <x:f>IF(AND(C15&gt;=0.4,D15&lt;=350,F15&lt;=1.34,G15&gt;=0.043,H15&lt;=3),"PASS","FAIL")</x:f>
        <x:v>PASS</x:v>
      </x:c>
      <x:c r="K15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5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5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6">
      <x:c r="A16" s="124" t="str">
        <x:v>S74</x:v>
      </x:c>
      <x:c r="B16" s="124" t="str">
        <x:v>Summer / 74 bar</x:v>
      </x:c>
      <x:c r="C16" s="133" t="n">
        <x:v>0.4393525</x:v>
      </x:c>
      <x:c r="D16" s="133" t="n">
        <x:v>317.5624</x:v>
      </x:c>
      <x:c r="E16" s="133" t="n">
        <x:v>0.4527399</x:v>
      </x:c>
      <x:c r="F16" s="133" t="n">
        <x:v>1.353398</x:v>
      </x:c>
      <x:c r="G16" s="133" t="n">
        <x:v>0.0473379</x:v>
      </x:c>
      <x:c r="H16" s="133" t="n">
        <x:v>3.03269</x:v>
      </x:c>
      <x:c r="I16" s="133" t="n">
        <x:v>1.087011</x:v>
      </x:c>
      <x:c r="J16" s="124" t="str">
        <x:f>IF(AND(C16&gt;=0.4,D16&lt;=350,F16&lt;=1.34,G16&gt;=0.043,H16&lt;=3),"PASS","FAIL")</x:f>
        <x:v>FAIL</x:v>
      </x:c>
      <x:c r="K16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6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6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6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  <x:c r="K17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7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7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7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8">
      <x:c r="A18" s="36" t="str">
        <x:v>Serial concentrate chemistry (actual recovery inherited)</x:v>
      </x:c>
      <x:c r="B18" s="36" t="str">
        <x:v>Serial concentrate chemistry (actual recovery inherited)</x:v>
      </x:c>
      <x:c r="C18" s="36" t="str">
        <x:v>Serial concentrate chemistry (actual recovery inherited)</x:v>
      </x:c>
      <x:c r="D18" s="36" t="str">
        <x:v>Serial concentrate chemistry (actual recovery inherited)</x:v>
      </x:c>
      <x:c r="E18" s="36" t="str">
        <x:v>Serial concentrate chemistry (actual recovery inherited)</x:v>
      </x:c>
      <x:c r="F18" s="36" t="str">
        <x:v>Serial concentrate chemistry (actual recovery inherited)</x:v>
      </x:c>
      <x:c r="G18" s="36" t="str">
        <x:v>Serial concentrate chemistry (actual recovery inherited)</x:v>
      </x:c>
      <x:c r="H18" s="36" t="str">
        <x:v>Serial concentrate chemistry (actual recovery inherited)</x:v>
      </x:c>
      <x:c r="I18" s="36" t="str">
        <x:v>Serial concentrate chemistry (actual recovery inherited)</x:v>
      </x:c>
      <x:c r="J18" s="36" t="str">
        <x:v>Serial concentrate chemistry (actual recovery inherited)</x:v>
      </x:c>
      <x:c r="K18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8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8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8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19">
      <x:c r="A19" s="129" t="str">
        <x:v>ID</x:v>
      </x:c>
      <x:c r="B19" s="129" t="str">
        <x:v>Parent</x:v>
      </x:c>
      <x:c r="C19" s="129" t="str">
        <x:v>Recovery</x:v>
      </x:c>
      <x:c r="D19" s="129" t="str">
        <x:v>HCl mol/s</x:v>
      </x:c>
      <x:c r="E19" s="129" t="str">
        <x:v>pH</x:v>
      </x:c>
      <x:c r="F19" s="129" t="str">
        <x:v>Calcite SI</x:v>
      </x:c>
      <x:c r="G19" s="129" t="str">
        <x:v>Dolomite SI</x:v>
      </x:c>
      <x:c r="H19" s="129" t="str">
        <x:v>Gypsum SI</x:v>
      </x:c>
      <x:c r="I19" s="129" t="str">
        <x:v>Anhydrite SI</x:v>
      </x:c>
      <x:c r="J19" s="129" t="str">
        <x:v>Status</x:v>
      </x:c>
      <x:c r="K19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19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19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19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20">
      <x:c r="A20" s="124" t="str">
        <x:v>W-D0.0003</x:v>
      </x:c>
      <x:c r="B20" s="124" t="str">
        <x:v>W62</x:v>
      </x:c>
      <x:c r="C20" s="133" t="n">
        <x:v>0.4173192</x:v>
      </x:c>
      <x:c r="D20" s="133" t="n">
        <x:v>0.0003</x:v>
      </x:c>
      <x:c r="E20" s="133" t="n">
        <x:v>6.5951</x:v>
      </x:c>
      <x:c r="F20" s="133" t="n">
        <x:v>-0.733</x:v>
      </x:c>
      <x:c r="G20" s="133" t="n">
        <x:v>-0.5185</x:v>
      </x:c>
      <x:c r="H20" s="133" t="n">
        <x:v>-0.4078</x:v>
      </x:c>
      <x:c r="I20" s="133" t="n">
        <x:v>-0.8564</x:v>
      </x:c>
      <x:c r="J20" s="124" t="str">
        <x:f>IF(AND(E20&gt;=6.15,F20&lt;=0,G20&lt;=0,H20&lt;=0,I20&lt;=0),"PASS","FAIL")</x:f>
        <x:v>PASS</x:v>
      </x:c>
      <x:c r="K20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20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20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20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21">
      <x:c r="A21" s="124" t="str">
        <x:v>W-D0.0006</x:v>
      </x:c>
      <x:c r="B21" s="124" t="str">
        <x:v>W62</x:v>
      </x:c>
      <x:c r="C21" s="133" t="n">
        <x:v>0.4173192</x:v>
      </x:c>
      <x:c r="D21" s="133" t="n">
        <x:v>0.0006</x:v>
      </x:c>
      <x:c r="E21" s="133" t="n">
        <x:v>6.3474</x:v>
      </x:c>
      <x:c r="F21" s="133" t="n">
        <x:v>-1.0601</x:v>
      </x:c>
      <x:c r="G21" s="133" t="n">
        <x:v>-1.1723</x:v>
      </x:c>
      <x:c r="H21" s="133" t="n">
        <x:v>-0.4078</x:v>
      </x:c>
      <x:c r="I21" s="133" t="n">
        <x:v>-0.8565</x:v>
      </x:c>
      <x:c r="J21" s="124" t="str">
        <x:f>IF(AND(E21&gt;=6.15,F21&lt;=0,G21&lt;=0,H21&lt;=0,I21&lt;=0),"PASS","FAIL")</x:f>
        <x:v>PASS</x:v>
      </x:c>
      <x:c r="K21" s="89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21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M21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N21" s="91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22">
      <x:c r="A22" s="124" t="str">
        <x:v>W-D0.0009</x:v>
      </x:c>
      <x:c r="B22" s="124" t="str">
        <x:v>W62</x:v>
      </x:c>
      <x:c r="C22" s="133" t="n">
        <x:v>0.4173192</x:v>
      </x:c>
      <x:c r="D22" s="133" t="n">
        <x:v>0.0009</x:v>
      </x:c>
      <x:c r="E22" s="133" t="n">
        <x:v>6.128</x:v>
      </x:c>
      <x:c r="F22" s="133" t="n">
        <x:v>-1.3777</x:v>
      </x:c>
      <x:c r="G22" s="133" t="n">
        <x:v>-1.807</x:v>
      </x:c>
      <x:c r="H22" s="133" t="n">
        <x:v>-0.4079</x:v>
      </x:c>
      <x:c r="I22" s="133" t="n">
        <x:v>-0.8565</x:v>
      </x:c>
      <x:c r="J22" s="124" t="str">
        <x:f>IF(AND(E22&gt;=6.15,F22&lt;=0,G22&lt;=0,H22&lt;=0,I22&lt;=0),"PASS","FAIL")</x:f>
        <x:v>FAIL</x:v>
      </x:c>
      <x:c r="K22" s="1"/>
      <x:c r="L22" s="1"/>
      <x:c r="M22" s="1"/>
      <x:c r="N22" s="1"/>
    </x:row>
    <x:row r="23">
      <x:c r="A23" s="124" t="str">
        <x:v>S-D0.0003</x:v>
      </x:c>
      <x:c r="B23" s="124" t="str">
        <x:v>S70</x:v>
      </x:c>
      <x:c r="C23" s="133" t="n">
        <x:v>0.4175275</x:v>
      </x:c>
      <x:c r="D23" s="133" t="n">
        <x:v>0.0003</x:v>
      </x:c>
      <x:c r="E23" s="133" t="n">
        <x:v>6.6078</x:v>
      </x:c>
      <x:c r="F23" s="133" t="n">
        <x:v>-0.3167</x:v>
      </x:c>
      <x:c r="G23" s="133" t="n">
        <x:v>0.4314</x:v>
      </x:c>
      <x:c r="H23" s="133" t="n">
        <x:v>-0.3799</x:v>
      </x:c>
      <x:c r="I23" s="133" t="n">
        <x:v>-0.6271</x:v>
      </x:c>
      <x:c r="J23" s="124" t="str">
        <x:f>IF(AND(E23&gt;=6.15,F23&lt;=0,G23&lt;=0,H23&lt;=0,I23&lt;=0),"PASS","FAIL")</x:f>
        <x:v>FAIL</x:v>
      </x:c>
      <x:c r="K23" s="1"/>
      <x:c r="L23" s="1"/>
      <x:c r="M23" s="1"/>
      <x:c r="N23" s="1"/>
    </x:row>
    <x:row r="24">
      <x:c r="A24" s="124" t="str">
        <x:v>S-D0.0006</x:v>
      </x:c>
      <x:c r="B24" s="124" t="str">
        <x:v>S70</x:v>
      </x:c>
      <x:c r="C24" s="133" t="n">
        <x:v>0.4175275</x:v>
      </x:c>
      <x:c r="D24" s="133" t="n">
        <x:v>0.0006</x:v>
      </x:c>
      <x:c r="E24" s="133" t="n">
        <x:v>6.3816</x:v>
      </x:c>
      <x:c r="F24" s="133" t="n">
        <x:v>-0.5996</x:v>
      </x:c>
      <x:c r="G24" s="133" t="n">
        <x:v>-0.1341</x:v>
      </x:c>
      <x:c r="H24" s="133" t="n">
        <x:v>-0.3799</x:v>
      </x:c>
      <x:c r="I24" s="133" t="n">
        <x:v>-0.6271</x:v>
      </x:c>
      <x:c r="J24" s="124" t="str">
        <x:f>IF(AND(E24&gt;=6.15,F24&lt;=0,G24&lt;=0,H24&lt;=0,I24&lt;=0),"PASS","FAIL")</x:f>
        <x:v>PASS</x:v>
      </x:c>
      <x:c r="K24" s="1"/>
      <x:c r="L24" s="1"/>
      <x:c r="M24" s="1"/>
      <x:c r="N24" s="1"/>
    </x:row>
    <x:row r="25">
      <x:c r="A25" s="124" t="str">
        <x:v>S-D0.0009</x:v>
      </x:c>
      <x:c r="B25" s="124" t="str">
        <x:v>S70</x:v>
      </x:c>
      <x:c r="C25" s="133" t="n">
        <x:v>0.4175275</x:v>
      </x:c>
      <x:c r="D25" s="133" t="n">
        <x:v>0.0009</x:v>
      </x:c>
      <x:c r="E25" s="133" t="n">
        <x:v>6.1928</x:v>
      </x:c>
      <x:c r="F25" s="133" t="n">
        <x:v>-0.855</x:v>
      </x:c>
      <x:c r="G25" s="133" t="n">
        <x:v>-0.6445</x:v>
      </x:c>
      <x:c r="H25" s="133" t="n">
        <x:v>-0.38</x:v>
      </x:c>
      <x:c r="I25" s="133" t="n">
        <x:v>-0.6272</x:v>
      </x:c>
      <x:c r="J25" s="124" t="str">
        <x:f>IF(AND(E25&gt;=6.15,F25&lt;=0,G25&lt;=0,H25&lt;=0,I25&lt;=0),"PASS","FAIL")</x:f>
        <x:v>PASS</x:v>
      </x:c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 t="str">
        <x:v>ID</x:v>
      </x:c>
      <x:c r="M26" s="1" t="str">
        <x:v>LCOW</x:v>
      </x:c>
      <x:c r="N26" s="1"/>
    </x:row>
    <x:row r="27">
      <x:c r="A27" s="36" t="str">
        <x:v>Engineering conversion / final KPI</x:v>
      </x:c>
      <x:c r="B27" s="36" t="str">
        <x:v>Engineering conversion / final KPI</x:v>
      </x:c>
      <x:c r="C27" s="36" t="str">
        <x:v>Engineering conversion / final KPI</x:v>
      </x:c>
      <x:c r="D27" s="36" t="str">
        <x:v>Engineering conversion / final KPI</x:v>
      </x:c>
      <x:c r="E27" s="36" t="str">
        <x:v>Engineering conversion / final KPI</x:v>
      </x:c>
      <x:c r="F27" s="36" t="str">
        <x:v>Engineering conversion / final KPI</x:v>
      </x:c>
      <x:c r="G27" s="1"/>
      <x:c r="H27" s="36" t="str">
        <x:v>Boundary evidence</x:v>
      </x:c>
      <x:c r="I27" s="36" t="str">
        <x:v>Boundary evidence</x:v>
      </x:c>
      <x:c r="J27" s="36" t="str">
        <x:v>Boundary evidence</x:v>
      </x:c>
      <x:c r="K27" s="36" t="str">
        <x:v>Boundary evidence</x:v>
      </x:c>
      <x:c r="L27" s="36"/>
      <x:c r="M27" s="36"/>
      <x:c r="N27" s="36" t="str">
        <x:v>Boundary evidence</x:v>
      </x:c>
    </x:row>
    <x:row r="28">
      <x:c r="A28" s="134" t="str">
        <x:v>Selected HCl mol/s</x:v>
      </x:c>
      <x:c r="B28" s="135" t="n">
        <x:v>0.0006</x:v>
      </x:c>
      <x:c r="C28" s="134" t="str"/>
      <x:c r="D28" s="1"/>
      <x:c r="E28" s="1"/>
      <x:c r="F28" s="1"/>
      <x:c r="G28" s="1"/>
      <x:c r="H28" s="83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I28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J28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K28" s="84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28" s="84"/>
      <x:c r="M28" s="84"/>
      <x:c r="N28" s="85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29">
      <x:c r="A29" s="134" t="str">
        <x:v>Pure HCl g/h</x:v>
      </x:c>
      <x:c r="B29" s="135" t="n">
        <x:f>B28*36.46*3600</x:f>
        <x:v>78.75359999999999</x:v>
      </x:c>
      <x:c r="C29" s="134" t="str"/>
      <x:c r="D29" s="1"/>
      <x:c r="E29" s="1"/>
      <x:c r="F29" s="1"/>
      <x:c r="G29" s="1"/>
      <x:c r="H29" s="86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I29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J29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K29" s="87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29" s="87"/>
      <x:c r="M29" s="87"/>
      <x:c r="N29" s="88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30">
      <x:c r="A30" s="134" t="str">
        <x:v>31 wt% HCl L/h</x:v>
      </x:c>
      <x:c r="B30" s="135" t="n">
        <x:f>B29/(31%*1150)</x:f>
        <x:v>0.22090771388499297</x:v>
      </x:c>
      <x:c r="C30" s="134" t="str"/>
      <x:c r="D30" s="1"/>
      <x:c r="E30" s="1"/>
      <x:c r="F30" s="1"/>
      <x:c r="G30" s="1"/>
      <x:c r="H30" s="89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I30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J30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K30" s="90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  <x:c r="L30" s="90"/>
      <x:c r="M30" s="90"/>
      <x:c r="N30" s="91" t="str">
        <x:v>Recommend 62 bar in winter, 70 bar in summer and one 0.0006 mol/s HCl setpoint. Winter module water is 0.40618 kg/s and plant product 0.04445 m³/s; summer values are 0.40518 kg/s and 0.04426 m³/s. At 0.0003 mol/s summer Dolomite SI=+0.4314; at 0.0006 mol/s both seasons pass.</x:v>
      </x:c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36" t="str">
        <x:v>Model scope and audit note</x:v>
      </x:c>
      <x:c r="B32" s="36" t="str">
        <x:v>Model scope and audit note</x:v>
      </x:c>
      <x:c r="C32" s="36" t="str">
        <x:v>Model scope and audit note</x:v>
      </x:c>
      <x:c r="D32" s="36" t="str">
        <x:v>Model scope and audit note</x:v>
      </x:c>
      <x:c r="E32" s="36" t="str">
        <x:v>Model scope and audit note</x:v>
      </x:c>
      <x:c r="F32" s="36" t="str">
        <x:v>Model scope and audit note</x:v>
      </x:c>
      <x:c r="G32" s="36" t="str">
        <x:v>Model scope and audit note</x:v>
      </x:c>
      <x:c r="H32" s="36" t="str">
        <x:v>Model scope and audit note</x:v>
      </x:c>
      <x:c r="I32" s="36" t="str">
        <x:v>Model scope and audit note</x:v>
      </x:c>
      <x:c r="J32" s="36" t="str">
        <x:v>Model scope and audit note</x:v>
      </x:c>
      <x:c r="K32" s="36" t="str">
        <x:v>Model scope and audit note</x:v>
      </x:c>
      <x:c r="L32" s="36"/>
      <x:c r="M32" s="36"/>
      <x:c r="N32" s="36" t="str">
        <x:v>Model scope and audit note</x:v>
      </x:c>
    </x:row>
    <x:row r="33">
      <x:c r="A33" s="25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3" s="26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3" s="26"/>
      <x:c r="M33" s="26"/>
      <x:c r="N33" s="27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4">
      <x:c r="A34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4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4" s="29"/>
      <x:c r="M34" s="29"/>
      <x:c r="N34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5">
      <x:c r="A35" s="28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5" s="29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5" s="29"/>
      <x:c r="M35" s="29"/>
      <x:c r="N35" s="30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6">
      <x:c r="A36" s="31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B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C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D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E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F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G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H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I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J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K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L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M36" s="32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  <x:c r="N36" s="33" t="str">
        <x:v>All numeric rows are direct outputs from connected ROprocess tools. simulate_ro supplies membrane flow, salinity, CP and actual recovery; simulate_swro_system supplies plant product, SEC, CAPEX and LCOW; equilibrate_feed uses Pitzer activity corrections at inherited recovery. Osmotic pressures from different tools are not forced to match.</x:v>
      </x:c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A8:J8"/>
    <x:mergeCell ref="A18:J18"/>
    <x:mergeCell ref="A27:F27"/>
    <x:mergeCell ref="H27:N27"/>
    <x:mergeCell ref="H28:N30"/>
    <x:mergeCell ref="A32:N32"/>
    <x:mergeCell ref="A33:N36"/>
    <x:mergeCell ref="K8:N8"/>
    <x:mergeCell ref="K9:N2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D6_6a-N05 | Trajectory rubric (100 points)</x:v>
      </x:c>
      <x:c r="B1" s="6" t="str">
        <x:v>D6_6a-N05 | Trajectory rubric (100 points)</x:v>
      </x:c>
      <x:c r="C1" s="6" t="str">
        <x:v>D6_6a-N05 | Trajectory rubric (100 points)</x:v>
      </x:c>
      <x:c r="D1" s="6" t="str">
        <x:v>D6_6a-N05 | Trajectory rubric (100 points)</x:v>
      </x:c>
      <x:c r="E1" s="6" t="str">
        <x:v>D6_6a-N05 | Trajectory rubric (100 points)</x:v>
      </x:c>
      <x:c r="F1" s="6" t="str">
        <x:v>D6_6a-N05 | Trajectory rubric (100 points)</x:v>
      </x:c>
      <x:c r="G1" s="6" t="str">
        <x:v>D6_6a-N05 | Trajectory rubric (100 points)</x:v>
      </x:c>
      <x:c r="H1" s="6" t="str">
        <x:v>D6_6a-N05 | Trajectory rubric (100 points)</x:v>
      </x:c>
      <x:c r="I1" s="6" t="str">
        <x:v>D6_6a-N05 | Trajectory rubric (100 points)</x:v>
      </x:c>
      <x:c r="J1" s="6" t="str">
        <x:v>D6_6a-N05 | Trajectory rubric (100 points)</x:v>
      </x:c>
      <x:c r="K1" s="6" t="str">
        <x:v>D6_6a-N05 | Trajectory rubric (100 points)</x:v>
      </x:c>
      <x:c r="L1" s="6" t="str">
        <x:v>D6_6a-N05 | Trajectory rubric (100 points)</x:v>
      </x:c>
      <x:c r="M1" s="6" t="str">
        <x:v>D6_6a-N05 | Trajectory rubric (100 points)</x:v>
      </x:c>
      <x:c r="N1" s="6" t="str">
        <x:v>D6_6a-N05 | Trajectory rubric (100 points)</x:v>
      </x:c>
    </x:row>
    <x:row r="2" ht="28" customHeight="1">
      <x:c r="A2" s="6" t="str">
        <x:v>D6_6a-N05 | Trajectory rubric (100 points)</x:v>
      </x:c>
      <x:c r="B2" s="6" t="str">
        <x:v>D6_6a-N05 | Trajectory rubric (100 points)</x:v>
      </x:c>
      <x:c r="C2" s="6" t="str">
        <x:v>D6_6a-N05 | Trajectory rubric (100 points)</x:v>
      </x:c>
      <x:c r="D2" s="6" t="str">
        <x:v>D6_6a-N05 | Trajectory rubric (100 points)</x:v>
      </x:c>
      <x:c r="E2" s="6" t="str">
        <x:v>D6_6a-N05 | Trajectory rubric (100 points)</x:v>
      </x:c>
      <x:c r="F2" s="6" t="str">
        <x:v>D6_6a-N05 | Trajectory rubric (100 points)</x:v>
      </x:c>
      <x:c r="G2" s="6" t="str">
        <x:v>D6_6a-N05 | Trajectory rubric (100 points)</x:v>
      </x:c>
      <x:c r="H2" s="6" t="str">
        <x:v>D6_6a-N05 | Trajectory rubric (100 points)</x:v>
      </x:c>
      <x:c r="I2" s="6" t="str">
        <x:v>D6_6a-N05 | Trajectory rubric (100 points)</x:v>
      </x:c>
      <x:c r="J2" s="6" t="str">
        <x:v>D6_6a-N05 | Trajectory rubric (100 points)</x:v>
      </x:c>
      <x:c r="K2" s="6" t="str">
        <x:v>D6_6a-N05 | Trajectory rubric (100 points)</x:v>
      </x:c>
      <x:c r="L2" s="6" t="str">
        <x:v>D6_6a-N05 | Trajectory rubric (100 points)</x:v>
      </x:c>
      <x:c r="M2" s="6" t="str">
        <x:v>D6_6a-N05 | Trajectory rubric (100 points)</x:v>
      </x:c>
      <x:c r="N2" s="6" t="str">
        <x:v>D6_6a-N05 | Trajectory rubric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Score the complete fork-join-serial trajectory. A plausible final number without aligned candidate identities and inherited recovery is not sufficient.</x:v>
      </x:c>
      <x:c r="B4" s="29" t="str">
        <x:v>Score the complete fork-join-serial trajectory. A plausible final number without aligned candidate identities and inherited recovery is not sufficient.</x:v>
      </x:c>
      <x:c r="C4" s="29" t="str">
        <x:v>Score the complete fork-join-serial trajectory. A plausible final number without aligned candidate identities and inherited recovery is not sufficient.</x:v>
      </x:c>
      <x:c r="D4" s="29" t="str">
        <x:v>Score the complete fork-join-serial trajectory. A plausible final number without aligned candidate identities and inherited recovery is not sufficient.</x:v>
      </x:c>
      <x:c r="E4" s="29" t="str">
        <x:v>Score the complete fork-join-serial trajectory. A plausible final number without aligned candidate identities and inherited recovery is not sufficient.</x:v>
      </x:c>
      <x:c r="F4" s="29" t="str">
        <x:v>Score the complete fork-join-serial trajectory. A plausible final number without aligned candidate identities and inherited recovery is not sufficient.</x:v>
      </x:c>
      <x:c r="G4" s="29" t="str">
        <x:v>Score the complete fork-join-serial trajectory. A plausible final number without aligned candidate identities and inherited recovery is not sufficient.</x:v>
      </x:c>
      <x:c r="H4" s="29" t="str">
        <x:v>Score the complete fork-join-serial trajectory. A plausible final number without aligned candidate identities and inherited recovery is not sufficient.</x:v>
      </x:c>
      <x:c r="I4" s="29" t="str">
        <x:v>Score the complete fork-join-serial trajectory. A plausible final number without aligned candidate identities and inherited recovery is not sufficient.</x:v>
      </x:c>
      <x:c r="J4" s="29" t="str">
        <x:v>Score the complete fork-join-serial trajectory. A plausible final number without aligned candidate identities and inherited recovery is not sufficient.</x:v>
      </x:c>
      <x:c r="K4" s="29" t="str">
        <x:v>Score the complete fork-join-serial trajectory. A plausible final number without aligned candidate identities and inherited recovery is not sufficient.</x:v>
      </x:c>
      <x:c r="L4" s="29" t="str">
        <x:v>Score the complete fork-join-serial trajectory. A plausible final number without aligned candidate identities and inherited recovery is not sufficient.</x:v>
      </x:c>
      <x:c r="M4" s="29" t="str">
        <x:v>Score the complete fork-join-serial trajectory. A plausible final number without aligned candidate identities and inherited recovery is not sufficient.</x:v>
      </x:c>
      <x:c r="N4" s="29" t="str">
        <x:v>Score the complete fork-join-serial trajectory. A plausible final number without aligned candidate identities and inherited recovery is not sufficient.</x:v>
      </x:c>
    </x:row>
    <x:row r="5">
      <x:c r="A5" s="29" t="str">
        <x:v>Score the complete fork-join-serial trajectory. A plausible final number without aligned candidate identities and inherited recovery is not sufficient.</x:v>
      </x:c>
      <x:c r="B5" s="29" t="str">
        <x:v>Score the complete fork-join-serial trajectory. A plausible final number without aligned candidate identities and inherited recovery is not sufficient.</x:v>
      </x:c>
      <x:c r="C5" s="29" t="str">
        <x:v>Score the complete fork-join-serial trajectory. A plausible final number without aligned candidate identities and inherited recovery is not sufficient.</x:v>
      </x:c>
      <x:c r="D5" s="29" t="str">
        <x:v>Score the complete fork-join-serial trajectory. A plausible final number without aligned candidate identities and inherited recovery is not sufficient.</x:v>
      </x:c>
      <x:c r="E5" s="29" t="str">
        <x:v>Score the complete fork-join-serial trajectory. A plausible final number without aligned candidate identities and inherited recovery is not sufficient.</x:v>
      </x:c>
      <x:c r="F5" s="29" t="str">
        <x:v>Score the complete fork-join-serial trajectory. A plausible final number without aligned candidate identities and inherited recovery is not sufficient.</x:v>
      </x:c>
      <x:c r="G5" s="29" t="str">
        <x:v>Score the complete fork-join-serial trajectory. A plausible final number without aligned candidate identities and inherited recovery is not sufficient.</x:v>
      </x:c>
      <x:c r="H5" s="29" t="str">
        <x:v>Score the complete fork-join-serial trajectory. A plausible final number without aligned candidate identities and inherited recovery is not sufficient.</x:v>
      </x:c>
      <x:c r="I5" s="29" t="str">
        <x:v>Score the complete fork-join-serial trajectory. A plausible final number without aligned candidate identities and inherited recovery is not sufficient.</x:v>
      </x:c>
      <x:c r="J5" s="29" t="str">
        <x:v>Score the complete fork-join-serial trajectory. A plausible final number without aligned candidate identities and inherited recovery is not sufficient.</x:v>
      </x:c>
      <x:c r="K5" s="29" t="str">
        <x:v>Score the complete fork-join-serial trajectory. A plausible final number without aligned candidate identities and inherited recovery is not sufficient.</x:v>
      </x:c>
      <x:c r="L5" s="29" t="str">
        <x:v>Score the complete fork-join-serial trajectory. A plausible final number without aligned candidate identities and inherited recovery is not sufficient.</x:v>
      </x:c>
      <x:c r="M5" s="29" t="str">
        <x:v>Score the complete fork-join-serial trajectory. A plausible final number without aligned candidate identities and inherited recovery is not sufficient.</x:v>
      </x:c>
      <x:c r="N5" s="29" t="str">
        <x:v>Score the complete fork-join-serial trajectory. A plausible final number without aligned candidate identities and inherited recovery is not sufficient.</x:v>
      </x:c>
    </x:row>
    <x:row r="6">
      <x:c r="A6" s="29" t="str">
        <x:v>Score the complete fork-join-serial trajectory. A plausible final number without aligned candidate identities and inherited recovery is not sufficient.</x:v>
      </x:c>
      <x:c r="B6" s="29" t="str">
        <x:v>Score the complete fork-join-serial trajectory. A plausible final number without aligned candidate identities and inherited recovery is not sufficient.</x:v>
      </x:c>
      <x:c r="C6" s="29" t="str">
        <x:v>Score the complete fork-join-serial trajectory. A plausible final number without aligned candidate identities and inherited recovery is not sufficient.</x:v>
      </x:c>
      <x:c r="D6" s="29" t="str">
        <x:v>Score the complete fork-join-serial trajectory. A plausible final number without aligned candidate identities and inherited recovery is not sufficient.</x:v>
      </x:c>
      <x:c r="E6" s="29" t="str">
        <x:v>Score the complete fork-join-serial trajectory. A plausible final number without aligned candidate identities and inherited recovery is not sufficient.</x:v>
      </x:c>
      <x:c r="F6" s="29" t="str">
        <x:v>Score the complete fork-join-serial trajectory. A plausible final number without aligned candidate identities and inherited recovery is not sufficient.</x:v>
      </x:c>
      <x:c r="G6" s="29" t="str">
        <x:v>Score the complete fork-join-serial trajectory. A plausible final number without aligned candidate identities and inherited recovery is not sufficient.</x:v>
      </x:c>
      <x:c r="H6" s="29" t="str">
        <x:v>Score the complete fork-join-serial trajectory. A plausible final number without aligned candidate identities and inherited recovery is not sufficient.</x:v>
      </x:c>
      <x:c r="I6" s="29" t="str">
        <x:v>Score the complete fork-join-serial trajectory. A plausible final number without aligned candidate identities and inherited recovery is not sufficient.</x:v>
      </x:c>
      <x:c r="J6" s="29" t="str">
        <x:v>Score the complete fork-join-serial trajectory. A plausible final number without aligned candidate identities and inherited recovery is not sufficient.</x:v>
      </x:c>
      <x:c r="K6" s="29" t="str">
        <x:v>Score the complete fork-join-serial trajectory. A plausible final number without aligned candidate identities and inherited recovery is not sufficient.</x:v>
      </x:c>
      <x:c r="L6" s="29" t="str">
        <x:v>Score the complete fork-join-serial trajectory. A plausible final number without aligned candidate identities and inherited recovery is not sufficient.</x:v>
      </x:c>
      <x:c r="M6" s="29" t="str">
        <x:v>Score the complete fork-join-serial trajectory. A plausible final number without aligned candidate identities and inherited recovery is not sufficient.</x:v>
      </x:c>
      <x:c r="N6" s="29" t="str">
        <x:v>Score the complete fork-join-serial trajectory. A plausible final number without aligned candidate identities and inherited recovery is not sufficient.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Dimension</x:v>
      </x:c>
      <x:c r="B8" s="129" t="str">
        <x:v>Focus</x:v>
      </x:c>
      <x:c r="C8" s="129" t="str">
        <x:v>Full-credit evidence</x:v>
      </x:c>
      <x:c r="D8" s="129" t="str">
        <x:v>Partial</x:v>
      </x:c>
      <x:c r="E8" s="129" t="str">
        <x:v>Critical failure</x:v>
      </x:c>
      <x:c r="F8" s="129" t="str">
        <x:v>Weight</x:v>
      </x:c>
      <x:c r="G8" s="129" t="str"/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4" customHeight="1">
      <x:c r="A9" s="124" t="str">
        <x:v>TQ1 Formulation</x:v>
      </x:c>
      <x:c r="B9" s="124" t="str">
        <x:v>Common candidate identity</x:v>
      </x:c>
      <x:c r="C9" s="124" t="str">
        <x:v>Defines variables, units, constraints and objective.</x:v>
      </x:c>
      <x:c r="D9" s="124" t="str">
        <x:v>One secondary omission.</x:v>
      </x:c>
      <x:c r="E9" s="124" t="str">
        <x:v>Changes undeclared variables.</x:v>
      </x:c>
      <x:c r="F9" s="124" t="n">
        <x:v>15</x:v>
      </x:c>
      <x:c r="G9" s="124" t="str"/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4" customHeight="1">
      <x:c r="A10" s="124" t="str">
        <x:v>TQ2 Parallel membrane branch</x:v>
      </x:c>
      <x:c r="B10" s="124" t="str">
        <x:v>simulate_ro fidelity</x:v>
      </x:c>
      <x:c r="C10" s="124" t="str">
        <x:v>Runs the declared grid and applies all module constraints.</x:v>
      </x:c>
      <x:c r="D10" s="124" t="str">
        <x:v>Minor transcription error.</x:v>
      </x:c>
      <x:c r="E10" s="124" t="str">
        <x:v>Selects by water flow only.</x:v>
      </x:c>
      <x:c r="F10" s="124" t="n">
        <x:v>15</x:v>
      </x:c>
      <x:c r="G10" s="124" t="str"/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4" customHeight="1">
      <x:c r="A11" s="124" t="str">
        <x:v>TQ3 Parallel plant branch</x:v>
      </x:c>
      <x:c r="B11" s="124" t="str">
        <x:v>simulate_swro_system fidelity</x:v>
      </x:c>
      <x:c r="C11" s="124" t="str">
        <x:v>Uses matching design IDs and applies product/SEC/economic rules.</x:v>
      </x:c>
      <x:c r="D11" s="124" t="str">
        <x:v>One non-decisive omission.</x:v>
      </x:c>
      <x:c r="E11" s="124" t="str">
        <x:v>Mixes module and plant settings.</x:v>
      </x:c>
      <x:c r="F11" s="124" t="n">
        <x:v>15</x:v>
      </x:c>
      <x:c r="G11" s="124" t="str"/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4" customHeight="1">
      <x:c r="A12" s="124" t="str">
        <x:v>TQ4 Join logic</x:v>
      </x:c>
      <x:c r="B12" s="124" t="str">
        <x:v>Joint feasibility</x:v>
      </x:c>
      <x:c r="C12" s="124" t="str">
        <x:v>Intersects both branches before ranking.</x:v>
      </x:c>
      <x:c r="D12" s="124" t="str">
        <x:v>Weak adjacent-failure evidence.</x:v>
      </x:c>
      <x:c r="E12" s="124" t="str">
        <x:v>Ranks one branch independently.</x:v>
      </x:c>
      <x:c r="F12" s="124" t="n">
        <x:v>15</x:v>
      </x:c>
      <x:c r="G12" s="124" t="str"/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4" customHeight="1">
      <x:c r="A13" s="124" t="str">
        <x:v>TQ5 Serial chemistry</x:v>
      </x:c>
      <x:c r="B13" s="124" t="str">
        <x:v>Inherited recovery</x:v>
      </x:c>
      <x:c r="C13" s="124" t="str">
        <x:v>Transfers actual recovery and evaluates dose/state boundaries.</x:v>
      </x:c>
      <x:c r="D13" s="124" t="str">
        <x:v>Non-decisive rounding.</x:v>
      </x:c>
      <x:c r="E13" s="124" t="str">
        <x:v>Uses nominal recovery.</x:v>
      </x:c>
      <x:c r="F13" s="124" t="n">
        <x:v>20</x:v>
      </x:c>
      <x:c r="G13" s="124" t="str"/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4" customHeight="1">
      <x:c r="A14" s="124" t="str">
        <x:v>TQ6 Decision and scope</x:v>
      </x:c>
      <x:c r="B14" s="124" t="str">
        <x:v>Final recommendation</x:v>
      </x:c>
      <x:c r="C14" s="124" t="str">
        <x:v>Reports winner, controlling failure, conversion and model limits.</x:v>
      </x:c>
      <x:c r="D14" s="124" t="str">
        <x:v>Correct winner with weak audit.</x:v>
      </x:c>
      <x:c r="E14" s="124" t="str">
        <x:v>Unsupported certainty or wrong winner.</x:v>
      </x:c>
      <x:c r="F14" s="124" t="n">
        <x:v>20</x:v>
      </x:c>
      <x:c r="G14" s="124" t="str"/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Gold Answer anchors</x:v>
      </x:c>
      <x:c r="B16" s="36" t="str">
        <x:v>Gold Answer anchors</x:v>
      </x:c>
      <x:c r="C16" s="36" t="str">
        <x:v>Gold Answer anchors</x:v>
      </x:c>
      <x:c r="D16" s="36" t="str">
        <x:v>Gold Answer anchors</x:v>
      </x:c>
      <x:c r="E16" s="36" t="str">
        <x:v>Gold Answer anchors</x:v>
      </x:c>
      <x:c r="F16" s="36" t="str">
        <x:v>Gold Answer anchors</x:v>
      </x:c>
      <x:c r="G16" s="36" t="str">
        <x:v>Gold Answer anchors</x:v>
      </x:c>
      <x:c r="H16" s="36" t="str">
        <x:v>Gold Answer anchors</x:v>
      </x:c>
      <x:c r="I16" s="36" t="str">
        <x:v>Gold Answer anchors</x:v>
      </x:c>
      <x:c r="J16" s="36" t="str">
        <x:v>Gold Answer anchors</x:v>
      </x:c>
      <x:c r="K16" s="36" t="str">
        <x:v>Gold Answer anchors</x:v>
      </x:c>
      <x:c r="L16" s="36" t="str">
        <x:v>Gold Answer anchors</x:v>
      </x:c>
      <x:c r="M16" s="36" t="str">
        <x:v>Gold Answer anchors</x:v>
      </x:c>
      <x:c r="N16" s="36" t="str">
        <x:v>Gold Answer anchors</x:v>
      </x:c>
    </x:row>
    <x:row r="17">
      <x:c r="A17" s="124" t="str">
        <x:v>Theme</x:v>
      </x:c>
      <x:c r="B17" s="124" t="str">
        <x:v>Three-model joint decisions for membrane performance, plant energy/economics, and concentrate chemistry under multiple RO operating states</x:v>
      </x:c>
      <x:c r="C17" s="124" t="str"/>
      <x:c r="D17" s="124" t="str"/>
      <x:c r="E17" s="124" t="str"/>
      <x:c r="F17" s="124" t="str"/>
      <x:c r="G17" s="124" t="str"/>
      <x:c r="H17" s="124" t="str"/>
      <x:c r="I17" s="124" t="str"/>
      <x:c r="J17" s="124" t="str"/>
      <x:c r="K17" s="124" t="str"/>
      <x:c r="L17" s="124" t="str"/>
      <x:c r="M17" s="124" t="str"/>
      <x:c r="N17" s="124" t="str"/>
    </x:row>
    <x:row r="18">
      <x:c r="A18" s="124" t="str">
        <x:v>Final design</x:v>
      </x:c>
      <x:c r="B18" s="124" t="str">
        <x:v>W62 / S70</x:v>
      </x:c>
      <x:c r="C18" s="124" t="str"/>
      <x:c r="D18" s="124" t="str"/>
      <x:c r="E18" s="124" t="str"/>
      <x:c r="F18" s="124" t="str"/>
      <x:c r="G18" s="124" t="str"/>
      <x:c r="H18" s="124" t="str"/>
      <x:c r="I18" s="124" t="str"/>
      <x:c r="J18" s="124" t="str"/>
      <x:c r="K18" s="124" t="str"/>
      <x:c r="L18" s="124" t="str"/>
      <x:c r="M18" s="124" t="str"/>
      <x:c r="N18" s="124" t="str"/>
    </x:row>
    <x:row r="19">
      <x:c r="A19" s="124" t="str">
        <x:v>Final HCl mol/s</x:v>
      </x:c>
      <x:c r="B19" s="124" t="n">
        <x:v>0.0006</x:v>
      </x:c>
      <x:c r="C19" s="124" t="str"/>
      <x:c r="D19" s="124" t="str"/>
      <x:c r="E19" s="124" t="str"/>
      <x:c r="F19" s="124" t="str"/>
      <x:c r="G19" s="124" t="str"/>
      <x:c r="H19" s="124" t="str"/>
      <x:c r="I19" s="124" t="str"/>
      <x:c r="J19" s="124" t="str"/>
      <x:c r="K19" s="124" t="str"/>
      <x:c r="L19" s="124" t="str"/>
      <x:c r="M19" s="124" t="str"/>
      <x:c r="N19" s="124" t="str"/>
    </x:row>
    <x:row r="20">
      <x:c r="A20" s="124" t="str">
        <x:v>Parallel calls</x:v>
      </x:c>
      <x:c r="B20" s="124" t="str">
        <x:v>10 simulate_ro + 10 simulate_swro_system</x:v>
      </x:c>
      <x:c r="C20" s="124" t="str"/>
      <x:c r="D20" s="124" t="str"/>
      <x:c r="E20" s="124" t="str"/>
      <x:c r="F20" s="124" t="str"/>
      <x:c r="G20" s="124" t="str"/>
      <x:c r="H20" s="124" t="str"/>
      <x:c r="I20" s="124" t="str"/>
      <x:c r="J20" s="124" t="str"/>
      <x:c r="K20" s="124" t="str"/>
      <x:c r="L20" s="124" t="str"/>
      <x:c r="M20" s="124" t="str"/>
      <x:c r="N20" s="124" t="str"/>
    </x:row>
    <x:row r="21">
      <x:c r="A21" s="124" t="str">
        <x:v>Serial calls</x:v>
      </x:c>
      <x:c r="B21" s="124" t="str">
        <x:v>10 equilibrate_feed</x:v>
      </x:c>
      <x:c r="C21" s="124" t="str"/>
      <x:c r="D21" s="124" t="str"/>
      <x:c r="E21" s="124" t="str"/>
      <x:c r="F21" s="124" t="str"/>
      <x:c r="G21" s="124" t="str"/>
      <x:c r="H21" s="124" t="str"/>
      <x:c r="I21" s="124" t="str"/>
      <x:c r="J21" s="124" t="str"/>
      <x:c r="K21" s="124" t="str"/>
      <x:c r="L21" s="124" t="str"/>
      <x:c r="M21" s="124" t="str"/>
      <x:c r="N21" s="124" t="str"/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G8:N8"/>
    <x:mergeCell ref="G9:N9"/>
    <x:mergeCell ref="G10:N10"/>
    <x:mergeCell ref="G11:N11"/>
    <x:mergeCell ref="G12:N12"/>
    <x:mergeCell ref="G13:N13"/>
    <x:mergeCell ref="G14:N14"/>
    <x:mergeCell ref="A16:N16"/>
    <x:mergeCell ref="C17:N17"/>
    <x:mergeCell ref="C18:N18"/>
    <x:mergeCell ref="C19:N19"/>
    <x:mergeCell ref="C20:N20"/>
    <x:mergeCell ref="C21:N2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3" hidden="0" customWidth="1"/>
    <x:col min="12" max="12" width="13" hidden="0" customWidth="1"/>
    <x:col min="13" max="13" width="13" hidden="0" customWidth="1"/>
    <x:col min="14" max="14" width="13" hidden="0" customWidth="1"/>
  </x:cols>
  <x:sheetData>
    <x:row r="1" ht="28" customHeight="1">
      <x:c r="A1" s="6" t="str">
        <x:v>D6_6a-N05 | Tool efficiency (100 points)</x:v>
      </x:c>
      <x:c r="B1" s="6" t="str">
        <x:v>D6_6a-N05 | Tool efficiency (100 points)</x:v>
      </x:c>
      <x:c r="C1" s="6" t="str">
        <x:v>D6_6a-N05 | Tool efficiency (100 points)</x:v>
      </x:c>
      <x:c r="D1" s="6" t="str">
        <x:v>D6_6a-N05 | Tool efficiency (100 points)</x:v>
      </x:c>
      <x:c r="E1" s="6" t="str">
        <x:v>D6_6a-N05 | Tool efficiency (100 points)</x:v>
      </x:c>
      <x:c r="F1" s="6" t="str">
        <x:v>D6_6a-N05 | Tool efficiency (100 points)</x:v>
      </x:c>
      <x:c r="G1" s="6" t="str">
        <x:v>D6_6a-N05 | Tool efficiency (100 points)</x:v>
      </x:c>
      <x:c r="H1" s="6" t="str">
        <x:v>D6_6a-N05 | Tool efficiency (100 points)</x:v>
      </x:c>
      <x:c r="I1" s="6" t="str">
        <x:v>D6_6a-N05 | Tool efficiency (100 points)</x:v>
      </x:c>
      <x:c r="J1" s="6" t="str">
        <x:v>D6_6a-N05 | Tool efficiency (100 points)</x:v>
      </x:c>
      <x:c r="K1" s="6" t="str">
        <x:v>D6_6a-N05 | Tool efficiency (100 points)</x:v>
      </x:c>
      <x:c r="L1" s="6" t="str">
        <x:v>D6_6a-N05 | Tool efficiency (100 points)</x:v>
      </x:c>
      <x:c r="M1" s="6" t="str">
        <x:v>D6_6a-N05 | Tool efficiency (100 points)</x:v>
      </x:c>
      <x:c r="N1" s="6" t="str">
        <x:v>D6_6a-N05 | Tool efficiency (100 points)</x:v>
      </x:c>
    </x:row>
    <x:row r="2" ht="28" customHeight="1">
      <x:c r="A2" s="6" t="str">
        <x:v>D6_6a-N05 | Tool efficiency (100 points)</x:v>
      </x:c>
      <x:c r="B2" s="6" t="str">
        <x:v>D6_6a-N05 | Tool efficiency (100 points)</x:v>
      </x:c>
      <x:c r="C2" s="6" t="str">
        <x:v>D6_6a-N05 | Tool efficiency (100 points)</x:v>
      </x:c>
      <x:c r="D2" s="6" t="str">
        <x:v>D6_6a-N05 | Tool efficiency (100 points)</x:v>
      </x:c>
      <x:c r="E2" s="6" t="str">
        <x:v>D6_6a-N05 | Tool efficiency (100 points)</x:v>
      </x:c>
      <x:c r="F2" s="6" t="str">
        <x:v>D6_6a-N05 | Tool efficiency (100 points)</x:v>
      </x:c>
      <x:c r="G2" s="6" t="str">
        <x:v>D6_6a-N05 | Tool efficiency (100 points)</x:v>
      </x:c>
      <x:c r="H2" s="6" t="str">
        <x:v>D6_6a-N05 | Tool efficiency (100 points)</x:v>
      </x:c>
      <x:c r="I2" s="6" t="str">
        <x:v>D6_6a-N05 | Tool efficiency (100 points)</x:v>
      </x:c>
      <x:c r="J2" s="6" t="str">
        <x:v>D6_6a-N05 | Tool efficiency (100 points)</x:v>
      </x:c>
      <x:c r="K2" s="6" t="str">
        <x:v>D6_6a-N05 | Tool efficiency (100 points)</x:v>
      </x:c>
      <x:c r="L2" s="6" t="str">
        <x:v>D6_6a-N05 | Tool efficiency (100 points)</x:v>
      </x:c>
      <x:c r="M2" s="6" t="str">
        <x:v>D6_6a-N05 | Tool efficiency (100 points)</x:v>
      </x:c>
      <x:c r="N2" s="6" t="str">
        <x:v>D6_6a-N05 | Tool efficiency (100 points)</x:v>
      </x:c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4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4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5">
      <x:c r="A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5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5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6">
      <x:c r="A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B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C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D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E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F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G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H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I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J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K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L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M6" s="29" t="str">
        <x:v>Reference trajectory: 10 simulate_ro calls and 10 simulate_swro_system calls in parallel, followed by 10 equilibrate_feed calls on inherited recoveries. Efficiency means each call changes a feasibility boundary or ranking.</x:v>
      </x:c>
      <x:c r="N6" s="29" t="str">
        <x:v>Reference trajectory: 10 simulate_ro calls and 10 simulate_swro_system calls in parallel, followed by 10 equilibrate_feed calls on inherited recoveries. Efficiency means each call changes a feasibility boundary or ranking.</x:v>
      </x:c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29" t="str">
        <x:v>Stage</x:v>
      </x:c>
      <x:c r="B8" s="129" t="str">
        <x:v>Tool</x:v>
      </x:c>
      <x:c r="C8" s="129" t="str">
        <x:v>Calls</x:v>
      </x:c>
      <x:c r="D8" s="129" t="str">
        <x:v>Key input</x:v>
      </x:c>
      <x:c r="E8" s="129" t="str">
        <x:v>Key observation</x:v>
      </x:c>
      <x:c r="F8" s="129" t="str">
        <x:v>State update</x:v>
      </x:c>
      <x:c r="G8" s="129" t="str">
        <x:v>Next step</x:v>
      </x:c>
      <x:c r="H8" s="129" t="str"/>
      <x:c r="I8" s="129" t="str"/>
      <x:c r="J8" s="129" t="str"/>
      <x:c r="K8" s="129" t="str"/>
      <x:c r="L8" s="129" t="str"/>
      <x:c r="M8" s="129" t="str"/>
      <x:c r="N8" s="129" t="str"/>
    </x:row>
    <x:row r="9" ht="52" customHeight="1">
      <x:c r="A9" s="124" t="str">
        <x:v>1 Metadata</x:v>
      </x:c>
      <x:c r="B9" s="124" t="str">
        <x:v>describe_*</x:v>
      </x:c>
      <x:c r="C9" s="124" t="n">
        <x:v>0</x:v>
      </x:c>
      <x:c r="D9" s="124" t="str">
        <x:v>Units, species and valid parameter combinations</x:v>
      </x:c>
      <x:c r="E9" s="124" t="str">
        <x:v>Lock common candidate identity</x:v>
      </x:c>
      <x:c r="F9" s="124" t="str">
        <x:v>Create auditable search table</x:v>
      </x:c>
      <x:c r="G9" s="124" t="str">
        <x:v>Fork</x:v>
      </x:c>
      <x:c r="H9" s="124" t="str"/>
      <x:c r="I9" s="124" t="str"/>
      <x:c r="J9" s="124" t="str"/>
      <x:c r="K9" s="124" t="str"/>
      <x:c r="L9" s="124" t="str"/>
      <x:c r="M9" s="124" t="str"/>
      <x:c r="N9" s="124" t="str"/>
    </x:row>
    <x:row r="10" ht="52" customHeight="1">
      <x:c r="A10" s="124" t="str">
        <x:v>2A Parallel membrane</x:v>
      </x:c>
      <x:c r="B10" s="124" t="str">
        <x:v>simulate_ro</x:v>
      </x:c>
      <x:c r="C10" s="124" t="n">
        <x:v>10</x:v>
      </x:c>
      <x:c r="D10" s="124" t="str">
        <x:v>Pressure, area, A/B, temperature and salinity</x:v>
      </x:c>
      <x:c r="E10" s="124" t="str">
        <x:v>Water, NaCl, CP and actual recovery</x:v>
      </x:c>
      <x:c r="F10" s="124" t="str">
        <x:v>Mark membrane-feasible IDs</x:v>
      </x:c>
      <x:c r="G10" s="124" t="str">
        <x:v>Join</x:v>
      </x:c>
      <x:c r="H10" s="124" t="str"/>
      <x:c r="I10" s="124" t="str"/>
      <x:c r="J10" s="124" t="str"/>
      <x:c r="K10" s="124" t="str"/>
      <x:c r="L10" s="124" t="str"/>
      <x:c r="M10" s="124" t="str"/>
      <x:c r="N10" s="124" t="str"/>
    </x:row>
    <x:row r="11" ht="52" customHeight="1">
      <x:c r="A11" s="124" t="str">
        <x:v>2B Parallel plant</x:v>
      </x:c>
      <x:c r="B11" s="124" t="str">
        <x:v>simulate_swro_system</x:v>
      </x:c>
      <x:c r="C11" s="124" t="n">
        <x:v>10</x:v>
      </x:c>
      <x:c r="D11" s="124" t="str">
        <x:v>Same ID, plant area, ERD and pump settings</x:v>
      </x:c>
      <x:c r="E11" s="124" t="str">
        <x:v>Product, SEC, CAPEX and LCOW</x:v>
      </x:c>
      <x:c r="F11" s="124" t="str">
        <x:v>Mark plant-feasible IDs</x:v>
      </x:c>
      <x:c r="G11" s="124" t="str">
        <x:v>Join</x:v>
      </x:c>
      <x:c r="H11" s="124" t="str"/>
      <x:c r="I11" s="124" t="str"/>
      <x:c r="J11" s="124" t="str"/>
      <x:c r="K11" s="124" t="str"/>
      <x:c r="L11" s="124" t="str"/>
      <x:c r="M11" s="124" t="str"/>
      <x:c r="N11" s="124" t="str"/>
    </x:row>
    <x:row r="12" ht="52" customHeight="1">
      <x:c r="A12" s="124" t="str">
        <x:v>3 Join</x:v>
      </x:c>
      <x:c r="B12" s="124" t="str">
        <x:v>—</x:v>
      </x:c>
      <x:c r="C12" s="124" t="n">
        <x:v>0</x:v>
      </x:c>
      <x:c r="D12" s="124" t="str">
        <x:v>Two aligned branch tables</x:v>
      </x:c>
      <x:c r="E12" s="124" t="str">
        <x:v>Intersection and ranking boundary</x:v>
      </x:c>
      <x:c r="F12" s="124" t="str">
        <x:v>Create chemistry shortlist</x:v>
      </x:c>
      <x:c r="G12" s="124" t="str">
        <x:v>Transfer recovery</x:v>
      </x:c>
      <x:c r="H12" s="124" t="str"/>
      <x:c r="I12" s="124" t="str"/>
      <x:c r="J12" s="124" t="str"/>
      <x:c r="K12" s="124" t="str"/>
      <x:c r="L12" s="124" t="str"/>
      <x:c r="M12" s="124" t="str"/>
      <x:c r="N12" s="124" t="str"/>
    </x:row>
    <x:row r="13" ht="52" customHeight="1">
      <x:c r="A13" s="124" t="str">
        <x:v>4 Serial chemistry</x:v>
      </x:c>
      <x:c r="B13" s="124" t="str">
        <x:v>equilibrate_feed</x:v>
      </x:c>
      <x:c r="C13" s="124" t="n">
        <x:v>10</x:v>
      </x:c>
      <x:c r="D13" s="124" t="str">
        <x:v>Inherited recovery, ion analysis and dose/state</x:v>
      </x:c>
      <x:c r="E13" s="124" t="str">
        <x:v>pH and mineral SI</x:v>
      </x:c>
      <x:c r="F13" s="124" t="str">
        <x:v>Lock final feasible set</x:v>
      </x:c>
      <x:c r="G13" s="124" t="str">
        <x:v>Check adjacent failure</x:v>
      </x:c>
      <x:c r="H13" s="124" t="str"/>
      <x:c r="I13" s="124" t="str"/>
      <x:c r="J13" s="124" t="str"/>
      <x:c r="K13" s="124" t="str"/>
      <x:c r="L13" s="124" t="str"/>
      <x:c r="M13" s="124" t="str"/>
      <x:c r="N13" s="124" t="str"/>
    </x:row>
    <x:row r="14" ht="52" customHeight="1">
      <x:c r="A14" s="124" t="str">
        <x:v>5 Stop</x:v>
      </x:c>
      <x:c r="B14" s="124" t="str">
        <x:v>—</x:v>
      </x:c>
      <x:c r="C14" s="124" t="n">
        <x:v>0</x:v>
      </x:c>
      <x:c r="D14" s="124" t="str">
        <x:v>Winner plus decisive failure evidence</x:v>
      </x:c>
      <x:c r="E14" s="124" t="str">
        <x:v>No unresolved boundary</x:v>
      </x:c>
      <x:c r="F14" s="124" t="str">
        <x:v>Report recommendation and limits</x:v>
      </x:c>
      <x:c r="G14" s="124" t="str">
        <x:v>Stop</x:v>
      </x:c>
      <x:c r="H14" s="124" t="str"/>
      <x:c r="I14" s="124" t="str"/>
      <x:c r="J14" s="124" t="str"/>
      <x:c r="K14" s="124" t="str"/>
      <x:c r="L14" s="124" t="str"/>
      <x:c r="M14" s="124" t="str"/>
      <x:c r="N14" s="124" t="str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</x:row>
    <x:row r="16">
      <x:c r="A16" s="36" t="str">
        <x:v>Hybrid-trajectory audit</x:v>
      </x:c>
      <x:c r="B16" s="36" t="str">
        <x:v>Hybrid-trajectory audit</x:v>
      </x:c>
      <x:c r="C16" s="36" t="str">
        <x:v>Hybrid-trajectory audit</x:v>
      </x:c>
      <x:c r="D16" s="36" t="str">
        <x:v>Hybrid-trajectory audit</x:v>
      </x:c>
      <x:c r="E16" s="36" t="str">
        <x:v>Hybrid-trajectory audit</x:v>
      </x:c>
      <x:c r="F16" s="36" t="str">
        <x:v>Hybrid-trajectory audit</x:v>
      </x:c>
      <x:c r="G16" s="36" t="str">
        <x:v>Hybrid-trajectory audit</x:v>
      </x:c>
      <x:c r="H16" s="36" t="str">
        <x:v>Hybrid-trajectory audit</x:v>
      </x:c>
      <x:c r="I16" s="36" t="str">
        <x:v>Hybrid-trajectory audit</x:v>
      </x:c>
      <x:c r="J16" s="36" t="str">
        <x:v>Hybrid-trajectory audit</x:v>
      </x:c>
      <x:c r="K16" s="36" t="str">
        <x:v>Hybrid-trajectory audit</x:v>
      </x:c>
      <x:c r="L16" s="36" t="str">
        <x:v>Hybrid-trajectory audit</x:v>
      </x:c>
      <x:c r="M16" s="36" t="str">
        <x:v>Hybrid-trajectory audit</x:v>
      </x:c>
      <x:c r="N16" s="36" t="str">
        <x:v>Hybrid-trajectory audit</x:v>
      </x:c>
    </x:row>
    <x:row r="17">
      <x:c r="A17" s="83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7" s="84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7" s="85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8">
      <x:c r="A18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8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8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19">
      <x:c r="A19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19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19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0">
      <x:c r="A20" s="86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0" s="87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0" s="88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1">
      <x:c r="A21" s="89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B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C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D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E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F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G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H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I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J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K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L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M21" s="90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  <x:c r="N21" s="91" t="str">
        <x:v>Critical rule: both parallel branches must use the same design identity. Chemistry must inherit the exact actual recovery associated with that identity. Re-running chemistry with a rounded target recovery, or combining the membrane result of one package with the ERD/economics of another, breaks the trajectory even if the final recommendation happens to match.</x:v>
      </x:c>
    </x:row>
    <x:row r="22">
      <x:c r="A22" s="1"/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</x:row>
    <x:row r="23">
      <x:c r="A23" s="1"/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</x:row>
    <x:row r="24">
      <x:c r="A24" s="1"/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</x:row>
  </x:sheetData>
  <x:mergeCells>
    <x:mergeCell ref="A1:N2"/>
    <x:mergeCell ref="A4:N6"/>
    <x:mergeCell ref="H8:N8"/>
    <x:mergeCell ref="H9:N9"/>
    <x:mergeCell ref="H10:N10"/>
    <x:mergeCell ref="H11:N11"/>
    <x:mergeCell ref="H12:N12"/>
    <x:mergeCell ref="H13:N13"/>
    <x:mergeCell ref="H14:N14"/>
    <x:mergeCell ref="A16:N16"/>
    <x:mergeCell ref="A17:N21"/>
  </x:mergeCells>
  <x:pageMargins left="0.7" right="0.7" top="0.75" bottom="0.75" header="0.3" footer="0.3"/>
</x:worksheet>
</file>