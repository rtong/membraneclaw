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b06aac0b754c61" /></Relationships>
</file>

<file path=xl/workbook.xml><?xml version="1.0" encoding="utf-8"?>
<x:workbook xmlns:x="http://schemas.openxmlformats.org/spreadsheetml/2006/main">
  <x:sheets>
    <x:sheet xmlns:r="http://schemas.openxmlformats.org/officeDocument/2006/relationships" name="Question_Q" sheetId="1" r:id="Ra1bbf150757645a9"/>
    <x:sheet xmlns:r="http://schemas.openxmlformats.org/officeDocument/2006/relationships" name="Gold_Answer_A" sheetId="2" r:id="R300d2587dc514032"/>
    <x:sheet xmlns:r="http://schemas.openxmlformats.org/officeDocument/2006/relationships" name="Trajectory_Rubric" sheetId="3" r:id="R31fe59f24fe8427d"/>
    <x:sheet xmlns:r="http://schemas.openxmlformats.org/officeDocument/2006/relationships" name="Tool_Efficiency" sheetId="4" r:id="Rd03a33d96efb49a6"/>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0.00000"/>
    <x:numFmt numFmtId="202" formatCode="0.00E+00"/>
    <x:numFmt numFmtId="203" formatCode="0.00000000"/>
    <x:numFmt numFmtId="204" formatCode="0.00%"/>
  </x:numFmts>
  <x:fonts count="7">
    <x:font>
      <x:sz val="11"/>
      <x:name val="Carlito"/>
    </x:font>
    <x:font>
      <x:sz val="10"/>
      <x:color rgb="FF1F2937"/>
      <x:name val="Aptos"/>
    </x:font>
    <x:font>
      <x:b/>
      <x:sz val="17"/>
      <x:color rgb="FFFFFFFF"/>
      <x:name val="Aptos"/>
    </x:font>
    <x:font>
      <x:sz val="10"/>
      <x:color rgb="FF9C6500"/>
      <x:name val="Aptos"/>
    </x:font>
    <x:font>
      <x:b/>
      <x:sz val="10"/>
      <x:color rgb="FFFFFFFF"/>
      <x:name val="Aptos"/>
    </x:font>
    <x:font>
      <x:b/>
      <x:sz val="10"/>
      <x:color rgb="FF17365D"/>
      <x:name val="Aptos"/>
    </x:font>
    <x:font>
      <x:b/>
      <x:sz val="10"/>
      <x:color rgb="FF375623"/>
      <x:name val="Aptos"/>
    </x:font>
  </x:fonts>
  <x:fills count="7">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2F75B5"/>
      </x:patternFill>
    </x:fill>
    <x:fill>
      <x:patternFill patternType="solid">
        <x:fgColor rgb="FFD9EAF7"/>
      </x:patternFill>
    </x:fill>
    <x:fill>
      <x:patternFill patternType="solid">
        <x:fgColor rgb="FFE2F0D9"/>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3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1"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5" fillId="5" borderId="1" xfId="0" applyNumberFormat="1" applyFont="1" applyFill="1" applyBorder="1" applyAlignment="1">
      <x:alignment vertical="center"/>
    </x:xf>
    <x:xf numFmtId="0" fontId="5" fillId="5" borderId="1" xfId="0" applyNumberFormat="1" applyFont="1" applyFill="1" applyBorder="1" applyAlignment="1">
      <x:alignment vertical="center" wrapText="1"/>
    </x:xf>
    <x:xf numFmtId="0" fontId="5" fillId="5" borderId="1" xfId="0" applyNumberFormat="1" applyFont="1" applyFill="1" applyBorder="1" applyAlignment="1">
      <x:alignment horizontal="center" vertical="center" wrapText="1"/>
    </x:xf>
    <x:xf numFmtId="0" fontId="1" fillId="0" borderId="1" xfId="0" applyNumberFormat="1" applyFont="1" applyFill="1" applyBorder="1" applyAlignment="1">
      <x:alignment vertical="center"/>
    </x:xf>
    <x:xf numFmtId="0" fontId="1" fillId="0" borderId="1"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201" fontId="1" fillId="0" borderId="1" xfId="0" applyNumberFormat="1" applyFont="1" applyFill="1" applyBorder="1" applyAlignment="1">
      <x:alignment vertical="center" wrapText="1"/>
    </x:xf>
    <x:xf numFmtId="202" fontId="1" fillId="0" borderId="1" xfId="0" applyNumberFormat="1" applyFont="1" applyFill="1" applyBorder="1" applyAlignment="1">
      <x:alignment vertical="center" wrapText="1"/>
    </x:xf>
    <x:xf numFmtId="203" fontId="1" fillId="0" borderId="1" xfId="0" applyNumberFormat="1" applyFont="1" applyFill="1" applyBorder="1" applyAlignment="1">
      <x:alignment vertical="center" wrapText="1"/>
    </x:xf>
    <x:xf numFmtId="0" fontId="1" fillId="6" borderId="0" xfId="0" applyNumberFormat="1" applyFont="1" applyFill="1" applyBorder="1" applyAlignment="1">
      <x:alignment vertical="center"/>
    </x:xf>
    <x:xf numFmtId="0" fontId="6" fillId="6" borderId="0" xfId="0" applyNumberFormat="1" applyFont="1" applyFill="1" applyBorder="1" applyAlignment="1">
      <x:alignment vertical="center"/>
    </x:xf>
    <x:xf numFmtId="0" fontId="6" fillId="6" borderId="0" xfId="0" applyNumberFormat="1" applyFont="1" applyFill="1" applyBorder="1" applyAlignment="1">
      <x:alignment vertical="center" wrapText="1"/>
    </x:xf>
    <x:xf numFmtId="0" fontId="1" fillId="6" borderId="1" xfId="0" applyNumberFormat="1" applyFont="1" applyFill="1" applyBorder="1" applyAlignment="1">
      <x:alignment vertical="center" wrapText="1"/>
    </x:xf>
    <x:xf numFmtId="201" fontId="1" fillId="6" borderId="1" xfId="0" applyNumberFormat="1" applyFont="1" applyFill="1" applyBorder="1" applyAlignment="1">
      <x:alignment vertical="center" wrapText="1"/>
    </x:xf>
    <x:xf numFmtId="204" fontId="1" fillId="0" borderId="1" xfId="0" applyNumberFormat="1" applyFont="1" applyFill="1" applyBorder="1" applyAlignment="1">
      <x:alignment vertical="center" wrapText="1"/>
    </x:xf>
    <x:xf numFmtId="204" fontId="1" fillId="6"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0fe15a20c14ce0" /><Relationship Type="http://schemas.openxmlformats.org/officeDocument/2006/relationships/theme" Target="/xl/theme/theme1.xml" Id="Re6877eae2a174b85" /><Relationship Type="http://schemas.openxmlformats.org/officeDocument/2006/relationships/sharedStrings" Target="/xl/sharedStrings.xml" Id="R262bacfe429e46f0" /><Relationship Type="http://schemas.openxmlformats.org/officeDocument/2006/relationships/worksheet" Target="/xl/worksheets/sheet1.xml" Id="Ra1bbf150757645a9" /><Relationship Type="http://schemas.openxmlformats.org/officeDocument/2006/relationships/worksheet" Target="/xl/worksheets/sheet2.xml" Id="R300d2587dc514032" /><Relationship Type="http://schemas.openxmlformats.org/officeDocument/2006/relationships/worksheet" Target="/xl/worksheets/sheet3.xml" Id="R31fe59f24fe8427d" /><Relationship Type="http://schemas.openxmlformats.org/officeDocument/2006/relationships/worksheet" Target="/xl/worksheets/sheet4.xml" Id="Rd03a33d96efb49a6" /></Relationships>
</file>

<file path=xl/drawings/_rels/drawing1.xml.rels>&#65279;<?xml version="1.0" encoding="utf-8"?><Relationships xmlns="http://schemas.openxmlformats.org/package/2006/relationships"><Relationship Type="http://schemas.openxmlformats.org/officeDocument/2006/relationships/chart" Target="/xl/drawings/charts/chart1.xml" Id="Rc45648fe0670471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Production boundary by candidate</a:t>
            </a:r>
          </a:p>
        </c:rich>
      </c:tx>
      <c:overlay val="0"/>
    </c:title>
    <c:plotArea>
      <c:lineChart>
        <c:grouping val="standard"/>
        <c:varyColors val="0"/>
        <c:ser>
          <c:idx val="0"/>
          <c:order val="0"/>
          <c:tx>
            <c:v>Production</c:v>
          </c:tx>
          <c:marker>
            <c:symbol val="none"/>
          </c:marker>
          <c:cat>
            <c:strRef>
              <c:f>'Gold_Answer_A'!$J$10:$J$13</c:f>
              <c:strCache>
                <c:ptCount val="0"/>
              </c:strCache>
            </c:strRef>
          </c:cat>
          <c:val>
            <c:numRef>
              <c:f>'Gold_Answer_A'!$K$10:$K$13</c:f>
              <c:numCache>
                <c:formatCode>General</c:formatCode>
                <c:ptCount val="0"/>
              </c:numCache>
            </c:numRef>
          </c:val>
          <c:smooth val="0"/>
        </c:ser>
        <c:ser>
          <c:idx val="1"/>
          <c:order val="1"/>
          <c:tx>
            <c:v>Target</c:v>
          </c:tx>
          <c:marker>
            <c:symbol val="none"/>
          </c:marker>
          <c:cat>
            <c:strRef>
              <c:f>'Gold_Answer_A'!$J$10:$J$13</c:f>
              <c:strCache>
                <c:ptCount val="0"/>
              </c:strCache>
            </c:strRef>
          </c:cat>
          <c:val>
            <c:numRef>
              <c:f>'Gold_Answer_A'!$L$10:$L$13</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7</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45648fe0670471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46233b2313b94600" /></Relationships>
</file>

<file path=xl/worksheets/sheet1.xml><?xml version="1.0" encoding="utf-8"?>
<x:worksheet xmlns:x="http://schemas.openxmlformats.org/spreadsheetml/2006/main">
  <x:sheetViews>
    <x:sheetView showGridLines="0" workbookViewId="0"/>
  </x:sheetViews>
  <x:sheetFormatPr defaultRowHeight="15"/>
  <x:cols>
    <x:col min="1" max="1" width="19" hidden="0" customWidth="1"/>
    <x:col min="2" max="2" width="18" hidden="0" customWidth="1"/>
    <x:col min="3" max="3" width="18" hidden="0" customWidth="1"/>
    <x:col min="4" max="4" width="18" hidden="0" customWidth="1"/>
    <x:col min="5" max="5" width="18" hidden="0" customWidth="1"/>
    <x:col min="6" max="6" width="18" hidden="0" customWidth="1"/>
    <x:col min="7" max="7" width="3" hidden="0" customWidth="1"/>
    <x:col min="8" max="8" width="28" hidden="0" customWidth="1"/>
    <x:col min="9" max="9" width="24" hidden="0" customWidth="1"/>
    <x:col min="10" max="10" width="26" hidden="0" customWidth="1"/>
    <x:col min="11" max="11" width="22" hidden="0" customWidth="1"/>
    <x:col min="12" max="12" width="18" hidden="0" customWidth="1"/>
    <x:col min="13" max="13" width="18" hidden="0" customWidth="1"/>
    <x:col min="14" max="14" width="18" hidden="0" customWidth="1"/>
  </x:cols>
  <x:sheetData>
    <x:row r="1" ht="29" customHeight="1">
      <x:c r="A1" s="6" t="str">
        <x:v>N02｜Winter SWRO: Area–Salt-Passage Tradeoff and Selective Barium Removal</x:v>
      </x:c>
      <x:c r="B1" s="6" t="str">
        <x:v>N02｜Winter SWRO: Area–Salt-Passage Tradeoff and Selective Barium Removal</x:v>
      </x:c>
      <x:c r="C1" s="6" t="str">
        <x:v>N02｜Winter SWRO: Area–Salt-Passage Tradeoff and Selective Barium Removal</x:v>
      </x:c>
      <x:c r="D1" s="6" t="str">
        <x:v>N02｜Winter SWRO: Area–Salt-Passage Tradeoff and Selective Barium Removal</x:v>
      </x:c>
      <x:c r="E1" s="6" t="str">
        <x:v>N02｜Winter SWRO: Area–Salt-Passage Tradeoff and Selective Barium Removal</x:v>
      </x:c>
      <x:c r="F1" s="6" t="str">
        <x:v>N02｜Winter SWRO: Area–Salt-Passage Tradeoff and Selective Barium Removal</x:v>
      </x:c>
      <x:c r="G1" s="6" t="str">
        <x:v>N02｜Winter SWRO: Area–Salt-Passage Tradeoff and Selective Barium Removal</x:v>
      </x:c>
      <x:c r="H1" s="6" t="str">
        <x:v>N02｜Winter SWRO: Area–Salt-Passage Tradeoff and Selective Barium Removal</x:v>
      </x:c>
      <x:c r="I1" s="6" t="str">
        <x:v>N02｜Winter SWRO: Area–Salt-Passage Tradeoff and Selective Barium Removal</x:v>
      </x:c>
      <x:c r="J1" s="6" t="str">
        <x:v>N02｜Winter SWRO: Area–Salt-Passage Tradeoff and Selective Barium Removal</x:v>
      </x:c>
      <x:c r="K1" s="6" t="str">
        <x:v>N02｜Winter SWRO: Area–Salt-Passage Tradeoff and Selective Barium Removal</x:v>
      </x:c>
      <x:c r="L1" s="6" t="str">
        <x:v>N02｜Winter SWRO: Area–Salt-Passage Tradeoff and Selective Barium Removal</x:v>
      </x:c>
      <x:c r="M1" s="6" t="str">
        <x:v>N02｜Winter SWRO: Area–Salt-Passage Tradeoff and Selective Barium Removal</x:v>
      </x:c>
      <x:c r="N1" s="6" t="str">
        <x:v>N02｜Winter SWRO: Area–Salt-Passage Tradeoff and Selective Barium Removal</x:v>
      </x:c>
    </x:row>
    <x:row r="2" ht="29" customHeight="1">
      <x:c r="A2" s="6" t="str">
        <x:v>N02｜Winter SWRO: Area–Salt-Passage Tradeoff and Selective Barium Removal</x:v>
      </x:c>
      <x:c r="B2" s="6" t="str">
        <x:v>N02｜Winter SWRO: Area–Salt-Passage Tradeoff and Selective Barium Removal</x:v>
      </x:c>
      <x:c r="C2" s="6" t="str">
        <x:v>N02｜Winter SWRO: Area–Salt-Passage Tradeoff and Selective Barium Removal</x:v>
      </x:c>
      <x:c r="D2" s="6" t="str">
        <x:v>N02｜Winter SWRO: Area–Salt-Passage Tradeoff and Selective Barium Removal</x:v>
      </x:c>
      <x:c r="E2" s="6" t="str">
        <x:v>N02｜Winter SWRO: Area–Salt-Passage Tradeoff and Selective Barium Removal</x:v>
      </x:c>
      <x:c r="F2" s="6" t="str">
        <x:v>N02｜Winter SWRO: Area–Salt-Passage Tradeoff and Selective Barium Removal</x:v>
      </x:c>
      <x:c r="G2" s="6" t="str">
        <x:v>N02｜Winter SWRO: Area–Salt-Passage Tradeoff and Selective Barium Removal</x:v>
      </x:c>
      <x:c r="H2" s="6" t="str">
        <x:v>N02｜Winter SWRO: Area–Salt-Passage Tradeoff and Selective Barium Removal</x:v>
      </x:c>
      <x:c r="I2" s="6" t="str">
        <x:v>N02｜Winter SWRO: Area–Salt-Passage Tradeoff and Selective Barium Removal</x:v>
      </x:c>
      <x:c r="J2" s="6" t="str">
        <x:v>N02｜Winter SWRO: Area–Salt-Passage Tradeoff and Selective Barium Removal</x:v>
      </x:c>
      <x:c r="K2" s="6" t="str">
        <x:v>N02｜Winter SWRO: Area–Salt-Passage Tradeoff and Selective Barium Removal</x:v>
      </x:c>
      <x:c r="L2" s="6" t="str">
        <x:v>N02｜Winter SWRO: Area–Salt-Passage Tradeoff and Selective Barium Removal</x:v>
      </x:c>
      <x:c r="M2" s="6" t="str">
        <x:v>N02｜Winter SWRO: Area–Salt-Passage Tradeoff and Selective Barium Removal</x:v>
      </x:c>
      <x:c r="N2" s="6" t="str">
        <x:v>N02｜Winter SWRO: Area–Salt-Passage Tradeoff and Selective Barium Removal</x:v>
      </x:c>
    </x:row>
    <x:row r="3">
      <x:c r="A3" s="2"/>
      <x:c r="B3" s="2"/>
      <x:c r="C3" s="2"/>
      <x:c r="D3" s="2"/>
      <x:c r="E3" s="2"/>
      <x:c r="F3" s="2"/>
      <x:c r="G3" s="2"/>
      <x:c r="H3" s="2"/>
      <x:c r="I3" s="2"/>
      <x:c r="J3" s="2"/>
      <x:c r="K3" s="2"/>
      <x:c r="L3" s="2"/>
      <x:c r="M3" s="2"/>
      <x:c r="N3" s="2"/>
    </x:row>
    <x:row r="4" ht="32" customHeight="1">
      <x:c r="A4"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B4"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C4"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D4"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E4"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F4"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G4"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H4"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I4"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J4"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K4"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L4"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M4"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N4"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row>
    <x:row r="5" ht="32" customHeight="1">
      <x:c r="A5"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B5"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C5"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D5"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E5"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F5"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G5"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H5"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I5"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J5"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K5"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L5"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M5"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N5"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row>
    <x:row r="6" ht="32" customHeight="1">
      <x:c r="A6"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B6"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C6"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D6"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E6"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F6"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G6"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H6"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I6"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J6"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K6"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L6"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M6"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c r="N6" s="9" t="str">
        <x:v>A coastal-well SWRO feed falls to 12°C in winter and the membrane is mildly aged. Choose among stated pressure–area packages to achieve at least 0.430 kg/s permeate water and no more than 400 ppm NaCl. Extra area can lower average flux and worsen salt passage. At the selected recovery, determine the minimum selective Ba removal required for Barite control.</x:v>
      </x:c>
    </x:row>
    <x:row r="7">
      <x:c r="A7" s="2"/>
      <x:c r="B7" s="2"/>
      <x:c r="C7" s="2"/>
      <x:c r="D7" s="2"/>
      <x:c r="E7" s="2"/>
      <x:c r="F7" s="2"/>
      <x:c r="G7" s="2"/>
      <x:c r="H7" s="2"/>
      <x:c r="I7" s="2"/>
      <x:c r="J7" s="2"/>
      <x:c r="K7" s="2"/>
      <x:c r="L7" s="2"/>
      <x:c r="M7" s="2"/>
      <x:c r="N7" s="2"/>
    </x:row>
    <x:row r="8">
      <x:c r="A8" s="11" t="str">
        <x:v>RO / whole-plant model inputs</x:v>
      </x:c>
      <x:c r="B8" s="11" t="str">
        <x:v>RO / whole-plant model inputs</x:v>
      </x:c>
      <x:c r="C8" s="11" t="str">
        <x:v>RO / whole-plant model inputs</x:v>
      </x:c>
      <x:c r="D8" s="11" t="str">
        <x:v>RO / whole-plant model inputs</x:v>
      </x:c>
      <x:c r="E8" s="11" t="str">
        <x:v>RO / whole-plant model inputs</x:v>
      </x:c>
      <x:c r="F8" s="11" t="str">
        <x:v>RO / whole-plant model inputs</x:v>
      </x:c>
      <x:c r="G8" s="2"/>
      <x:c r="H8" s="11" t="str">
        <x:v>Candidate designs and hard constraints</x:v>
      </x:c>
      <x:c r="I8" s="11" t="str">
        <x:v>Candidate designs and hard constraints</x:v>
      </x:c>
      <x:c r="J8" s="11" t="str">
        <x:v>Candidate designs and hard constraints</x:v>
      </x:c>
      <x:c r="K8" s="11" t="str">
        <x:v>Candidate designs and hard constraints</x:v>
      </x:c>
      <x:c r="L8" s="11" t="str">
        <x:v>Candidate designs and hard constraints</x:v>
      </x:c>
      <x:c r="M8" s="11" t="str">
        <x:v>Candidate designs and hard constraints</x:v>
      </x:c>
      <x:c r="N8" s="11" t="str">
        <x:v>Candidate designs and hard constraints</x:v>
      </x:c>
    </x:row>
    <x:row r="9" ht="31" customHeight="1">
      <x:c r="A9" s="16" t="str">
        <x:v>Parameter</x:v>
      </x:c>
      <x:c r="B9" s="16" t="str">
        <x:v>Value</x:v>
      </x:c>
      <x:c r="C9" s="16" t="str">
        <x:v>Unit</x:v>
      </x:c>
      <x:c r="D9" s="2"/>
      <x:c r="E9" s="2"/>
      <x:c r="F9" s="2"/>
      <x:c r="G9" s="2"/>
      <x:c r="H9" s="18" t="str">
        <x:v>1. Packages: 60m²@65, 70m²@65, 80m²@62, 80m²@65 bar</x:v>
      </x:c>
      <x:c r="I9" s="18" t="str">
        <x:v>1. Packages: 60m²@65, 70m²@65, 80m²@62, 80m²@65 bar</x:v>
      </x:c>
      <x:c r="J9" s="18" t="str">
        <x:v>1. Packages: 60m²@65, 70m²@65, 80m²@62, 80m²@65 bar</x:v>
      </x:c>
      <x:c r="K9" s="18" t="str">
        <x:v>1. Packages: 60m²@65, 70m²@65, 80m²@62, 80m²@65 bar</x:v>
      </x:c>
      <x:c r="L9" s="18" t="str">
        <x:v>1. Packages: 60m²@65, 70m²@65, 80m²@62, 80m²@65 bar</x:v>
      </x:c>
      <x:c r="M9" s="18" t="str">
        <x:v>1. Packages: 60m²@65, 70m²@65, 80m²@62, 80m²@65 bar</x:v>
      </x:c>
      <x:c r="N9" s="18" t="str">
        <x:v>1. Packages: 60m²@65, 70m²@65, 80m²@62, 80m²@65 bar</x:v>
      </x:c>
    </x:row>
    <x:row r="10" ht="31" customHeight="1">
      <x:c r="A10" s="18" t="str">
        <x:v>Feed flow</x:v>
      </x:c>
      <x:c r="B10" s="19" t="n">
        <x:v>1</x:v>
      </x:c>
      <x:c r="C10" s="18" t="str">
        <x:v>kg/s</x:v>
      </x:c>
      <x:c r="D10" s="2"/>
      <x:c r="E10" s="2"/>
      <x:c r="F10" s="2"/>
      <x:c r="G10" s="2"/>
      <x:c r="H10" s="18" t="str">
        <x:v>2. Permeate water ≥0.430 kg/s; NaCl ≤400 ppm</x:v>
      </x:c>
      <x:c r="I10" s="18" t="str">
        <x:v>2. Permeate water ≥0.430 kg/s; NaCl ≤400 ppm</x:v>
      </x:c>
      <x:c r="J10" s="18" t="str">
        <x:v>2. Permeate water ≥0.430 kg/s; NaCl ≤400 ppm</x:v>
      </x:c>
      <x:c r="K10" s="18" t="str">
        <x:v>2. Permeate water ≥0.430 kg/s; NaCl ≤400 ppm</x:v>
      </x:c>
      <x:c r="L10" s="18" t="str">
        <x:v>2. Permeate water ≥0.430 kg/s; NaCl ≤400 ppm</x:v>
      </x:c>
      <x:c r="M10" s="18" t="str">
        <x:v>2. Permeate water ≥0.430 kg/s; NaCl ≤400 ppm</x:v>
      </x:c>
      <x:c r="N10" s="18" t="str">
        <x:v>2. Permeate water ≥0.430 kg/s; NaCl ≤400 ppm</x:v>
      </x:c>
    </x:row>
    <x:row r="11" ht="31" customHeight="1">
      <x:c r="A11" s="18" t="str">
        <x:v>NaCl mass fraction</x:v>
      </x:c>
      <x:c r="B11" s="20" t="n">
        <x:v>0.035</x:v>
      </x:c>
      <x:c r="C11" s="18" t="str">
        <x:v>kg/kg</x:v>
      </x:c>
      <x:c r="D11" s="2"/>
      <x:c r="E11" s="2"/>
      <x:c r="F11" s="2"/>
      <x:c r="G11" s="2"/>
      <x:c r="H11" s="18" t="str">
        <x:v>3. Ba removal: 0/99%/99.9%/99.99%</x:v>
      </x:c>
      <x:c r="I11" s="18" t="str">
        <x:v>3. Ba removal: 0/99%/99.9%/99.99%</x:v>
      </x:c>
      <x:c r="J11" s="18" t="str">
        <x:v>3. Ba removal: 0/99%/99.9%/99.99%</x:v>
      </x:c>
      <x:c r="K11" s="18" t="str">
        <x:v>3. Ba removal: 0/99%/99.9%/99.99%</x:v>
      </x:c>
      <x:c r="L11" s="18" t="str">
        <x:v>3. Ba removal: 0/99%/99.9%/99.99%</x:v>
      </x:c>
      <x:c r="M11" s="18" t="str">
        <x:v>3. Ba removal: 0/99%/99.9%/99.99%</x:v>
      </x:c>
      <x:c r="N11" s="18" t="str">
        <x:v>3. Ba removal: 0/99%/99.9%/99.99%</x:v>
      </x:c>
    </x:row>
    <x:row r="12" ht="31" customHeight="1">
      <x:c r="A12" s="18" t="str">
        <x:v>Winter temperature</x:v>
      </x:c>
      <x:c r="B12" s="19" t="n">
        <x:v>12</x:v>
      </x:c>
      <x:c r="C12" s="18" t="str">
        <x:v>°C</x:v>
      </x:c>
      <x:c r="D12" s="2"/>
      <x:c r="E12" s="2"/>
      <x:c r="F12" s="2"/>
      <x:c r="G12" s="2"/>
      <x:c r="H12" s="18" t="str">
        <x:v>4. Barite SI ≤−0.10; other SIs &lt;0</x:v>
      </x:c>
      <x:c r="I12" s="18" t="str">
        <x:v>4. Barite SI ≤−0.10; other SIs &lt;0</x:v>
      </x:c>
      <x:c r="J12" s="18" t="str">
        <x:v>4. Barite SI ≤−0.10; other SIs &lt;0</x:v>
      </x:c>
      <x:c r="K12" s="18" t="str">
        <x:v>4. Barite SI ≤−0.10; other SIs &lt;0</x:v>
      </x:c>
      <x:c r="L12" s="18" t="str">
        <x:v>4. Barite SI ≤−0.10; other SIs &lt;0</x:v>
      </x:c>
      <x:c r="M12" s="18" t="str">
        <x:v>4. Barite SI ≤−0.10; other SIs &lt;0</x:v>
      </x:c>
      <x:c r="N12" s="18" t="str">
        <x:v>4. Barite SI ≤−0.10; other SIs &lt;0</x:v>
      </x:c>
    </x:row>
    <x:row r="13" ht="31" customHeight="1">
      <x:c r="A13" s="18" t="str">
        <x:v>Aged A</x:v>
      </x:c>
      <x:c r="B13" s="21" t="n">
        <x:v>3.6e-12</x:v>
      </x:c>
      <x:c r="C13" s="18" t="str">
        <x:v>m/(Pa·s)</x:v>
      </x:c>
      <x:c r="D13" s="2"/>
      <x:c r="E13" s="2"/>
      <x:c r="F13" s="2"/>
      <x:c r="G13" s="2"/>
      <x:c r="H13" s="18" t="str">
        <x:v>5. Choose the unique water/quality passing package</x:v>
      </x:c>
      <x:c r="I13" s="18" t="str">
        <x:v>5. Choose the unique water/quality passing package</x:v>
      </x:c>
      <x:c r="J13" s="18" t="str">
        <x:v>5. Choose the unique water/quality passing package</x:v>
      </x:c>
      <x:c r="K13" s="18" t="str">
        <x:v>5. Choose the unique water/quality passing package</x:v>
      </x:c>
      <x:c r="L13" s="18" t="str">
        <x:v>5. Choose the unique water/quality passing package</x:v>
      </x:c>
      <x:c r="M13" s="18" t="str">
        <x:v>5. Choose the unique water/quality passing package</x:v>
      </x:c>
      <x:c r="N13" s="18" t="str">
        <x:v>5. Choose the unique water/quality passing package</x:v>
      </x:c>
    </x:row>
    <x:row r="14" ht="31" customHeight="1">
      <x:c r="A14" s="18" t="str">
        <x:v>Aged B</x:v>
      </x:c>
      <x:c r="B14" s="21" t="n">
        <x:v>4e-8</x:v>
      </x:c>
      <x:c r="C14" s="18" t="str">
        <x:v>m/s</x:v>
      </x:c>
      <x:c r="D14" s="2"/>
      <x:c r="E14" s="2"/>
      <x:c r="F14" s="2"/>
      <x:c r="G14" s="2"/>
      <x:c r="H14" s="2"/>
      <x:c r="I14" s="2"/>
      <x:c r="J14" s="2"/>
      <x:c r="K14" s="2"/>
      <x:c r="L14" s="2"/>
      <x:c r="M14" s="2"/>
      <x:c r="N14" s="2"/>
    </x:row>
    <x:row r="15" ht="31" customHeight="1">
      <x:c r="A15" s="18" t="str">
        <x:v>Pressure drop</x:v>
      </x:c>
      <x:c r="B15" s="19" t="n">
        <x:v>3</x:v>
      </x:c>
      <x:c r="C15" s="18" t="str">
        <x:v>bar</x:v>
      </x:c>
      <x:c r="D15" s="2"/>
      <x:c r="E15" s="2"/>
      <x:c r="F15" s="2"/>
      <x:c r="G15" s="2"/>
      <x:c r="H15" s="2"/>
      <x:c r="I15" s="2"/>
      <x:c r="J15" s="2"/>
      <x:c r="K15" s="2"/>
      <x:c r="L15" s="2"/>
      <x:c r="M15" s="2"/>
      <x:c r="N15" s="2"/>
    </x:row>
    <x:row r="16" ht="31" customHeight="1">
      <x:c r="A16" s="18" t="str">
        <x:v>Initial Ba</x:v>
      </x:c>
      <x:c r="B16" s="20" t="n">
        <x:v>0.00001</x:v>
      </x:c>
      <x:c r="C16" s="18" t="str">
        <x:v>mol/s</x:v>
      </x:c>
      <x:c r="D16" s="2"/>
      <x:c r="E16" s="2"/>
      <x:c r="F16" s="2"/>
      <x:c r="G16" s="2"/>
      <x:c r="H16" s="2"/>
      <x:c r="I16" s="2"/>
      <x:c r="J16" s="2"/>
      <x:c r="K16" s="2"/>
      <x:c r="L16" s="2"/>
      <x:c r="M16" s="2"/>
      <x:c r="N16" s="2"/>
    </x:row>
    <x:row r="17" ht="31" customHeight="1">
      <x:c r="A17" s="2"/>
      <x:c r="B17" s="2"/>
      <x:c r="C17" s="2"/>
      <x:c r="D17" s="2"/>
      <x:c r="E17" s="2"/>
      <x:c r="F17" s="2"/>
      <x:c r="G17" s="2"/>
      <x:c r="H17" s="2"/>
      <x:c r="I17" s="2"/>
      <x:c r="J17" s="2"/>
      <x:c r="K17" s="2"/>
      <x:c r="L17" s="2"/>
      <x:c r="M17" s="2"/>
      <x:c r="N17" s="2"/>
    </x:row>
    <x:row r="18" ht="31" customHeight="1">
      <x:c r="A18" s="2"/>
      <x:c r="B18" s="2"/>
      <x:c r="C18" s="2"/>
      <x:c r="D18" s="2"/>
      <x:c r="E18" s="2"/>
      <x:c r="F18" s="2"/>
      <x:c r="G18" s="2"/>
      <x:c r="H18" s="2"/>
      <x:c r="I18" s="2"/>
      <x:c r="J18" s="2"/>
      <x:c r="K18" s="2"/>
      <x:c r="L18" s="2"/>
      <x:c r="M18" s="2"/>
      <x:c r="N18" s="2"/>
    </x:row>
    <x:row r="19" ht="31" customHeight="1">
      <x:c r="A19" s="2"/>
      <x:c r="B19" s="2"/>
      <x:c r="C19" s="2"/>
      <x:c r="D19" s="2"/>
      <x:c r="E19" s="2"/>
      <x:c r="F19" s="2"/>
      <x:c r="G19" s="2"/>
      <x:c r="H19" s="2"/>
      <x:c r="I19" s="2"/>
      <x:c r="J19" s="2"/>
      <x:c r="K19" s="2"/>
      <x:c r="L19" s="2"/>
      <x:c r="M19" s="2"/>
      <x:c r="N19" s="2"/>
    </x:row>
    <x:row r="20" ht="31" customHeight="1">
      <x:c r="A20" s="11" t="str">
        <x:v>Ionic composition for equilibrate_feed</x:v>
      </x:c>
      <x:c r="B20" s="11" t="str">
        <x:v>Ionic composition for equilibrate_feed</x:v>
      </x:c>
      <x:c r="C20" s="11" t="str">
        <x:v>Ionic composition for equilibrate_feed</x:v>
      </x:c>
      <x:c r="D20" s="11" t="str">
        <x:v>Ionic composition for equilibrate_feed</x:v>
      </x:c>
      <x:c r="E20" s="11" t="str">
        <x:v>Ionic composition for equilibrate_feed</x:v>
      </x:c>
      <x:c r="F20" s="11" t="str">
        <x:v>Ionic composition for equilibrate_feed</x:v>
      </x:c>
      <x:c r="G20" s="2"/>
      <x:c r="H20" s="11" t="str">
        <x:v>Required tasks and scope</x:v>
      </x:c>
      <x:c r="I20" s="11" t="str">
        <x:v>Required tasks and scope</x:v>
      </x:c>
      <x:c r="J20" s="11" t="str">
        <x:v>Required tasks and scope</x:v>
      </x:c>
      <x:c r="K20" s="11" t="str">
        <x:v>Required tasks and scope</x:v>
      </x:c>
      <x:c r="L20" s="11" t="str">
        <x:v>Required tasks and scope</x:v>
      </x:c>
      <x:c r="M20" s="11" t="str">
        <x:v>Required tasks and scope</x:v>
      </x:c>
      <x:c r="N20" s="11" t="str">
        <x:v>Required tasks and scope</x:v>
      </x:c>
    </x:row>
    <x:row r="21" ht="31" customHeight="1">
      <x:c r="A21" s="16" t="str">
        <x:v>Species</x:v>
      </x:c>
      <x:c r="B21" s="16" t="str">
        <x:v>Flow mol/s</x:v>
      </x:c>
      <x:c r="C21" s="16" t="str">
        <x:v>Note</x:v>
      </x:c>
      <x:c r="D21" s="2"/>
      <x:c r="E21" s="2"/>
      <x:c r="F21" s="2"/>
      <x:c r="G21" s="2"/>
      <x:c r="H21" s="18" t="str">
        <x:v>1. Use simulate_ro for all candidates with non-target inputs fixed.</x:v>
      </x:c>
      <x:c r="I21" s="18" t="str">
        <x:v>1. Use simulate_ro for all candidates with non-target inputs fixed.</x:v>
      </x:c>
      <x:c r="J21" s="18" t="str">
        <x:v>1. Use simulate_ro for all candidates with non-target inputs fixed.</x:v>
      </x:c>
      <x:c r="K21" s="18" t="str">
        <x:v>1. Use simulate_ro for all candidates with non-target inputs fixed.</x:v>
      </x:c>
      <x:c r="L21" s="18" t="str">
        <x:v>1. Use simulate_ro for all candidates with non-target inputs fixed.</x:v>
      </x:c>
      <x:c r="M21" s="18" t="str">
        <x:v>1. Use simulate_ro for all candidates with non-target inputs fixed.</x:v>
      </x:c>
      <x:c r="N21" s="18" t="str">
        <x:v>1. Use simulate_ro for all candidates with non-target inputs fixed.</x:v>
      </x:c>
    </x:row>
    <x:row r="22" ht="31" customHeight="1">
      <x:c r="A22" s="18" t="str">
        <x:v>H2O</x:v>
      </x:c>
      <x:c r="B22" s="22" t="n">
        <x:v>55.5</x:v>
      </x:c>
      <x:c r="C22" s="18" t="str">
        <x:v>Model input</x:v>
      </x:c>
      <x:c r="D22" s="2"/>
      <x:c r="E22" s="2"/>
      <x:c r="F22" s="2"/>
      <x:c r="G22" s="2"/>
      <x:c r="H22" s="18" t="str">
        <x:v>2. Apply production and quality/energy constraints jointly, not one metric alone.</x:v>
      </x:c>
      <x:c r="I22" s="18" t="str">
        <x:v>2. Apply production and quality/energy constraints jointly, not one metric alone.</x:v>
      </x:c>
      <x:c r="J22" s="18" t="str">
        <x:v>2. Apply production and quality/energy constraints jointly, not one metric alone.</x:v>
      </x:c>
      <x:c r="K22" s="18" t="str">
        <x:v>2. Apply production and quality/energy constraints jointly, not one metric alone.</x:v>
      </x:c>
      <x:c r="L22" s="18" t="str">
        <x:v>2. Apply production and quality/energy constraints jointly, not one metric alone.</x:v>
      </x:c>
      <x:c r="M22" s="18" t="str">
        <x:v>2. Apply production and quality/energy constraints jointly, not one metric alone.</x:v>
      </x:c>
      <x:c r="N22" s="18" t="str">
        <x:v>2. Apply production and quality/energy constraints jointly, not one metric alone.</x:v>
      </x:c>
    </x:row>
    <x:row r="23" ht="31" customHeight="1">
      <x:c r="A23" s="18" t="str">
        <x:v>Na</x:v>
      </x:c>
      <x:c r="B23" s="22" t="n">
        <x:v>0.46</x:v>
      </x:c>
      <x:c r="C23" s="18" t="str">
        <x:v>Model input</x:v>
      </x:c>
      <x:c r="D23" s="2"/>
      <x:c r="E23" s="2"/>
      <x:c r="F23" s="2"/>
      <x:c r="G23" s="2"/>
      <x:c r="H23" s="18" t="str">
        <x:v>3. Pass actual candidate recovery into equilibrate_feed; do not substitute nominal recovery.</x:v>
      </x:c>
      <x:c r="I23" s="18" t="str">
        <x:v>3. Pass actual candidate recovery into equilibrate_feed; do not substitute nominal recovery.</x:v>
      </x:c>
      <x:c r="J23" s="18" t="str">
        <x:v>3. Pass actual candidate recovery into equilibrate_feed; do not substitute nominal recovery.</x:v>
      </x:c>
      <x:c r="K23" s="18" t="str">
        <x:v>3. Pass actual candidate recovery into equilibrate_feed; do not substitute nominal recovery.</x:v>
      </x:c>
      <x:c r="L23" s="18" t="str">
        <x:v>3. Pass actual candidate recovery into equilibrate_feed; do not substitute nominal recovery.</x:v>
      </x:c>
      <x:c r="M23" s="18" t="str">
        <x:v>3. Pass actual candidate recovery into equilibrate_feed; do not substitute nominal recovery.</x:v>
      </x:c>
      <x:c r="N23" s="18" t="str">
        <x:v>3. Pass actual candidate recovery into equilibrate_feed; do not substitute nominal recovery.</x:v>
      </x:c>
    </x:row>
    <x:row r="24" ht="31" customHeight="1">
      <x:c r="A24" s="18" t="str">
        <x:v>Cl</x:v>
      </x:c>
      <x:c r="B24" s="22" t="n">
        <x:v>0.50302</x:v>
      </x:c>
      <x:c r="C24" s="18" t="str">
        <x:v>Model input</x:v>
      </x:c>
      <x:c r="D24" s="2"/>
      <x:c r="E24" s="2"/>
      <x:c r="F24" s="2"/>
      <x:c r="G24" s="2"/>
      <x:c r="H24" s="18" t="str">
        <x:v>4. Prove the boundary with adjacent fail/pass cases and state the stopping rule.</x:v>
      </x:c>
      <x:c r="I24" s="18" t="str">
        <x:v>4. Prove the boundary with adjacent fail/pass cases and state the stopping rule.</x:v>
      </x:c>
      <x:c r="J24" s="18" t="str">
        <x:v>4. Prove the boundary with adjacent fail/pass cases and state the stopping rule.</x:v>
      </x:c>
      <x:c r="K24" s="18" t="str">
        <x:v>4. Prove the boundary with adjacent fail/pass cases and state the stopping rule.</x:v>
      </x:c>
      <x:c r="L24" s="18" t="str">
        <x:v>4. Prove the boundary with adjacent fail/pass cases and state the stopping rule.</x:v>
      </x:c>
      <x:c r="M24" s="18" t="str">
        <x:v>4. Prove the boundary with adjacent fail/pass cases and state the stopping rule.</x:v>
      </x:c>
      <x:c r="N24" s="18" t="str">
        <x:v>4. Prove the boundary with adjacent fail/pass cases and state the stopping rule.</x:v>
      </x:c>
    </x:row>
    <x:row r="25" ht="31" customHeight="1">
      <x:c r="A25" s="18" t="str">
        <x:v>Mg</x:v>
      </x:c>
      <x:c r="B25" s="22" t="n">
        <x:v>0.045</x:v>
      </x:c>
      <x:c r="C25" s="18" t="str">
        <x:v>Model input</x:v>
      </x:c>
      <x:c r="D25" s="2"/>
      <x:c r="E25" s="2"/>
      <x:c r="F25" s="2"/>
      <x:c r="G25" s="2"/>
      <x:c r="H25" s="18" t="str">
        <x:v>5. Record key simulations, final conclusion, and omitted kinetics/fouling/control uncertainty.</x:v>
      </x:c>
      <x:c r="I25" s="18" t="str">
        <x:v>5. Record key simulations, final conclusion, and omitted kinetics/fouling/control uncertainty.</x:v>
      </x:c>
      <x:c r="J25" s="18" t="str">
        <x:v>5. Record key simulations, final conclusion, and omitted kinetics/fouling/control uncertainty.</x:v>
      </x:c>
      <x:c r="K25" s="18" t="str">
        <x:v>5. Record key simulations, final conclusion, and omitted kinetics/fouling/control uncertainty.</x:v>
      </x:c>
      <x:c r="L25" s="18" t="str">
        <x:v>5. Record key simulations, final conclusion, and omitted kinetics/fouling/control uncertainty.</x:v>
      </x:c>
      <x:c r="M25" s="18" t="str">
        <x:v>5. Record key simulations, final conclusion, and omitted kinetics/fouling/control uncertainty.</x:v>
      </x:c>
      <x:c r="N25" s="18" t="str">
        <x:v>5. Record key simulations, final conclusion, and omitted kinetics/fouling/control uncertainty.</x:v>
      </x:c>
    </x:row>
    <x:row r="26" ht="31" customHeight="1">
      <x:c r="A26" s="18" t="str">
        <x:v>SO4</x:v>
      </x:c>
      <x:c r="B26" s="22" t="n">
        <x:v>0.035</x:v>
      </x:c>
      <x:c r="C26" s="18" t="str">
        <x:v>Model input</x:v>
      </x:c>
      <x:c r="D26" s="2"/>
      <x:c r="E26" s="2"/>
      <x:c r="F26" s="2"/>
      <x:c r="G26" s="2"/>
      <x:c r="H26" s="18" t="str">
        <x:v>Barite is the sole controlling mineral at low alkalinity.</x:v>
      </x:c>
      <x:c r="I26" s="18" t="str">
        <x:v>Barite is the sole controlling mineral at low alkalinity.</x:v>
      </x:c>
      <x:c r="J26" s="18" t="str">
        <x:v>Barite is the sole controlling mineral at low alkalinity.</x:v>
      </x:c>
      <x:c r="K26" s="18" t="str">
        <x:v>Barite is the sole controlling mineral at low alkalinity.</x:v>
      </x:c>
      <x:c r="L26" s="18" t="str">
        <x:v>Barite is the sole controlling mineral at low alkalinity.</x:v>
      </x:c>
      <x:c r="M26" s="18" t="str">
        <x:v>Barite is the sole controlling mineral at low alkalinity.</x:v>
      </x:c>
      <x:c r="N26" s="18" t="str">
        <x:v>Barite is the sole controlling mineral at low alkalinity.</x:v>
      </x:c>
    </x:row>
    <x:row r="27" ht="31" customHeight="1">
      <x:c r="A27" s="18" t="str">
        <x:v>Ca</x:v>
      </x:c>
      <x:c r="B27" s="22" t="n">
        <x:v>0.012</x:v>
      </x:c>
      <x:c r="C27" s="18" t="str">
        <x:v>Model input</x:v>
      </x:c>
      <x:c r="D27" s="2"/>
      <x:c r="E27" s="2"/>
      <x:c r="F27" s="2"/>
      <x:c r="G27" s="2"/>
      <x:c r="H27" s="2"/>
      <x:c r="I27" s="2"/>
      <x:c r="J27" s="2"/>
      <x:c r="K27" s="2"/>
      <x:c r="L27" s="2"/>
      <x:c r="M27" s="2"/>
      <x:c r="N27" s="2"/>
    </x:row>
    <x:row r="28" ht="31" customHeight="1">
      <x:c r="A28" s="18" t="str">
        <x:v>HCO3</x:v>
      </x:c>
      <x:c r="B28" s="22" t="n">
        <x:v>0.001</x:v>
      </x:c>
      <x:c r="C28" s="18" t="str">
        <x:v>Model input</x:v>
      </x:c>
      <x:c r="D28" s="2"/>
      <x:c r="E28" s="2"/>
      <x:c r="F28" s="2"/>
      <x:c r="G28" s="2"/>
      <x:c r="H28" s="2"/>
      <x:c r="I28" s="2"/>
      <x:c r="J28" s="2"/>
      <x:c r="K28" s="2"/>
      <x:c r="L28" s="2"/>
      <x:c r="M28" s="2"/>
      <x:c r="N28" s="2"/>
    </x:row>
    <x:row r="29" ht="31" customHeight="1">
      <x:c r="A29" s="18" t="str">
        <x:v>Ba</x:v>
      </x:c>
      <x:c r="B29" s="22" t="n">
        <x:v>0.00001</x:v>
      </x:c>
      <x:c r="C29" s="18" t="str">
        <x:v>Model input</x:v>
      </x:c>
      <x:c r="D29" s="2"/>
      <x:c r="E29" s="2"/>
      <x:c r="F29" s="2"/>
      <x:c r="G29" s="2"/>
      <x:c r="H29" s="2"/>
      <x:c r="I29" s="2"/>
      <x:c r="J29" s="2"/>
      <x:c r="K29" s="2"/>
      <x:c r="L29" s="2"/>
      <x:c r="M29" s="2"/>
      <x:c r="N29" s="2"/>
    </x:row>
    <x:row r="30" ht="31" customHeight="1">
      <x:c r="A30" s="2"/>
      <x:c r="B30" s="2"/>
      <x:c r="C30" s="2"/>
      <x:c r="D30" s="2"/>
      <x:c r="E30" s="2"/>
      <x:c r="F30" s="2"/>
      <x:c r="G30" s="2"/>
      <x:c r="H30" s="2"/>
      <x:c r="I30" s="2"/>
      <x:c r="J30" s="2"/>
      <x:c r="K30" s="2"/>
      <x:c r="L30" s="2"/>
      <x:c r="M30" s="2"/>
      <x:c r="N30" s="2"/>
    </x:row>
    <x:row r="31">
      <x:c r="A31" s="2"/>
      <x:c r="B31" s="2"/>
      <x:c r="C31" s="2"/>
      <x:c r="D31" s="2"/>
      <x:c r="E31" s="2"/>
      <x:c r="F31" s="2"/>
      <x:c r="G31" s="2"/>
      <x:c r="H31" s="2"/>
      <x:c r="I31" s="2"/>
      <x:c r="J31" s="2"/>
      <x:c r="K31" s="2"/>
      <x:c r="L31" s="2"/>
      <x:c r="M31" s="2"/>
      <x:c r="N31" s="2"/>
    </x:row>
    <x:row r="32">
      <x:c r="A32" s="2"/>
      <x:c r="B32" s="2"/>
      <x:c r="C32" s="2"/>
      <x:c r="D32" s="2"/>
      <x:c r="E32" s="2"/>
      <x:c r="F32" s="2"/>
      <x:c r="G32" s="2"/>
      <x:c r="H32" s="2"/>
      <x:c r="I32" s="2"/>
      <x:c r="J32" s="2"/>
      <x:c r="K32" s="2"/>
      <x:c r="L32" s="2"/>
      <x:c r="M32" s="2"/>
      <x:c r="N32" s="2"/>
    </x:row>
    <x:row r="33">
      <x:c r="A33" s="2"/>
      <x:c r="B33" s="2"/>
      <x:c r="C33" s="2"/>
      <x:c r="D33" s="2"/>
      <x:c r="E33" s="2"/>
      <x:c r="F33" s="2"/>
      <x:c r="G33" s="2"/>
      <x:c r="H33" s="2"/>
      <x:c r="I33" s="2"/>
      <x:c r="J33" s="2"/>
      <x:c r="K33" s="2"/>
      <x:c r="L33" s="2"/>
      <x:c r="M33" s="2"/>
      <x:c r="N33" s="2"/>
    </x:row>
    <x:row r="34">
      <x:c r="A34" s="2"/>
      <x:c r="B34" s="2"/>
      <x:c r="C34" s="2"/>
      <x:c r="D34" s="2"/>
      <x:c r="E34" s="2"/>
      <x:c r="F34" s="2"/>
      <x:c r="G34" s="2"/>
      <x:c r="H34" s="2"/>
      <x:c r="I34" s="2"/>
      <x:c r="J34" s="2"/>
      <x:c r="K34" s="2"/>
      <x:c r="L34" s="2"/>
      <x:c r="M34" s="2"/>
      <x:c r="N34" s="2"/>
    </x:row>
    <x:row r="35">
      <x:c r="A35" s="2"/>
      <x:c r="B35" s="2"/>
      <x:c r="C35" s="2"/>
      <x:c r="D35" s="2"/>
      <x:c r="E35" s="2"/>
      <x:c r="F35" s="2"/>
      <x:c r="G35" s="2"/>
      <x:c r="H35" s="2"/>
      <x:c r="I35" s="2"/>
      <x:c r="J35" s="2"/>
      <x:c r="K35" s="2"/>
      <x:c r="L35" s="2"/>
      <x:c r="M35" s="2"/>
      <x:c r="N35" s="2"/>
    </x:row>
    <x:row r="36">
      <x:c r="A36" s="2"/>
      <x:c r="B36" s="2"/>
      <x:c r="C36" s="2"/>
      <x:c r="D36" s="2"/>
      <x:c r="E36" s="2"/>
      <x:c r="F36" s="2"/>
      <x:c r="G36" s="2"/>
      <x:c r="H36" s="2"/>
      <x:c r="I36" s="2"/>
      <x:c r="J36" s="2"/>
      <x:c r="K36" s="2"/>
      <x:c r="L36" s="2"/>
      <x:c r="M36" s="2"/>
      <x:c r="N36" s="2"/>
    </x:row>
    <x:row r="37">
      <x:c r="A37" s="2"/>
      <x:c r="B37" s="2"/>
      <x:c r="C37" s="2"/>
      <x:c r="D37" s="2"/>
      <x:c r="E37" s="2"/>
      <x:c r="F37" s="2"/>
      <x:c r="G37" s="2"/>
      <x:c r="H37" s="2"/>
      <x:c r="I37" s="2"/>
      <x:c r="J37" s="2"/>
      <x:c r="K37" s="2"/>
      <x:c r="L37" s="2"/>
      <x:c r="M37" s="2"/>
      <x:c r="N37" s="2"/>
    </x:row>
    <x:row r="38">
      <x:c r="A38" s="2"/>
      <x:c r="B38" s="2"/>
      <x:c r="C38" s="2"/>
      <x:c r="D38" s="2"/>
      <x:c r="E38" s="2"/>
      <x:c r="F38" s="2"/>
      <x:c r="G38" s="2"/>
      <x:c r="H38" s="2"/>
      <x:c r="I38" s="2"/>
      <x:c r="J38" s="2"/>
      <x:c r="K38" s="2"/>
      <x:c r="L38" s="2"/>
      <x:c r="M38" s="2"/>
      <x:c r="N38" s="2"/>
    </x:row>
    <x:row r="39">
      <x:c r="A39" s="2"/>
      <x:c r="B39" s="2"/>
      <x:c r="C39" s="2"/>
      <x:c r="D39" s="2"/>
      <x:c r="E39" s="2"/>
      <x:c r="F39" s="2"/>
      <x:c r="G39" s="2"/>
      <x:c r="H39" s="2"/>
      <x:c r="I39" s="2"/>
      <x:c r="J39" s="2"/>
      <x:c r="K39" s="2"/>
      <x:c r="L39" s="2"/>
      <x:c r="M39" s="2"/>
      <x:c r="N39" s="2"/>
    </x:row>
    <x:row r="40">
      <x:c r="A40" s="2"/>
      <x:c r="B40" s="2"/>
      <x:c r="C40" s="2"/>
      <x:c r="D40" s="2"/>
      <x:c r="E40" s="2"/>
      <x:c r="F40" s="2"/>
      <x:c r="G40" s="2"/>
      <x:c r="H40" s="2"/>
      <x:c r="I40" s="2"/>
      <x:c r="J40" s="2"/>
      <x:c r="K40" s="2"/>
      <x:c r="L40" s="2"/>
      <x:c r="M40" s="2"/>
      <x:c r="N40" s="2"/>
    </x:row>
    <x:row r="41">
      <x:c r="A41" s="2"/>
      <x:c r="B41" s="2"/>
      <x:c r="C41" s="2"/>
      <x:c r="D41" s="2"/>
      <x:c r="E41" s="2"/>
      <x:c r="F41" s="2"/>
      <x:c r="G41" s="2"/>
      <x:c r="H41" s="2"/>
      <x:c r="I41" s="2"/>
      <x:c r="J41" s="2"/>
      <x:c r="K41" s="2"/>
      <x:c r="L41" s="2"/>
      <x:c r="M41" s="2"/>
      <x:c r="N41" s="2"/>
    </x:row>
    <x:row r="42">
      <x:c r="A42" s="2"/>
      <x:c r="B42" s="2"/>
      <x:c r="C42" s="2"/>
      <x:c r="D42" s="2"/>
      <x:c r="E42" s="2"/>
      <x:c r="F42" s="2"/>
      <x:c r="G42" s="2"/>
      <x:c r="H42" s="2"/>
      <x:c r="I42" s="2"/>
      <x:c r="J42" s="2"/>
      <x:c r="K42" s="2"/>
      <x:c r="L42" s="2"/>
      <x:c r="M42" s="2"/>
      <x:c r="N42" s="2"/>
    </x:row>
    <x:row r="43">
      <x:c r="A43" s="2"/>
      <x:c r="B43" s="2"/>
      <x:c r="C43" s="2"/>
      <x:c r="D43" s="2"/>
      <x:c r="E43" s="2"/>
      <x:c r="F43" s="2"/>
      <x:c r="G43" s="2"/>
      <x:c r="H43" s="2"/>
      <x:c r="I43" s="2"/>
      <x:c r="J43" s="2"/>
      <x:c r="K43" s="2"/>
      <x:c r="L43" s="2"/>
      <x:c r="M43" s="2"/>
      <x:c r="N43" s="2"/>
    </x:row>
    <x:row r="44">
      <x:c r="A44" s="2"/>
      <x:c r="B44" s="2"/>
      <x:c r="C44" s="2"/>
      <x:c r="D44" s="2"/>
      <x:c r="E44" s="2"/>
      <x:c r="F44" s="2"/>
      <x:c r="G44" s="2"/>
      <x:c r="H44" s="2"/>
      <x:c r="I44" s="2"/>
      <x:c r="J44" s="2"/>
      <x:c r="K44" s="2"/>
      <x:c r="L44" s="2"/>
      <x:c r="M44" s="2"/>
      <x:c r="N44" s="2"/>
    </x:row>
    <x:row r="45">
      <x:c r="A45" s="2"/>
      <x:c r="B45" s="2"/>
      <x:c r="C45" s="2"/>
      <x:c r="D45" s="2"/>
      <x:c r="E45" s="2"/>
      <x:c r="F45" s="2"/>
      <x:c r="G45" s="2"/>
      <x:c r="H45" s="2"/>
      <x:c r="I45" s="2"/>
      <x:c r="J45" s="2"/>
      <x:c r="K45" s="2"/>
      <x:c r="L45" s="2"/>
      <x:c r="M45" s="2"/>
      <x:c r="N45" s="2"/>
    </x:row>
    <x:row r="46">
      <x:c r="A46" s="2"/>
      <x:c r="B46" s="2"/>
      <x:c r="C46" s="2"/>
      <x:c r="D46" s="2"/>
      <x:c r="E46" s="2"/>
      <x:c r="F46" s="2"/>
      <x:c r="G46" s="2"/>
      <x:c r="H46" s="2"/>
      <x:c r="I46" s="2"/>
      <x:c r="J46" s="2"/>
      <x:c r="K46" s="2"/>
      <x:c r="L46" s="2"/>
      <x:c r="M46" s="2"/>
      <x:c r="N46" s="2"/>
    </x:row>
    <x:row r="47">
      <x:c r="A47" s="2"/>
      <x:c r="B47" s="2"/>
      <x:c r="C47" s="2"/>
      <x:c r="D47" s="2"/>
      <x:c r="E47" s="2"/>
      <x:c r="F47" s="2"/>
      <x:c r="G47" s="2"/>
      <x:c r="H47" s="2"/>
      <x:c r="I47" s="2"/>
      <x:c r="J47" s="2"/>
      <x:c r="K47" s="2"/>
      <x:c r="L47" s="2"/>
      <x:c r="M47" s="2"/>
      <x:c r="N47" s="2"/>
    </x:row>
    <x:row r="48">
      <x:c r="A48" s="2"/>
      <x:c r="B48" s="2"/>
      <x:c r="C48" s="2"/>
      <x:c r="D48" s="2"/>
      <x:c r="E48" s="2"/>
      <x:c r="F48" s="2"/>
      <x:c r="G48" s="2"/>
      <x:c r="H48" s="2"/>
      <x:c r="I48" s="2"/>
      <x:c r="J48" s="2"/>
      <x:c r="K48" s="2"/>
      <x:c r="L48" s="2"/>
      <x:c r="M48" s="2"/>
      <x:c r="N48" s="2"/>
    </x:row>
  </x:sheetData>
  <x:mergeCells>
    <x:mergeCell ref="A1:N2"/>
    <x:mergeCell ref="A4:N6"/>
    <x:mergeCell ref="A8:F8"/>
    <x:mergeCell ref="H8:N8"/>
    <x:mergeCell ref="H9:N9"/>
    <x:mergeCell ref="H10:N10"/>
    <x:mergeCell ref="H11:N11"/>
    <x:mergeCell ref="H12:N12"/>
    <x:mergeCell ref="H13:N13"/>
    <x:mergeCell ref="A20:F20"/>
    <x:mergeCell ref="H20:N20"/>
    <x:mergeCell ref="H21:N21"/>
    <x:mergeCell ref="H22:N22"/>
    <x:mergeCell ref="H23:N23"/>
    <x:mergeCell ref="H24:N24"/>
    <x:mergeCell ref="H25:N25"/>
    <x:mergeCell ref="H26:N2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6" hidden="0" customWidth="1"/>
    <x:col min="5" max="5" width="16" hidden="0" customWidth="1"/>
    <x:col min="6" max="6" width="16" hidden="0" customWidth="1"/>
    <x:col min="7" max="7" width="18" hidden="0" customWidth="1"/>
    <x:col min="8" max="8" width="29" hidden="0" customWidth="1"/>
    <x:col min="9" max="9" width="30" hidden="0" customWidth="1"/>
    <x:col min="10" max="10" width="16" hidden="0" customWidth="1"/>
    <x:col min="11" max="11" width="16" hidden="0" customWidth="1"/>
    <x:col min="12" max="12" width="16" hidden="0" customWidth="1"/>
    <x:col min="13" max="13" width="16" hidden="0" customWidth="1"/>
    <x:col min="14" max="14" width="16" hidden="0" customWidth="1"/>
  </x:cols>
  <x:sheetData>
    <x:row r="1" ht="29" customHeight="1">
      <x:c r="A1" s="6" t="str">
        <x:v>N02｜Gold Answer</x:v>
      </x:c>
      <x:c r="B1" s="6" t="str">
        <x:v>N02｜Gold Answer</x:v>
      </x:c>
      <x:c r="C1" s="6" t="str">
        <x:v>N02｜Gold Answer</x:v>
      </x:c>
      <x:c r="D1" s="6" t="str">
        <x:v>N02｜Gold Answer</x:v>
      </x:c>
      <x:c r="E1" s="6" t="str">
        <x:v>N02｜Gold Answer</x:v>
      </x:c>
      <x:c r="F1" s="6" t="str">
        <x:v>N02｜Gold Answer</x:v>
      </x:c>
      <x:c r="G1" s="6" t="str">
        <x:v>N02｜Gold Answer</x:v>
      </x:c>
      <x:c r="H1" s="6" t="str">
        <x:v>N02｜Gold Answer</x:v>
      </x:c>
      <x:c r="I1" s="6" t="str">
        <x:v>N02｜Gold Answer</x:v>
      </x:c>
      <x:c r="J1" s="6" t="str">
        <x:v>N02｜Gold Answer</x:v>
      </x:c>
      <x:c r="K1" s="6" t="str">
        <x:v>N02｜Gold Answer</x:v>
      </x:c>
      <x:c r="L1" s="6" t="str">
        <x:v>N02｜Gold Answer</x:v>
      </x:c>
      <x:c r="M1" s="6" t="str">
        <x:v>N02｜Gold Answer</x:v>
      </x:c>
      <x:c r="N1" s="6" t="str">
        <x:v>N02｜Gold Answer</x:v>
      </x:c>
    </x:row>
    <x:row r="2" ht="29" customHeight="1">
      <x:c r="A2" s="6" t="str">
        <x:v>N02｜Gold Answer</x:v>
      </x:c>
      <x:c r="B2" s="6" t="str">
        <x:v>N02｜Gold Answer</x:v>
      </x:c>
      <x:c r="C2" s="6" t="str">
        <x:v>N02｜Gold Answer</x:v>
      </x:c>
      <x:c r="D2" s="6" t="str">
        <x:v>N02｜Gold Answer</x:v>
      </x:c>
      <x:c r="E2" s="6" t="str">
        <x:v>N02｜Gold Answer</x:v>
      </x:c>
      <x:c r="F2" s="6" t="str">
        <x:v>N02｜Gold Answer</x:v>
      </x:c>
      <x:c r="G2" s="6" t="str">
        <x:v>N02｜Gold Answer</x:v>
      </x:c>
      <x:c r="H2" s="6" t="str">
        <x:v>N02｜Gold Answer</x:v>
      </x:c>
      <x:c r="I2" s="6" t="str">
        <x:v>N02｜Gold Answer</x:v>
      </x:c>
      <x:c r="J2" s="6" t="str">
        <x:v>N02｜Gold Answer</x:v>
      </x:c>
      <x:c r="K2" s="6" t="str">
        <x:v>N02｜Gold Answer</x:v>
      </x:c>
      <x:c r="L2" s="6" t="str">
        <x:v>N02｜Gold Answer</x:v>
      </x:c>
      <x:c r="M2" s="6" t="str">
        <x:v>N02｜Gold Answer</x:v>
      </x:c>
      <x:c r="N2" s="6" t="str">
        <x:v>N02｜Gold Answer</x:v>
      </x:c>
    </x:row>
    <x:row r="3">
      <x:c r="A3" s="2"/>
      <x:c r="B3" s="2"/>
      <x:c r="C3" s="2"/>
      <x:c r="D3" s="2"/>
      <x:c r="E3" s="2"/>
      <x:c r="F3" s="2"/>
      <x:c r="G3" s="2"/>
      <x:c r="H3" s="2"/>
      <x:c r="I3" s="2"/>
      <x:c r="J3" s="2"/>
      <x:c r="K3" s="2"/>
      <x:c r="L3" s="2"/>
      <x:c r="M3" s="2"/>
      <x:c r="N3" s="2"/>
    </x:row>
    <x:row r="4">
      <x:c r="A4" s="25" t="str">
        <x:v>Recommend winter package P2: 65 bar, 70 m², plus 99.9% selective Ba removal. Permeate water is 0.43596 kg/s, NaCl 371.77 ppm, recovery 44.7591%, and Barite SI −0.99210.</x:v>
      </x:c>
      <x:c r="B4" s="25" t="str">
        <x:v>Recommend winter package P2: 65 bar, 70 m², plus 99.9% selective Ba removal. Permeate water is 0.43596 kg/s, NaCl 371.77 ppm, recovery 44.7591%, and Barite SI −0.99210.</x:v>
      </x:c>
      <x:c r="C4" s="25" t="str">
        <x:v>Recommend winter package P2: 65 bar, 70 m², plus 99.9% selective Ba removal. Permeate water is 0.43596 kg/s, NaCl 371.77 ppm, recovery 44.7591%, and Barite SI −0.99210.</x:v>
      </x:c>
      <x:c r="D4" s="25" t="str">
        <x:v>Recommend winter package P2: 65 bar, 70 m², plus 99.9% selective Ba removal. Permeate water is 0.43596 kg/s, NaCl 371.77 ppm, recovery 44.7591%, and Barite SI −0.99210.</x:v>
      </x:c>
      <x:c r="E4" s="25" t="str">
        <x:v>Recommend winter package P2: 65 bar, 70 m², plus 99.9% selective Ba removal. Permeate water is 0.43596 kg/s, NaCl 371.77 ppm, recovery 44.7591%, and Barite SI −0.99210.</x:v>
      </x:c>
      <x:c r="F4" s="25" t="str">
        <x:v>Recommend winter package P2: 65 bar, 70 m², plus 99.9% selective Ba removal. Permeate water is 0.43596 kg/s, NaCl 371.77 ppm, recovery 44.7591%, and Barite SI −0.99210.</x:v>
      </x:c>
      <x:c r="G4" s="25" t="str">
        <x:v>Recommend winter package P2: 65 bar, 70 m², plus 99.9% selective Ba removal. Permeate water is 0.43596 kg/s, NaCl 371.77 ppm, recovery 44.7591%, and Barite SI −0.99210.</x:v>
      </x:c>
      <x:c r="H4" s="25" t="str">
        <x:v>Recommend winter package P2: 65 bar, 70 m², plus 99.9% selective Ba removal. Permeate water is 0.43596 kg/s, NaCl 371.77 ppm, recovery 44.7591%, and Barite SI −0.99210.</x:v>
      </x:c>
      <x:c r="I4" s="25" t="str">
        <x:v>Recommend winter package P2: 65 bar, 70 m², plus 99.9% selective Ba removal. Permeate water is 0.43596 kg/s, NaCl 371.77 ppm, recovery 44.7591%, and Barite SI −0.99210.</x:v>
      </x:c>
      <x:c r="J4" s="25" t="str">
        <x:v>Recommend winter package P2: 65 bar, 70 m², plus 99.9% selective Ba removal. Permeate water is 0.43596 kg/s, NaCl 371.77 ppm, recovery 44.7591%, and Barite SI −0.99210.</x:v>
      </x:c>
      <x:c r="K4" s="25" t="str">
        <x:v>Recommend winter package P2: 65 bar, 70 m², plus 99.9% selective Ba removal. Permeate water is 0.43596 kg/s, NaCl 371.77 ppm, recovery 44.7591%, and Barite SI −0.99210.</x:v>
      </x:c>
      <x:c r="L4" s="25" t="str">
        <x:v>Recommend winter package P2: 65 bar, 70 m², plus 99.9% selective Ba removal. Permeate water is 0.43596 kg/s, NaCl 371.77 ppm, recovery 44.7591%, and Barite SI −0.99210.</x:v>
      </x:c>
      <x:c r="M4" s="25" t="str">
        <x:v>Recommend winter package P2: 65 bar, 70 m², plus 99.9% selective Ba removal. Permeate water is 0.43596 kg/s, NaCl 371.77 ppm, recovery 44.7591%, and Barite SI −0.99210.</x:v>
      </x:c>
      <x:c r="N4" s="25" t="str">
        <x:v>Recommend winter package P2: 65 bar, 70 m², plus 99.9% selective Ba removal. Permeate water is 0.43596 kg/s, NaCl 371.77 ppm, recovery 44.7591%, and Barite SI −0.99210.</x:v>
      </x:c>
    </x:row>
    <x:row r="5">
      <x:c r="A5" s="25" t="str">
        <x:v>Recommend winter package P2: 65 bar, 70 m², plus 99.9% selective Ba removal. Permeate water is 0.43596 kg/s, NaCl 371.77 ppm, recovery 44.7591%, and Barite SI −0.99210.</x:v>
      </x:c>
      <x:c r="B5" s="25" t="str">
        <x:v>Recommend winter package P2: 65 bar, 70 m², plus 99.9% selective Ba removal. Permeate water is 0.43596 kg/s, NaCl 371.77 ppm, recovery 44.7591%, and Barite SI −0.99210.</x:v>
      </x:c>
      <x:c r="C5" s="25" t="str">
        <x:v>Recommend winter package P2: 65 bar, 70 m², plus 99.9% selective Ba removal. Permeate water is 0.43596 kg/s, NaCl 371.77 ppm, recovery 44.7591%, and Barite SI −0.99210.</x:v>
      </x:c>
      <x:c r="D5" s="25" t="str">
        <x:v>Recommend winter package P2: 65 bar, 70 m², plus 99.9% selective Ba removal. Permeate water is 0.43596 kg/s, NaCl 371.77 ppm, recovery 44.7591%, and Barite SI −0.99210.</x:v>
      </x:c>
      <x:c r="E5" s="25" t="str">
        <x:v>Recommend winter package P2: 65 bar, 70 m², plus 99.9% selective Ba removal. Permeate water is 0.43596 kg/s, NaCl 371.77 ppm, recovery 44.7591%, and Barite SI −0.99210.</x:v>
      </x:c>
      <x:c r="F5" s="25" t="str">
        <x:v>Recommend winter package P2: 65 bar, 70 m², plus 99.9% selective Ba removal. Permeate water is 0.43596 kg/s, NaCl 371.77 ppm, recovery 44.7591%, and Barite SI −0.99210.</x:v>
      </x:c>
      <x:c r="G5" s="25" t="str">
        <x:v>Recommend winter package P2: 65 bar, 70 m², plus 99.9% selective Ba removal. Permeate water is 0.43596 kg/s, NaCl 371.77 ppm, recovery 44.7591%, and Barite SI −0.99210.</x:v>
      </x:c>
      <x:c r="H5" s="25" t="str">
        <x:v>Recommend winter package P2: 65 bar, 70 m², plus 99.9% selective Ba removal. Permeate water is 0.43596 kg/s, NaCl 371.77 ppm, recovery 44.7591%, and Barite SI −0.99210.</x:v>
      </x:c>
      <x:c r="I5" s="25" t="str">
        <x:v>Recommend winter package P2: 65 bar, 70 m², plus 99.9% selective Ba removal. Permeate water is 0.43596 kg/s, NaCl 371.77 ppm, recovery 44.7591%, and Barite SI −0.99210.</x:v>
      </x:c>
      <x:c r="J5" s="25" t="str">
        <x:v>Recommend winter package P2: 65 bar, 70 m², plus 99.9% selective Ba removal. Permeate water is 0.43596 kg/s, NaCl 371.77 ppm, recovery 44.7591%, and Barite SI −0.99210.</x:v>
      </x:c>
      <x:c r="K5" s="25" t="str">
        <x:v>Recommend winter package P2: 65 bar, 70 m², plus 99.9% selective Ba removal. Permeate water is 0.43596 kg/s, NaCl 371.77 ppm, recovery 44.7591%, and Barite SI −0.99210.</x:v>
      </x:c>
      <x:c r="L5" s="25" t="str">
        <x:v>Recommend winter package P2: 65 bar, 70 m², plus 99.9% selective Ba removal. Permeate water is 0.43596 kg/s, NaCl 371.77 ppm, recovery 44.7591%, and Barite SI −0.99210.</x:v>
      </x:c>
      <x:c r="M5" s="25" t="str">
        <x:v>Recommend winter package P2: 65 bar, 70 m², plus 99.9% selective Ba removal. Permeate water is 0.43596 kg/s, NaCl 371.77 ppm, recovery 44.7591%, and Barite SI −0.99210.</x:v>
      </x:c>
      <x:c r="N5" s="25" t="str">
        <x:v>Recommend winter package P2: 65 bar, 70 m², plus 99.9% selective Ba removal. Permeate water is 0.43596 kg/s, NaCl 371.77 ppm, recovery 44.7591%, and Barite SI −0.99210.</x:v>
      </x:c>
    </x:row>
    <x:row r="6">
      <x:c r="A6" s="25" t="str">
        <x:v>Recommend winter package P2: 65 bar, 70 m², plus 99.9% selective Ba removal. Permeate water is 0.43596 kg/s, NaCl 371.77 ppm, recovery 44.7591%, and Barite SI −0.99210.</x:v>
      </x:c>
      <x:c r="B6" s="25" t="str">
        <x:v>Recommend winter package P2: 65 bar, 70 m², plus 99.9% selective Ba removal. Permeate water is 0.43596 kg/s, NaCl 371.77 ppm, recovery 44.7591%, and Barite SI −0.99210.</x:v>
      </x:c>
      <x:c r="C6" s="25" t="str">
        <x:v>Recommend winter package P2: 65 bar, 70 m², plus 99.9% selective Ba removal. Permeate water is 0.43596 kg/s, NaCl 371.77 ppm, recovery 44.7591%, and Barite SI −0.99210.</x:v>
      </x:c>
      <x:c r="D6" s="25" t="str">
        <x:v>Recommend winter package P2: 65 bar, 70 m², plus 99.9% selective Ba removal. Permeate water is 0.43596 kg/s, NaCl 371.77 ppm, recovery 44.7591%, and Barite SI −0.99210.</x:v>
      </x:c>
      <x:c r="E6" s="25" t="str">
        <x:v>Recommend winter package P2: 65 bar, 70 m², plus 99.9% selective Ba removal. Permeate water is 0.43596 kg/s, NaCl 371.77 ppm, recovery 44.7591%, and Barite SI −0.99210.</x:v>
      </x:c>
      <x:c r="F6" s="25" t="str">
        <x:v>Recommend winter package P2: 65 bar, 70 m², plus 99.9% selective Ba removal. Permeate water is 0.43596 kg/s, NaCl 371.77 ppm, recovery 44.7591%, and Barite SI −0.99210.</x:v>
      </x:c>
      <x:c r="G6" s="25" t="str">
        <x:v>Recommend winter package P2: 65 bar, 70 m², plus 99.9% selective Ba removal. Permeate water is 0.43596 kg/s, NaCl 371.77 ppm, recovery 44.7591%, and Barite SI −0.99210.</x:v>
      </x:c>
      <x:c r="H6" s="25" t="str">
        <x:v>Recommend winter package P2: 65 bar, 70 m², plus 99.9% selective Ba removal. Permeate water is 0.43596 kg/s, NaCl 371.77 ppm, recovery 44.7591%, and Barite SI −0.99210.</x:v>
      </x:c>
      <x:c r="I6" s="25" t="str">
        <x:v>Recommend winter package P2: 65 bar, 70 m², plus 99.9% selective Ba removal. Permeate water is 0.43596 kg/s, NaCl 371.77 ppm, recovery 44.7591%, and Barite SI −0.99210.</x:v>
      </x:c>
      <x:c r="J6" s="25" t="str">
        <x:v>Recommend winter package P2: 65 bar, 70 m², plus 99.9% selective Ba removal. Permeate water is 0.43596 kg/s, NaCl 371.77 ppm, recovery 44.7591%, and Barite SI −0.99210.</x:v>
      </x:c>
      <x:c r="K6" s="25" t="str">
        <x:v>Recommend winter package P2: 65 bar, 70 m², plus 99.9% selective Ba removal. Permeate water is 0.43596 kg/s, NaCl 371.77 ppm, recovery 44.7591%, and Barite SI −0.99210.</x:v>
      </x:c>
      <x:c r="L6" s="25" t="str">
        <x:v>Recommend winter package P2: 65 bar, 70 m², plus 99.9% selective Ba removal. Permeate water is 0.43596 kg/s, NaCl 371.77 ppm, recovery 44.7591%, and Barite SI −0.99210.</x:v>
      </x:c>
      <x:c r="M6" s="25" t="str">
        <x:v>Recommend winter package P2: 65 bar, 70 m², plus 99.9% selective Ba removal. Permeate water is 0.43596 kg/s, NaCl 371.77 ppm, recovery 44.7591%, and Barite SI −0.99210.</x:v>
      </x:c>
      <x:c r="N6" s="25" t="str">
        <x:v>Recommend winter package P2: 65 bar, 70 m², plus 99.9% selective Ba removal. Permeate water is 0.43596 kg/s, NaCl 371.77 ppm, recovery 44.7591%, and Barite SI −0.99210.</x:v>
      </x:c>
    </x:row>
    <x:row r="7">
      <x:c r="A7" s="2"/>
      <x:c r="B7" s="2"/>
      <x:c r="C7" s="2"/>
      <x:c r="D7" s="2"/>
      <x:c r="E7" s="2"/>
      <x:c r="F7" s="2"/>
      <x:c r="G7" s="2"/>
      <x:c r="H7" s="2"/>
      <x:c r="I7" s="2"/>
      <x:c r="J7" s="2"/>
      <x:c r="K7" s="2"/>
      <x:c r="L7" s="2"/>
      <x:c r="M7" s="2"/>
      <x:c r="N7" s="2"/>
    </x:row>
    <x:row r="8">
      <x:c r="A8" s="11" t="str">
        <x:v>Step 1｜simulate_ro</x:v>
      </x:c>
      <x:c r="B8" s="11" t="str">
        <x:v>Step 1｜simulate_ro</x:v>
      </x:c>
      <x:c r="C8" s="11" t="str">
        <x:v>Step 1｜simulate_ro</x:v>
      </x:c>
      <x:c r="D8" s="11" t="str">
        <x:v>Step 1｜simulate_ro</x:v>
      </x:c>
      <x:c r="E8" s="11" t="str">
        <x:v>Step 1｜simulate_ro</x:v>
      </x:c>
      <x:c r="F8" s="11" t="str">
        <x:v>Step 1｜simulate_ro</x:v>
      </x:c>
      <x:c r="G8" s="11" t="str">
        <x:v>Step 1｜simulate_ro</x:v>
      </x:c>
      <x:c r="H8" s="11" t="str">
        <x:v>Step 1｜simulate_ro</x:v>
      </x:c>
      <x:c r="I8" s="2"/>
      <x:c r="J8" s="2"/>
      <x:c r="K8" s="2"/>
      <x:c r="L8" s="2"/>
      <x:c r="M8" s="2"/>
      <x:c r="N8" s="2"/>
    </x:row>
    <x:row r="9">
      <x:c r="A9" s="16" t="str">
        <x:v>Package</x:v>
      </x:c>
      <x:c r="B9" s="16" t="str">
        <x:v>Pressure/area</x:v>
      </x:c>
      <x:c r="C9" s="16" t="str">
        <x:v>Permeate water kg/s</x:v>
      </x:c>
      <x:c r="D9" s="16" t="str">
        <x:v>NaCl ppm</x:v>
      </x:c>
      <x:c r="E9" s="16" t="str">
        <x:v>Recovery %</x:v>
      </x:c>
      <x:c r="F9" s="16" t="str">
        <x:v>Flux LMH</x:v>
      </x:c>
      <x:c r="G9" s="16" t="str">
        <x:v>Brine NaCl g/L</x:v>
      </x:c>
      <x:c r="H9" s="16" t="str">
        <x:v>Decision</x:v>
      </x:c>
      <x:c r="I9" s="2"/>
      <x:c r="J9" s="2" t="str">
        <x:v>Candidate</x:v>
      </x:c>
      <x:c r="K9" s="2" t="str">
        <x:v>Production</x:v>
      </x:c>
      <x:c r="L9" s="2" t="str">
        <x:v>Target</x:v>
      </x:c>
      <x:c r="M9" s="2"/>
      <x:c r="N9" s="2"/>
    </x:row>
    <x:row r="10" ht="38" customHeight="1">
      <x:c r="A10" s="18" t="str">
        <x:v>P1</x:v>
      </x:c>
      <x:c r="B10" s="18" t="str">
        <x:v>65 bar / 60 m²</x:v>
      </x:c>
      <x:c r="C10" s="20" t="n">
        <x:v>0.4017127478</x:v>
      </x:c>
      <x:c r="D10" s="20" t="n">
        <x:v>336.6456762</x:v>
      </x:c>
      <x:c r="E10" s="20" t="n">
        <x:v>41.24288664</x:v>
      </x:c>
      <x:c r="F10" s="20" t="n">
        <x:v>24.10276487</x:v>
      </x:c>
      <x:c r="G10" s="20" t="n">
        <x:v>60.56440668</x:v>
      </x:c>
      <x:c r="H10" s="18" t="str">
        <x:v>Flow fails</x:v>
      </x:c>
      <x:c r="I10" s="2"/>
      <x:c r="J10" s="2" t="str">
        <x:f>A10</x:f>
        <x:v>P1</x:v>
      </x:c>
      <x:c r="K10" s="2" t="n">
        <x:f>C10</x:f>
        <x:v>0.4017127478</x:v>
      </x:c>
      <x:c r="L10" s="2" t="n">
        <x:f>0.43</x:f>
        <x:v>0.43</x:v>
      </x:c>
      <x:c r="M10" s="2"/>
      <x:c r="N10" s="2"/>
    </x:row>
    <x:row r="11" ht="38" customHeight="1">
      <x:c r="A11" s="26" t="str">
        <x:v>P2</x:v>
      </x:c>
      <x:c r="B11" s="26" t="str">
        <x:v>65 bar / 70 m²</x:v>
      </x:c>
      <x:c r="C11" s="27" t="n">
        <x:v>0.4359573254</x:v>
      </x:c>
      <x:c r="D11" s="27" t="n">
        <x:v>371.7735924</x:v>
      </x:c>
      <x:c r="E11" s="27" t="n">
        <x:v>44.75907403</x:v>
      </x:c>
      <x:c r="F11" s="27" t="n">
        <x:v>22.42066245</x:v>
      </x:c>
      <x:c r="G11" s="27" t="n">
        <x:v>64.35913008</x:v>
      </x:c>
      <x:c r="H11" s="26" t="str">
        <x:v>Unique dual pass / select</x:v>
      </x:c>
      <x:c r="I11" s="2"/>
      <x:c r="J11" s="2" t="str">
        <x:f>A11</x:f>
        <x:v>P2</x:v>
      </x:c>
      <x:c r="K11" s="2" t="n">
        <x:f>C11</x:f>
        <x:v>0.4359573254</x:v>
      </x:c>
      <x:c r="L11" s="2" t="n">
        <x:f>0.43</x:f>
        <x:v>0.43</x:v>
      </x:c>
      <x:c r="M11" s="2"/>
      <x:c r="N11" s="2"/>
    </x:row>
    <x:row r="12" ht="38" customHeight="1">
      <x:c r="A12" s="18" t="str">
        <x:v>P3</x:v>
      </x:c>
      <x:c r="B12" s="18" t="str">
        <x:v>62 bar / 80 m²</x:v>
      </x:c>
      <x:c r="C12" s="20" t="n">
        <x:v>0.4370267534</x:v>
      </x:c>
      <x:c r="D12" s="20" t="n">
        <x:v>415.9691279</x:v>
      </x:c>
      <x:c r="E12" s="20" t="n">
        <x:v>44.86934812</x:v>
      </x:c>
      <x:c r="F12" s="20" t="n">
        <x:v>19.6662039</x:v>
      </x:c>
      <x:c r="G12" s="20" t="n">
        <x:v>64.45112032</x:v>
      </x:c>
      <x:c r="H12" s="18" t="str">
        <x:v>Salinity fails</x:v>
      </x:c>
      <x:c r="I12" s="2"/>
      <x:c r="J12" s="2" t="str">
        <x:f>A12</x:f>
        <x:v>P3</x:v>
      </x:c>
      <x:c r="K12" s="2" t="n">
        <x:f>C12</x:f>
        <x:v>0.4370267534</x:v>
      </x:c>
      <x:c r="L12" s="2" t="n">
        <x:f>0.43</x:f>
        <x:v>0.43</x:v>
      </x:c>
      <x:c r="M12" s="2"/>
      <x:c r="N12" s="2"/>
    </x:row>
    <x:row r="13" ht="38" customHeight="1">
      <x:c r="A13" s="18" t="str">
        <x:v>P4</x:v>
      </x:c>
      <x:c r="B13" s="18" t="str">
        <x:v>65 bar / 80 m²</x:v>
      </x:c>
      <x:c r="C13" s="20" t="n">
        <x:v>0.465845657</x:v>
      </x:c>
      <x:c r="D13" s="20" t="n">
        <x:v>406.6277814</x:v>
      </x:c>
      <x:c r="E13" s="20" t="n">
        <x:v>47.82806491</x:v>
      </x:c>
      <x:c r="F13" s="20" t="n">
        <x:v>20.96305456</x:v>
      </x:c>
      <x:c r="G13" s="20" t="n">
        <x:v>68.07957277</x:v>
      </x:c>
      <x:c r="H13" s="18" t="str">
        <x:v>Salinity fails</x:v>
      </x:c>
      <x:c r="I13" s="2"/>
      <x:c r="J13" s="2" t="str">
        <x:f>A13</x:f>
        <x:v>P4</x:v>
      </x:c>
      <x:c r="K13" s="2" t="n">
        <x:f>C13</x:f>
        <x:v>0.465845657</x:v>
      </x:c>
      <x:c r="L13" s="2" t="n">
        <x:f>0.43</x:f>
        <x:v>0.43</x:v>
      </x:c>
      <x:c r="M13" s="2"/>
      <x:c r="N13" s="2"/>
    </x:row>
    <x:row r="14">
      <x:c r="A14" s="2"/>
      <x:c r="B14" s="2"/>
      <x:c r="C14" s="2"/>
      <x:c r="D14" s="2"/>
      <x:c r="E14" s="2"/>
      <x:c r="F14" s="2"/>
      <x:c r="G14" s="2"/>
      <x:c r="H14" s="2"/>
      <x:c r="I14" s="2"/>
      <x:c r="J14" s="2"/>
      <x:c r="K14" s="2"/>
      <x:c r="L14" s="2"/>
      <x:c r="M14" s="2"/>
      <x:c r="N14" s="2"/>
    </x:row>
    <x:row r="15">
      <x:c r="A15" s="2"/>
      <x:c r="B15" s="2"/>
      <x:c r="C15" s="2"/>
      <x:c r="D15" s="2"/>
      <x:c r="E15" s="2"/>
      <x:c r="F15" s="2"/>
      <x:c r="G15" s="2"/>
      <x:c r="H15" s="2"/>
      <x:c r="I15" s="2"/>
      <x:c r="J15" s="2"/>
      <x:c r="K15" s="2"/>
      <x:c r="L15" s="2"/>
      <x:c r="M15" s="2"/>
      <x:c r="N15" s="2"/>
    </x:row>
    <x:row r="16">
      <x:c r="A16" s="2"/>
      <x:c r="B16" s="2"/>
      <x:c r="C16" s="2"/>
      <x:c r="D16" s="2"/>
      <x:c r="E16" s="2"/>
      <x:c r="F16" s="2"/>
      <x:c r="G16" s="2"/>
      <x:c r="H16" s="2"/>
      <x:c r="I16" s="2"/>
      <x:c r="J16" s="2"/>
      <x:c r="K16" s="2"/>
      <x:c r="L16" s="2"/>
      <x:c r="M16" s="2"/>
      <x:c r="N16" s="2"/>
    </x:row>
    <x:row r="17">
      <x:c r="A17" s="11" t="str">
        <x:v>Step 2｜equilibrate_feed</x:v>
      </x:c>
      <x:c r="B17" s="11" t="str">
        <x:v>Step 2｜equilibrate_feed</x:v>
      </x:c>
      <x:c r="C17" s="11" t="str">
        <x:v>Step 2｜equilibrate_feed</x:v>
      </x:c>
      <x:c r="D17" s="11" t="str">
        <x:v>Step 2｜equilibrate_feed</x:v>
      </x:c>
      <x:c r="E17" s="11" t="str">
        <x:v>Step 2｜equilibrate_feed</x:v>
      </x:c>
      <x:c r="F17" s="11" t="str">
        <x:v>Step 2｜equilibrate_feed</x:v>
      </x:c>
      <x:c r="G17" s="11" t="str">
        <x:v>Step 2｜equilibrate_feed</x:v>
      </x:c>
      <x:c r="H17" s="11" t="str">
        <x:v>Step 2｜equilibrate_feed</x:v>
      </x:c>
      <x:c r="I17" s="11" t="str">
        <x:v>Step 2｜equilibrate_feed</x:v>
      </x:c>
      <x:c r="J17" s="2"/>
      <x:c r="K17" s="2"/>
      <x:c r="L17" s="2"/>
      <x:c r="M17" s="2"/>
      <x:c r="N17" s="2"/>
    </x:row>
    <x:row r="18">
      <x:c r="A18" s="16" t="str">
        <x:v>Case</x:v>
      </x:c>
      <x:c r="B18" s="16" t="str">
        <x:v>Residual Ba mol/s</x:v>
      </x:c>
      <x:c r="C18" s="16" t="str">
        <x:v>Ba removal</x:v>
      </x:c>
      <x:c r="D18" s="16" t="str">
        <x:v>Barite SI</x:v>
      </x:c>
      <x:c r="E18" s="16" t="str">
        <x:v>Calcite SI</x:v>
      </x:c>
      <x:c r="F18" s="16" t="str">
        <x:v>Gypsum SI</x:v>
      </x:c>
      <x:c r="G18" s="16" t="str">
        <x:v>—</x:v>
      </x:c>
      <x:c r="H18" s="16" t="str">
        <x:v>pH</x:v>
      </x:c>
      <x:c r="I18" s="16" t="str">
        <x:v>Decision</x:v>
      </x:c>
      <x:c r="J18" s="2"/>
      <x:c r="K18" s="2"/>
      <x:c r="L18" s="2"/>
      <x:c r="M18" s="2"/>
      <x:c r="N18" s="2"/>
    </x:row>
    <x:row r="19" ht="39" customHeight="1">
      <x:c r="A19" s="18" t="str">
        <x:v>Untreated</x:v>
      </x:c>
      <x:c r="B19" s="20" t="n">
        <x:v>0.00001</x:v>
      </x:c>
      <x:c r="C19" s="28" t="n">
        <x:v>0</x:v>
      </x:c>
      <x:c r="D19" s="20" t="n">
        <x:v>2.007884878</x:v>
      </x:c>
      <x:c r="E19" s="20" t="n">
        <x:v>-1.038562593</x:v>
      </x:c>
      <x:c r="F19" s="20" t="n">
        <x:v>-0.2319431897</x:v>
      </x:c>
      <x:c r="G19" s="20"/>
      <x:c r="H19" s="20" t="n">
        <x:v>6.62921176</x:v>
      </x:c>
      <x:c r="I19" s="18" t="str">
        <x:v>Severe Barite supersaturation</x:v>
      </x:c>
      <x:c r="J19" s="2"/>
      <x:c r="K19" s="2"/>
      <x:c r="L19" s="2"/>
      <x:c r="M19" s="2"/>
      <x:c r="N19" s="2"/>
    </x:row>
    <x:row r="20" ht="39" customHeight="1">
      <x:c r="A20" s="18" t="str">
        <x:v>99% Ba removal</x:v>
      </x:c>
      <x:c r="B20" s="20" t="n">
        <x:v>1e-7</x:v>
      </x:c>
      <x:c r="C20" s="28" t="n">
        <x:v>0.99</x:v>
      </x:c>
      <x:c r="D20" s="20" t="n">
        <x:v>0.0078987916</x:v>
      </x:c>
      <x:c r="E20" s="20" t="n">
        <x:v>-1.038555353</x:v>
      </x:c>
      <x:c r="F20" s="20" t="n">
        <x:v>-0.2319274145</x:v>
      </x:c>
      <x:c r="G20" s="20"/>
      <x:c r="H20" s="20" t="n">
        <x:v>6.629210642</x:v>
      </x:c>
      <x:c r="I20" s="18" t="str">
        <x:v>Misses −0.10 margin</x:v>
      </x:c>
      <x:c r="J20" s="2"/>
      <x:c r="K20" s="2"/>
      <x:c r="L20" s="2"/>
      <x:c r="M20" s="2"/>
      <x:c r="N20" s="2"/>
    </x:row>
    <x:row r="21" ht="39" customHeight="1">
      <x:c r="A21" s="26" t="str">
        <x:v>99.9% Ba removal</x:v>
      </x:c>
      <x:c r="B21" s="27" t="n">
        <x:v>1e-8</x:v>
      </x:c>
      <x:c r="C21" s="29" t="n">
        <x:v>0.999</x:v>
      </x:c>
      <x:c r="D21" s="27" t="n">
        <x:v>-0.992101082</x:v>
      </x:c>
      <x:c r="E21" s="27" t="n">
        <x:v>-1.038555288</x:v>
      </x:c>
      <x:c r="F21" s="27" t="n">
        <x:v>-0.231927271</x:v>
      </x:c>
      <x:c r="G21" s="27"/>
      <x:c r="H21" s="27" t="n">
        <x:v>6.629210632</x:v>
      </x:c>
      <x:c r="I21" s="26" t="str">
        <x:v>Minimum passing point / recommend</x:v>
      </x:c>
      <x:c r="J21" s="2"/>
      <x:c r="K21" s="2"/>
      <x:c r="L21" s="2"/>
      <x:c r="M21" s="2"/>
      <x:c r="N21" s="2"/>
    </x:row>
    <x:row r="22" ht="39" customHeight="1">
      <x:c r="A22" s="18" t="str">
        <x:v>99.99% Ba removal</x:v>
      </x:c>
      <x:c r="B22" s="20" t="n">
        <x:v>1e-9</x:v>
      </x:c>
      <x:c r="C22" s="28" t="n">
        <x:v>0.9999</x:v>
      </x:c>
      <x:c r="D22" s="20" t="n">
        <x:v>-1.992101069</x:v>
      </x:c>
      <x:c r="E22" s="20" t="n">
        <x:v>-1.038555281</x:v>
      </x:c>
      <x:c r="F22" s="20" t="n">
        <x:v>-0.2319272567</x:v>
      </x:c>
      <x:c r="G22" s="20"/>
      <x:c r="H22" s="20" t="n">
        <x:v>6.629210631</x:v>
      </x:c>
      <x:c r="I22" s="18" t="str">
        <x:v>Pass but excessive treatment</x:v>
      </x:c>
      <x:c r="J22" s="2"/>
      <x:c r="K22" s="2"/>
      <x:c r="L22" s="2"/>
      <x:c r="M22" s="2"/>
      <x:c r="N22" s="2"/>
    </x:row>
    <x:row r="23">
      <x:c r="A23" s="2"/>
      <x:c r="B23" s="2"/>
      <x:c r="C23" s="2"/>
      <x:c r="D23" s="2"/>
      <x:c r="E23" s="2"/>
      <x:c r="F23" s="2"/>
      <x:c r="G23" s="2"/>
      <x:c r="H23" s="2"/>
      <x:c r="I23" s="2"/>
      <x:c r="J23" s="2"/>
      <x:c r="K23" s="2"/>
      <x:c r="L23" s="2"/>
      <x:c r="M23" s="2"/>
      <x:c r="N23" s="2"/>
    </x:row>
    <x:row r="24">
      <x:c r="A24" s="2"/>
      <x:c r="B24" s="2"/>
      <x:c r="C24" s="2"/>
      <x:c r="D24" s="2"/>
      <x:c r="E24" s="2"/>
      <x:c r="F24" s="2"/>
      <x:c r="G24" s="2"/>
      <x:c r="H24" s="2"/>
      <x:c r="I24" s="2"/>
      <x:c r="J24" s="2"/>
      <x:c r="K24" s="2"/>
      <x:c r="L24" s="2"/>
      <x:c r="M24" s="2"/>
      <x:c r="N24" s="2"/>
    </x:row>
    <x:row r="25">
      <x:c r="A25" s="11" t="str">
        <x:v>Engineering calculations</x:v>
      </x:c>
      <x:c r="B25" s="11" t="str">
        <x:v>Engineering calculations</x:v>
      </x:c>
      <x:c r="C25" s="11" t="str">
        <x:v>Engineering calculations</x:v>
      </x:c>
      <x:c r="D25" s="2"/>
      <x:c r="E25"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F25"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G25"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H25"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I25"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J25"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K25"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L25"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M25"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N25"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row>
    <x:row r="26">
      <x:c r="A26" s="16" t="str">
        <x:v>Metric</x:v>
      </x:c>
      <x:c r="B26" s="16" t="str">
        <x:v>Formula</x:v>
      </x:c>
      <x:c r="C26" s="16" t="str">
        <x:v>Result</x:v>
      </x:c>
      <x:c r="D26" s="2"/>
      <x:c r="E26"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F26"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G26"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H26"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I26"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J26"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K26"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L26"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M26"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N26"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row>
    <x:row r="27">
      <x:c r="A27" s="18" t="str">
        <x:v>Daily permeate</x:v>
      </x:c>
      <x:c r="B27" s="18" t="str">
        <x:v>=C11*86400/1000</x:v>
      </x:c>
      <x:c r="C27" s="20" t="n">
        <x:f>C11*86400/1000</x:f>
        <x:v>37.666712914559994</x:v>
      </x:c>
      <x:c r="D27" s="2"/>
      <x:c r="E27"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F27"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G27"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H27"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I27"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J27"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K27"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L27"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M27"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N27"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row>
    <x:row r="28">
      <x:c r="A28" s="18" t="str">
        <x:v>Selected recovery</x:v>
      </x:c>
      <x:c r="B28" s="18" t="str">
        <x:v>=E11/100</x:v>
      </x:c>
      <x:c r="C28" s="20" t="n">
        <x:f>E11/100</x:f>
        <x:v>0.4475907403</x:v>
      </x:c>
      <x:c r="D28" s="2"/>
      <x:c r="E28"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F28"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G28"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H28"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I28"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J28"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K28"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L28"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M28"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N28"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row>
    <x:row r="29">
      <x:c r="A29" s="18" t="str">
        <x:v>Ba removal</x:v>
      </x:c>
      <x:c r="B29" s="18" t="str">
        <x:v>=C21</x:v>
      </x:c>
      <x:c r="C29" s="20" t="n">
        <x:f>C21</x:f>
        <x:v>0.999</x:v>
      </x:c>
      <x:c r="D29" s="2"/>
      <x:c r="E29"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F29"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G29"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H29"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I29"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J29"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K29"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L29"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M29"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N29"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row>
    <x:row r="30">
      <x:c r="A30" s="18" t="str">
        <x:v>Residual Ba</x:v>
      </x:c>
      <x:c r="B30" s="18" t="str">
        <x:v>=B21</x:v>
      </x:c>
      <x:c r="C30" s="20" t="n">
        <x:f>B21</x:f>
        <x:v>1e-8</x:v>
      </x:c>
      <x:c r="D30" s="2"/>
      <x:c r="E30"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F30"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G30"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H30"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I30"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J30"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K30"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L30"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M30"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c r="N30" s="25" t="str">
        <x:v>Boundary evidence
More area is not automatically better: P3/P4 produce more water but reach 415.97/406.63 ppm. P2 is the only dual pass; Barite SI changes from +0.00790 at 99% removal to −0.99210 at 99.9%.
Final conclusion
Recommend winter package P2: 65 bar, 70 m², plus 99.9% selective Ba removal. Permeate water is 0.43596 kg/s, NaCl 371.77 ppm, recovery 44.7591%, and Barite SI −0.99210.</x:v>
      </x:c>
    </x:row>
    <x:row r="31">
      <x:c r="A31" s="2"/>
      <x:c r="B31" s="2"/>
      <x:c r="C31" s="2"/>
      <x:c r="D31" s="2"/>
      <x:c r="E31" s="2"/>
      <x:c r="F31" s="2"/>
      <x:c r="G31" s="2"/>
      <x:c r="H31" s="2"/>
      <x:c r="I31" s="2"/>
      <x:c r="J31" s="2"/>
      <x:c r="K31" s="2"/>
      <x:c r="L31" s="2"/>
      <x:c r="M31" s="2"/>
      <x:c r="N31" s="2"/>
    </x:row>
    <x:row r="32">
      <x:c r="A32" s="2"/>
      <x:c r="B32" s="2"/>
      <x:c r="C32" s="2"/>
      <x:c r="D32" s="2"/>
      <x:c r="E32" s="2"/>
      <x:c r="F32" s="2"/>
      <x:c r="G32" s="2"/>
      <x:c r="H32" s="2"/>
      <x:c r="I32" s="2"/>
      <x:c r="J32" s="2"/>
      <x:c r="K32" s="2"/>
      <x:c r="L32" s="2"/>
      <x:c r="M32" s="2"/>
      <x:c r="N32" s="2"/>
    </x:row>
    <x:row r="33">
      <x:c r="A33" s="11" t="str">
        <x:v>Model boundary and reproducibility</x:v>
      </x:c>
      <x:c r="B33" s="11" t="str">
        <x:v>Model boundary and reproducibility</x:v>
      </x:c>
      <x:c r="C33" s="11" t="str">
        <x:v>Model boundary and reproducibility</x:v>
      </x:c>
      <x:c r="D33" s="11" t="str">
        <x:v>Model boundary and reproducibility</x:v>
      </x:c>
      <x:c r="E33" s="11" t="str">
        <x:v>Model boundary and reproducibility</x:v>
      </x:c>
      <x:c r="F33" s="11" t="str">
        <x:v>Model boundary and reproducibility</x:v>
      </x:c>
      <x:c r="G33" s="11" t="str">
        <x:v>Model boundary and reproducibility</x:v>
      </x:c>
      <x:c r="H33" s="11" t="str">
        <x:v>Model boundary and reproducibility</x:v>
      </x:c>
      <x:c r="I33" s="11" t="str">
        <x:v>Model boundary and reproducibility</x:v>
      </x:c>
      <x:c r="J33" s="11" t="str">
        <x:v>Model boundary and reproducibility</x:v>
      </x:c>
      <x:c r="K33" s="11" t="str">
        <x:v>Model boundary and reproducibility</x:v>
      </x:c>
      <x:c r="L33" s="11" t="str">
        <x:v>Model boundary and reproducibility</x:v>
      </x:c>
      <x:c r="M33" s="11" t="str">
        <x:v>Model boundary and reproducibility</x:v>
      </x:c>
      <x:c r="N33" s="11" t="str">
        <x:v>Model boundary and reproducibility</x:v>
      </x:c>
    </x:row>
    <x:row r="34" ht="28" customHeight="1">
      <x:c r="A34"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B34"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C34"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D34"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E34"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F34"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G34"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H34"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I34"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J34"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K34"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L34"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M34"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N34"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row>
    <x:row r="35" ht="28" customHeight="1">
      <x:c r="A35"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B35"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C35"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D35"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E35"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F35"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G35"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H35"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I35"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J35"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K35"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L35"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M35"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N35"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row>
    <x:row r="36" ht="28" customHeight="1">
      <x:c r="A36"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B36"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C36"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D36"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E36"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F36"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G36"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H36"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I36"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J36"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K36"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L36"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M36"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N36"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row>
    <x:row r="37" ht="28" customHeight="1">
      <x:c r="A37"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B37"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C37"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D37"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E37"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F37"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G37"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H37"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I37"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J37"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K37"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L37"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M37"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c r="N37" s="9" t="str">
        <x:v>Reference scientific calls: 4 simulate_ro + 4 equilibrate_feed. The RO and ionic-chemistry models are coupled by actual recovery; their salinity representations and osmotic pressures need not match exactly. Equilibrium SI excludes nucleation/kinetics, fouling, dynamic antiscalant performance, control error, corrosion, and chemical mixing.</x:v>
      </x:c>
    </x:row>
    <x:row r="38">
      <x:c r="A38" s="2"/>
      <x:c r="B38" s="2"/>
      <x:c r="C38" s="2"/>
      <x:c r="D38" s="2"/>
      <x:c r="E38" s="2"/>
      <x:c r="F38" s="2"/>
      <x:c r="G38" s="2"/>
      <x:c r="H38" s="2"/>
      <x:c r="I38" s="2"/>
      <x:c r="J38" s="2"/>
      <x:c r="K38" s="2"/>
      <x:c r="L38" s="2"/>
      <x:c r="M38" s="2"/>
      <x:c r="N38" s="2"/>
    </x:row>
    <x:row r="39">
      <x:c r="A39" s="2"/>
      <x:c r="B39" s="2"/>
      <x:c r="C39" s="2"/>
      <x:c r="D39" s="2"/>
      <x:c r="E39" s="2"/>
      <x:c r="F39" s="2"/>
      <x:c r="G39" s="2"/>
      <x:c r="H39" s="2"/>
      <x:c r="I39" s="2"/>
      <x:c r="J39" s="2"/>
      <x:c r="K39" s="2"/>
      <x:c r="L39" s="2"/>
      <x:c r="M39" s="2"/>
      <x:c r="N39" s="2"/>
    </x:row>
    <x:row r="40">
      <x:c r="A40" s="2"/>
      <x:c r="B40" s="2"/>
      <x:c r="C40" s="2"/>
      <x:c r="D40" s="2"/>
      <x:c r="E40" s="2"/>
      <x:c r="F40" s="2"/>
      <x:c r="G40" s="2"/>
      <x:c r="H40" s="2"/>
      <x:c r="I40" s="2"/>
      <x:c r="J40" s="2"/>
      <x:c r="K40" s="2"/>
      <x:c r="L40" s="2"/>
      <x:c r="M40" s="2"/>
      <x:c r="N40" s="2"/>
    </x:row>
    <x:row r="41">
      <x:c r="A41" s="2"/>
      <x:c r="B41" s="2"/>
      <x:c r="C41" s="2"/>
      <x:c r="D41" s="2"/>
      <x:c r="E41" s="2"/>
      <x:c r="F41" s="2"/>
      <x:c r="G41" s="2"/>
      <x:c r="H41" s="2"/>
      <x:c r="I41" s="2"/>
      <x:c r="J41" s="2"/>
      <x:c r="K41" s="2"/>
      <x:c r="L41" s="2"/>
      <x:c r="M41" s="2"/>
      <x:c r="N41" s="2"/>
    </x:row>
    <x:row r="42">
      <x:c r="A42" s="2"/>
      <x:c r="B42" s="2"/>
      <x:c r="C42" s="2"/>
      <x:c r="D42" s="2"/>
      <x:c r="E42" s="2"/>
      <x:c r="F42" s="2"/>
      <x:c r="G42" s="2"/>
      <x:c r="H42" s="2"/>
      <x:c r="I42" s="2"/>
      <x:c r="J42" s="2"/>
      <x:c r="K42" s="2"/>
      <x:c r="L42" s="2"/>
      <x:c r="M42" s="2"/>
      <x:c r="N42" s="2"/>
    </x:row>
    <x:row r="43">
      <x:c r="A43" s="2"/>
      <x:c r="B43" s="2"/>
      <x:c r="C43" s="2"/>
      <x:c r="D43" s="2"/>
      <x:c r="E43" s="2"/>
      <x:c r="F43" s="2"/>
      <x:c r="G43" s="2"/>
      <x:c r="H43" s="2"/>
      <x:c r="I43" s="2"/>
      <x:c r="J43" s="2"/>
      <x:c r="K43" s="2"/>
      <x:c r="L43" s="2"/>
      <x:c r="M43" s="2"/>
      <x:c r="N43" s="2"/>
    </x:row>
    <x:row r="44">
      <x:c r="A44" s="2"/>
      <x:c r="B44" s="2"/>
      <x:c r="C44" s="2"/>
      <x:c r="D44" s="2"/>
      <x:c r="E44" s="2"/>
      <x:c r="F44" s="2"/>
      <x:c r="G44" s="2"/>
      <x:c r="H44" s="2"/>
      <x:c r="I44" s="2"/>
      <x:c r="J44" s="2"/>
      <x:c r="K44" s="2"/>
      <x:c r="L44" s="2"/>
      <x:c r="M44" s="2"/>
      <x:c r="N44" s="2"/>
    </x:row>
    <x:row r="45">
      <x:c r="A45" s="2"/>
      <x:c r="B45" s="2"/>
      <x:c r="C45" s="2"/>
      <x:c r="D45" s="2"/>
      <x:c r="E45" s="2"/>
      <x:c r="F45" s="2"/>
      <x:c r="G45" s="2"/>
      <x:c r="H45" s="2"/>
      <x:c r="I45" s="2"/>
      <x:c r="J45" s="2"/>
      <x:c r="K45" s="2"/>
      <x:c r="L45" s="2"/>
      <x:c r="M45" s="2"/>
      <x:c r="N45" s="2"/>
    </x:row>
    <x:row r="46">
      <x:c r="A46" s="2"/>
      <x:c r="B46" s="2"/>
      <x:c r="C46" s="2"/>
      <x:c r="D46" s="2"/>
      <x:c r="E46" s="2"/>
      <x:c r="F46" s="2"/>
      <x:c r="G46" s="2"/>
      <x:c r="H46" s="2"/>
      <x:c r="I46" s="2"/>
      <x:c r="J46" s="2"/>
      <x:c r="K46" s="2"/>
      <x:c r="L46" s="2"/>
      <x:c r="M46" s="2"/>
      <x:c r="N46" s="2"/>
    </x:row>
    <x:row r="47">
      <x:c r="A47" s="2"/>
      <x:c r="B47" s="2"/>
      <x:c r="C47" s="2"/>
      <x:c r="D47" s="2"/>
      <x:c r="E47" s="2"/>
      <x:c r="F47" s="2"/>
      <x:c r="G47" s="2"/>
      <x:c r="H47" s="2"/>
      <x:c r="I47" s="2"/>
      <x:c r="J47" s="2"/>
      <x:c r="K47" s="2"/>
      <x:c r="L47" s="2"/>
      <x:c r="M47" s="2"/>
      <x:c r="N47" s="2"/>
    </x:row>
    <x:row r="48">
      <x:c r="A48" s="2"/>
      <x:c r="B48" s="2"/>
      <x:c r="C48" s="2"/>
      <x:c r="D48" s="2"/>
      <x:c r="E48" s="2"/>
      <x:c r="F48" s="2"/>
      <x:c r="G48" s="2"/>
      <x:c r="H48" s="2"/>
      <x:c r="I48" s="2"/>
      <x:c r="J48" s="2"/>
      <x:c r="K48" s="2"/>
      <x:c r="L48" s="2"/>
      <x:c r="M48" s="2"/>
      <x:c r="N48" s="2"/>
    </x:row>
  </x:sheetData>
  <x:mergeCells>
    <x:mergeCell ref="A1:N2"/>
    <x:mergeCell ref="A4:N6"/>
    <x:mergeCell ref="A8:H8"/>
    <x:mergeCell ref="A17:I17"/>
    <x:mergeCell ref="A25:C25"/>
    <x:mergeCell ref="E25:N30"/>
    <x:mergeCell ref="A33:N33"/>
    <x:mergeCell ref="A34:N37"/>
  </x:mergeCells>
  <x:pageMargins left="0.7" right="0.7" top="0.75" bottom="0.75" header="0.3" footer="0.3"/>
  <x:drawing xmlns:r="http://schemas.openxmlformats.org/officeDocument/2006/relationships" r:id="R46233b2313b94600"/>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35" hidden="0" customWidth="1"/>
    <x:col min="3" max="3" width="53" hidden="0" customWidth="1"/>
    <x:col min="4" max="4" width="43" hidden="0" customWidth="1"/>
    <x:col min="5" max="5" width="43" hidden="0" customWidth="1"/>
    <x:col min="6" max="6" width="12" hidden="0" customWidth="1"/>
    <x:col min="7" max="7" width="12" hidden="0" customWidth="1"/>
  </x:cols>
  <x:sheetData>
    <x:row r="1" ht="29" customHeight="1">
      <x:c r="A1" s="6" t="str">
        <x:v>N02｜Trajectory Rubric (100 points)</x:v>
      </x:c>
      <x:c r="B1" s="6" t="str">
        <x:v>N02｜Trajectory Rubric (100 points)</x:v>
      </x:c>
      <x:c r="C1" s="6" t="str">
        <x:v>N02｜Trajectory Rubric (100 points)</x:v>
      </x:c>
      <x:c r="D1" s="6" t="str">
        <x:v>N02｜Trajectory Rubric (100 points)</x:v>
      </x:c>
      <x:c r="E1" s="6" t="str">
        <x:v>N02｜Trajectory Rubric (100 points)</x:v>
      </x:c>
      <x:c r="F1" s="6" t="str">
        <x:v>N02｜Trajectory Rubric (100 points)</x:v>
      </x:c>
      <x:c r="G1" s="6" t="str">
        <x:v>N02｜Trajectory Rubric (100 points)</x:v>
      </x:c>
      <x:c r="H1" s="2"/>
      <x:c r="I1" s="2"/>
      <x:c r="J1" s="2"/>
      <x:c r="K1" s="2"/>
      <x:c r="L1" s="2"/>
      <x:c r="M1" s="2"/>
      <x:c r="N1" s="2"/>
    </x:row>
    <x:row r="2" ht="29" customHeight="1">
      <x:c r="A2" s="6" t="str">
        <x:v>N02｜Trajectory Rubric (100 points)</x:v>
      </x:c>
      <x:c r="B2" s="6" t="str">
        <x:v>N02｜Trajectory Rubric (100 points)</x:v>
      </x:c>
      <x:c r="C2" s="6" t="str">
        <x:v>N02｜Trajectory Rubric (100 points)</x:v>
      </x:c>
      <x:c r="D2" s="6" t="str">
        <x:v>N02｜Trajectory Rubric (100 points)</x:v>
      </x:c>
      <x:c r="E2" s="6" t="str">
        <x:v>N02｜Trajectory Rubric (100 points)</x:v>
      </x:c>
      <x:c r="F2" s="6" t="str">
        <x:v>N02｜Trajectory Rubric (100 points)</x:v>
      </x:c>
      <x:c r="G2" s="6" t="str">
        <x:v>N02｜Trajectory Rubric (100 points)</x:v>
      </x:c>
      <x:c r="H2" s="2"/>
      <x:c r="I2" s="2"/>
      <x:c r="J2" s="2"/>
      <x:c r="K2" s="2"/>
      <x:c r="L2" s="2"/>
      <x:c r="M2" s="2"/>
      <x:c r="N2" s="2"/>
    </x:row>
    <x:row r="3">
      <x:c r="A3" s="2"/>
      <x:c r="B3" s="2"/>
      <x:c r="C3" s="2"/>
      <x:c r="D3" s="2"/>
      <x:c r="E3" s="2"/>
      <x:c r="F3" s="2"/>
      <x:c r="G3" s="2"/>
      <x:c r="H3" s="2"/>
      <x:c r="I3" s="2"/>
      <x:c r="J3" s="2"/>
      <x:c r="K3" s="2"/>
      <x:c r="L3" s="2"/>
      <x:c r="M3" s="2"/>
      <x:c r="N3" s="2"/>
    </x:row>
    <x:row r="4">
      <x:c r="A4" s="9" t="str">
        <x:v>Evaluate the complete state→plan→tool→observation→update→pruning→stop trajectory. Require cross-model recovery transfer, adjacent fail/pass evidence, and engineering constraints—not just the final number.</x:v>
      </x:c>
      <x:c r="B4" s="9" t="str">
        <x:v>Evaluate the complete state→plan→tool→observation→update→pruning→stop trajectory. Require cross-model recovery transfer, adjacent fail/pass evidence, and engineering constraints—not just the final number.</x:v>
      </x:c>
      <x:c r="C4" s="9" t="str">
        <x:v>Evaluate the complete state→plan→tool→observation→update→pruning→stop trajectory. Require cross-model recovery transfer, adjacent fail/pass evidence, and engineering constraints—not just the final number.</x:v>
      </x:c>
      <x:c r="D4" s="9" t="str">
        <x:v>Evaluate the complete state→plan→tool→observation→update→pruning→stop trajectory. Require cross-model recovery transfer, adjacent fail/pass evidence, and engineering constraints—not just the final number.</x:v>
      </x:c>
      <x:c r="E4" s="9" t="str">
        <x:v>Evaluate the complete state→plan→tool→observation→update→pruning→stop trajectory. Require cross-model recovery transfer, adjacent fail/pass evidence, and engineering constraints—not just the final number.</x:v>
      </x:c>
      <x:c r="F4" s="9" t="str">
        <x:v>Evaluate the complete state→plan→tool→observation→update→pruning→stop trajectory. Require cross-model recovery transfer, adjacent fail/pass evidence, and engineering constraints—not just the final number.</x:v>
      </x:c>
      <x:c r="G4" s="9" t="str">
        <x:v>Evaluate the complete state→plan→tool→observation→update→pruning→stop trajectory. Require cross-model recovery transfer, adjacent fail/pass evidence, and engineering constraints—not just the final number.</x:v>
      </x:c>
      <x:c r="H4" s="2"/>
      <x:c r="I4" s="2"/>
      <x:c r="J4" s="2"/>
      <x:c r="K4" s="2"/>
      <x:c r="L4" s="2"/>
      <x:c r="M4" s="2"/>
      <x:c r="N4" s="2"/>
    </x:row>
    <x:row r="5">
      <x:c r="A5" s="9" t="str">
        <x:v>Evaluate the complete state→plan→tool→observation→update→pruning→stop trajectory. Require cross-model recovery transfer, adjacent fail/pass evidence, and engineering constraints—not just the final number.</x:v>
      </x:c>
      <x:c r="B5" s="9" t="str">
        <x:v>Evaluate the complete state→plan→tool→observation→update→pruning→stop trajectory. Require cross-model recovery transfer, adjacent fail/pass evidence, and engineering constraints—not just the final number.</x:v>
      </x:c>
      <x:c r="C5" s="9" t="str">
        <x:v>Evaluate the complete state→plan→tool→observation→update→pruning→stop trajectory. Require cross-model recovery transfer, adjacent fail/pass evidence, and engineering constraints—not just the final number.</x:v>
      </x:c>
      <x:c r="D5" s="9" t="str">
        <x:v>Evaluate the complete state→plan→tool→observation→update→pruning→stop trajectory. Require cross-model recovery transfer, adjacent fail/pass evidence, and engineering constraints—not just the final number.</x:v>
      </x:c>
      <x:c r="E5" s="9" t="str">
        <x:v>Evaluate the complete state→plan→tool→observation→update→pruning→stop trajectory. Require cross-model recovery transfer, adjacent fail/pass evidence, and engineering constraints—not just the final number.</x:v>
      </x:c>
      <x:c r="F5" s="9" t="str">
        <x:v>Evaluate the complete state→plan→tool→observation→update→pruning→stop trajectory. Require cross-model recovery transfer, adjacent fail/pass evidence, and engineering constraints—not just the final number.</x:v>
      </x:c>
      <x:c r="G5" s="9" t="str">
        <x:v>Evaluate the complete state→plan→tool→observation→update→pruning→stop trajectory. Require cross-model recovery transfer, adjacent fail/pass evidence, and engineering constraints—not just the final number.</x:v>
      </x:c>
      <x:c r="H5" s="2"/>
      <x:c r="I5" s="2"/>
      <x:c r="J5" s="2"/>
      <x:c r="K5" s="2"/>
      <x:c r="L5" s="2"/>
      <x:c r="M5" s="2"/>
      <x:c r="N5" s="2"/>
    </x:row>
    <x:row r="6">
      <x:c r="A6" s="9" t="str">
        <x:v>Evaluate the complete state→plan→tool→observation→update→pruning→stop trajectory. Require cross-model recovery transfer, adjacent fail/pass evidence, and engineering constraints—not just the final number.</x:v>
      </x:c>
      <x:c r="B6" s="9" t="str">
        <x:v>Evaluate the complete state→plan→tool→observation→update→pruning→stop trajectory. Require cross-model recovery transfer, adjacent fail/pass evidence, and engineering constraints—not just the final number.</x:v>
      </x:c>
      <x:c r="C6" s="9" t="str">
        <x:v>Evaluate the complete state→plan→tool→observation→update→pruning→stop trajectory. Require cross-model recovery transfer, adjacent fail/pass evidence, and engineering constraints—not just the final number.</x:v>
      </x:c>
      <x:c r="D6" s="9" t="str">
        <x:v>Evaluate the complete state→plan→tool→observation→update→pruning→stop trajectory. Require cross-model recovery transfer, adjacent fail/pass evidence, and engineering constraints—not just the final number.</x:v>
      </x:c>
      <x:c r="E6" s="9" t="str">
        <x:v>Evaluate the complete state→plan→tool→observation→update→pruning→stop trajectory. Require cross-model recovery transfer, adjacent fail/pass evidence, and engineering constraints—not just the final number.</x:v>
      </x:c>
      <x:c r="F6" s="9" t="str">
        <x:v>Evaluate the complete state→plan→tool→observation→update→pruning→stop trajectory. Require cross-model recovery transfer, adjacent fail/pass evidence, and engineering constraints—not just the final number.</x:v>
      </x:c>
      <x:c r="G6" s="9" t="str">
        <x:v>Evaluate the complete state→plan→tool→observation→update→pruning→stop trajectory. Require cross-model recovery transfer, adjacent fail/pass evidence, and engineering constraints—not just the final number.</x:v>
      </x:c>
      <x:c r="H6" s="2"/>
      <x:c r="I6" s="2"/>
      <x:c r="J6" s="2"/>
      <x:c r="K6" s="2"/>
      <x:c r="L6" s="2"/>
      <x:c r="M6" s="2"/>
      <x:c r="N6" s="2"/>
    </x:row>
    <x:row r="7">
      <x:c r="A7" s="2"/>
      <x:c r="B7" s="2"/>
      <x:c r="C7" s="2"/>
      <x:c r="D7" s="2"/>
      <x:c r="E7" s="2"/>
      <x:c r="F7" s="2"/>
      <x:c r="G7" s="2"/>
      <x:c r="H7" s="2"/>
      <x:c r="I7" s="2"/>
      <x:c r="J7" s="2"/>
      <x:c r="K7" s="2"/>
      <x:c r="L7" s="2"/>
      <x:c r="M7" s="2"/>
      <x:c r="N7" s="2"/>
    </x:row>
    <x:row r="8">
      <x:c r="A8" s="16" t="str">
        <x:v>Dimension</x:v>
      </x:c>
      <x:c r="B8" s="16" t="str">
        <x:v>Focus</x:v>
      </x:c>
      <x:c r="C8" s="16" t="str">
        <x:v>Full credit</x:v>
      </x:c>
      <x:c r="D8" s="16" t="str">
        <x:v>Partial credit</x:v>
      </x:c>
      <x:c r="E8" s="16" t="str">
        <x:v>Critical failure</x:v>
      </x:c>
      <x:c r="F8" s="16" t="str">
        <x:v>Weight</x:v>
      </x:c>
      <x:c r="G8" s="16" t="str">
        <x:v>Score</x:v>
      </x:c>
      <x:c r="H8" s="2"/>
      <x:c r="I8" s="2"/>
      <x:c r="J8" s="2"/>
      <x:c r="K8" s="2"/>
      <x:c r="L8" s="2"/>
      <x:c r="M8" s="2"/>
      <x:c r="N8" s="2"/>
    </x:row>
    <x:row r="9" ht="80" customHeight="1">
      <x:c r="A9" s="18" t="str">
        <x:v>TQ1 Problem representation</x:v>
      </x:c>
      <x:c r="B9" s="18" t="str">
        <x:v>Recognize production and second constraint</x:v>
      </x:c>
      <x:c r="C9" s="18" t="str">
        <x:v>Correctly represent: Permeate water ≥0.430 kg/s; NaCl ≤400 ppm</x:v>
      </x:c>
      <x:c r="D9" s="18" t="str">
        <x:v>Main goal correct but one constraint missing</x:v>
      </x:c>
      <x:c r="E9" s="18" t="str">
        <x:v>Select on production or SI alone</x:v>
      </x:c>
      <x:c r="F9" s="18" t="n">
        <x:v>15</x:v>
      </x:c>
      <x:c r="G9" s="18"/>
      <x:c r="H9" s="2"/>
      <x:c r="I9" s="2"/>
      <x:c r="J9" s="2"/>
      <x:c r="K9" s="2"/>
      <x:c r="L9" s="2"/>
      <x:c r="M9" s="2"/>
      <x:c r="N9" s="2"/>
    </x:row>
    <x:row r="10" ht="80" customHeight="1">
      <x:c r="A10" s="18" t="str">
        <x:v>TQ2 Tool choice</x:v>
      </x:c>
      <x:c r="B10" s="18" t="str">
        <x:v>Use simulate_ro and equilibrate_feed correctly</x:v>
      </x:c>
      <x:c r="C10" s="18" t="str">
        <x:v>Clear model roles and correct units</x:v>
      </x:c>
      <x:c r="D10" s="18" t="str">
        <x:v>Right tools but incomplete unit/metadata basis</x:v>
      </x:c>
      <x:c r="E10" s="18" t="str">
        <x:v>Wrong module/plant tool or one tool only</x:v>
      </x:c>
      <x:c r="F10" s="18" t="n">
        <x:v>15</x:v>
      </x:c>
      <x:c r="G10" s="18"/>
      <x:c r="H10" s="2"/>
      <x:c r="I10" s="2"/>
      <x:c r="J10" s="2"/>
      <x:c r="K10" s="2"/>
      <x:c r="L10" s="2"/>
      <x:c r="M10" s="2"/>
      <x:c r="N10" s="2"/>
    </x:row>
    <x:row r="11" ht="80" customHeight="1">
      <x:c r="A11" s="18" t="str">
        <x:v>TQ3 Controlled comparison</x:v>
      </x:c>
      <x:c r="B11" s="18" t="str">
        <x:v>Hold non-target inputs fixed</x:v>
      </x:c>
      <x:c r="C11" s="18" t="str">
        <x:v>Only stated design variables change</x:v>
      </x:c>
      <x:c r="D11" s="18" t="str">
        <x:v>Minor non-controlling difference</x:v>
      </x:c>
      <x:c r="E11" s="18" t="str">
        <x:v>Change salinity, temperature, or composition across candidates</x:v>
      </x:c>
      <x:c r="F11" s="18" t="n">
        <x:v>15</x:v>
      </x:c>
      <x:c r="G11" s="18"/>
      <x:c r="H11" s="2"/>
      <x:c r="I11" s="2"/>
      <x:c r="J11" s="2"/>
      <x:c r="K11" s="2"/>
      <x:c r="L11" s="2"/>
      <x:c r="M11" s="2"/>
      <x:c r="N11" s="2"/>
    </x:row>
    <x:row r="12" ht="80" customHeight="1">
      <x:c r="A12" s="18" t="str">
        <x:v>TQ4 Cross-model coupling</x:v>
      </x:c>
      <x:c r="B12" s="18" t="str">
        <x:v>Pass actual recovery</x:v>
      </x:c>
      <x:c r="C12" s="18" t="str">
        <x:v>Selected and necessary boundary cases use actual simulate_ro recovery</x:v>
      </x:c>
      <x:c r="D12" s="18" t="str">
        <x:v>Rounding only</x:v>
      </x:c>
      <x:c r="E12" s="18" t="str">
        <x:v>Use nominal or target recovery</x:v>
      </x:c>
      <x:c r="F12" s="18" t="n">
        <x:v>20</x:v>
      </x:c>
      <x:c r="G12" s="18"/>
      <x:c r="H12" s="2"/>
      <x:c r="I12" s="2"/>
      <x:c r="J12" s="2"/>
      <x:c r="K12" s="2"/>
      <x:c r="L12" s="2"/>
      <x:c r="M12" s="2"/>
      <x:c r="N12" s="2"/>
    </x:row>
    <x:row r="13" ht="80" customHeight="1">
      <x:c r="A13" s="18" t="str">
        <x:v>TQ5 Boundary proof</x:v>
      </x:c>
      <x:c r="B13" s="18" t="str">
        <x:v>Adjacent fail/pass evidence</x:v>
      </x:c>
      <x:c r="C13" s="18" t="str">
        <x:v>More area is not automatically better: P3/P4 produce more water but reach 415.97/406.63 ppm. P2 is the only dual pass; Barite SI changes from +0.00790 at 99% removal to −0.99210 at 99.9%.</x:v>
      </x:c>
      <x:c r="D13" s="18" t="str">
        <x:v>Right answer but one boundary missing</x:v>
      </x:c>
      <x:c r="E13" s="18" t="str">
        <x:v>Report selected point only</x:v>
      </x:c>
      <x:c r="F13" s="18" t="n">
        <x:v>20</x:v>
      </x:c>
      <x:c r="G13" s="18"/>
      <x:c r="H13" s="2"/>
      <x:c r="I13" s="2"/>
      <x:c r="J13" s="2"/>
      <x:c r="K13" s="2"/>
      <x:c r="L13" s="2"/>
      <x:c r="M13" s="2"/>
      <x:c r="N13" s="2"/>
    </x:row>
    <x:row r="14" ht="80" customHeight="1">
      <x:c r="A14" s="18" t="str">
        <x:v>TQ6 Decision and scope</x:v>
      </x:c>
      <x:c r="B14" s="18" t="str">
        <x:v>Executable conclusion and model limits</x:v>
      </x:c>
      <x:c r="C14" s="18" t="str">
        <x:v>Recommend winter package P2: 65 bar, 70 m², plus 99.9% selective Ba removal. Permeate water is 0.43596 kg/s, NaCl 371.77 ppm, recovery 44.7591%, and Barite SI −0.99210.</x:v>
      </x:c>
      <x:c r="D14" s="18" t="str">
        <x:v>Right conclusion but missing value or limitation</x:v>
      </x:c>
      <x:c r="E14" s="18" t="str">
        <x:v>Recommend failing case or treat SI as guarantee</x:v>
      </x:c>
      <x:c r="F14" s="18" t="n">
        <x:v>15</x:v>
      </x:c>
      <x:c r="G14" s="18"/>
      <x:c r="H14" s="2"/>
      <x:c r="I14" s="2"/>
      <x:c r="J14" s="2"/>
      <x:c r="K14" s="2"/>
      <x:c r="L14" s="2"/>
      <x:c r="M14" s="2"/>
      <x:c r="N14" s="2"/>
    </x:row>
    <x:row r="15">
      <x:c r="A15" s="2"/>
      <x:c r="B15" s="2"/>
      <x:c r="C15" s="2"/>
      <x:c r="D15" s="2"/>
      <x:c r="E15" s="2"/>
      <x:c r="F15" s="2"/>
      <x:c r="G15" s="2"/>
      <x:c r="H15" s="2"/>
      <x:c r="I15" s="2"/>
      <x:c r="J15" s="2"/>
      <x:c r="K15" s="2"/>
      <x:c r="L15" s="2"/>
      <x:c r="M15" s="2"/>
      <x:c r="N15" s="2"/>
    </x:row>
    <x:row r="16">
      <x:c r="A16" s="2"/>
      <x:c r="B16" s="2"/>
      <x:c r="C16" s="2"/>
      <x:c r="D16" s="2"/>
      <x:c r="E16" s="2"/>
      <x:c r="F16" s="2"/>
      <x:c r="G16" s="2"/>
      <x:c r="H16" s="2"/>
      <x:c r="I16" s="2"/>
      <x:c r="J16" s="2"/>
      <x:c r="K16" s="2"/>
      <x:c r="L16" s="2"/>
      <x:c r="M16" s="2"/>
      <x:c r="N16" s="2"/>
    </x:row>
    <x:row r="17">
      <x:c r="A17" s="11" t="str">
        <x:v>Gold-answer anchors</x:v>
      </x:c>
      <x:c r="B17" s="11" t="str">
        <x:v>Gold-answer anchors</x:v>
      </x:c>
      <x:c r="C17" s="11" t="str">
        <x:v>Gold-answer anchors</x:v>
      </x:c>
      <x:c r="D17" s="11" t="str">
        <x:v>Gold-answer anchors</x:v>
      </x:c>
      <x:c r="E17" s="11" t="str">
        <x:v>Gold-answer anchors</x:v>
      </x:c>
      <x:c r="F17" s="11" t="str">
        <x:v>Gold-answer anchors</x:v>
      </x:c>
      <x:c r="G17" s="11" t="str">
        <x:v>Gold-answer anchors</x:v>
      </x:c>
      <x:c r="H17" s="2"/>
      <x:c r="I17" s="2"/>
      <x:c r="J17" s="2"/>
      <x:c r="K17" s="2"/>
      <x:c r="L17" s="2"/>
      <x:c r="M17" s="2"/>
      <x:c r="N17" s="2"/>
    </x:row>
    <x:row r="18" ht="47" customHeight="1">
      <x:c r="A18" s="18" t="str">
        <x:v>Recommended case</x:v>
      </x:c>
      <x:c r="B18" s="18" t="str">
        <x:v>Recommend winter package P2: 65 bar, 70 m², plus 99.9% selective Ba removal. Permeate water is 0.43596 kg/s, NaCl 371.77 ppm, recovery 44.7591%, and Barite SI −0.99210.</x:v>
      </x:c>
      <x:c r="C18" s="18"/>
      <x:c r="D18" s="18"/>
      <x:c r="E18" s="18"/>
      <x:c r="F18" s="18"/>
      <x:c r="G18" s="18"/>
      <x:c r="H18" s="2"/>
      <x:c r="I18" s="2"/>
      <x:c r="J18" s="2"/>
      <x:c r="K18" s="2"/>
      <x:c r="L18" s="2"/>
      <x:c r="M18" s="2"/>
      <x:c r="N18" s="2"/>
    </x:row>
    <x:row r="19" ht="47" customHeight="1">
      <x:c r="A19" s="18" t="str">
        <x:v>Boundary evidence</x:v>
      </x:c>
      <x:c r="B19" s="18" t="str">
        <x:v>More area is not automatically better: P3/P4 produce more water but reach 415.97/406.63 ppm. P2 is the only dual pass; Barite SI changes from +0.00790 at 99% removal to −0.99210 at 99.9%.</x:v>
      </x:c>
      <x:c r="C19" s="18"/>
      <x:c r="D19" s="18"/>
      <x:c r="E19" s="18"/>
      <x:c r="F19" s="18"/>
      <x:c r="G19" s="18"/>
      <x:c r="H19" s="2"/>
      <x:c r="I19" s="2"/>
      <x:c r="J19" s="2"/>
      <x:c r="K19" s="2"/>
      <x:c r="L19" s="2"/>
      <x:c r="M19" s="2"/>
      <x:c r="N19" s="2"/>
    </x:row>
    <x:row r="20" ht="47" customHeight="1">
      <x:c r="A20" s="18" t="str">
        <x:v>Reference calls</x:v>
      </x:c>
      <x:c r="B20" s="18" t="str">
        <x:v>4 simulate_ro + 4 equilibrate_feed</x:v>
      </x:c>
      <x:c r="C20" s="18"/>
      <x:c r="D20" s="18"/>
      <x:c r="E20" s="18"/>
      <x:c r="F20" s="18"/>
      <x:c r="G20" s="18"/>
      <x:c r="H20" s="2"/>
      <x:c r="I20" s="2"/>
      <x:c r="J20" s="2"/>
      <x:c r="K20" s="2"/>
      <x:c r="L20" s="2"/>
      <x:c r="M20" s="2"/>
      <x:c r="N20" s="2"/>
    </x:row>
    <x:row r="21" ht="47" customHeight="1">
      <x:c r="A21" s="18" t="str">
        <x:v>Stopping rule</x:v>
      </x:c>
      <x:c r="B21" s="18" t="str">
        <x:v>All hard constraints pass and adjacent failure is proven</x:v>
      </x:c>
      <x:c r="C21" s="18"/>
      <x:c r="D21" s="18"/>
      <x:c r="E21" s="18"/>
      <x:c r="F21" s="18"/>
      <x:c r="G21" s="18"/>
      <x:c r="H21" s="2"/>
      <x:c r="I21" s="2"/>
      <x:c r="J21" s="2"/>
      <x:c r="K21" s="2"/>
      <x:c r="L21" s="2"/>
      <x:c r="M21" s="2"/>
      <x:c r="N21" s="2"/>
    </x:row>
    <x:row r="22">
      <x:c r="A22" s="2"/>
      <x:c r="B22" s="2"/>
      <x:c r="C22" s="2"/>
      <x:c r="D22" s="2"/>
      <x:c r="E22" s="2"/>
      <x:c r="F22" s="2"/>
      <x:c r="G22" s="2"/>
      <x:c r="H22" s="2"/>
      <x:c r="I22" s="2"/>
      <x:c r="J22" s="2"/>
      <x:c r="K22" s="2"/>
      <x:c r="L22" s="2"/>
      <x:c r="M22" s="2"/>
      <x:c r="N22" s="2"/>
    </x:row>
    <x:row r="23">
      <x:c r="A23" s="2"/>
      <x:c r="B23" s="2"/>
      <x:c r="C23" s="2"/>
      <x:c r="D23" s="2"/>
      <x:c r="E23" s="2"/>
      <x:c r="F23" s="2"/>
      <x:c r="G23" s="2"/>
      <x:c r="H23" s="2"/>
      <x:c r="I23" s="2"/>
      <x:c r="J23" s="2"/>
      <x:c r="K23" s="2"/>
      <x:c r="L23" s="2"/>
      <x:c r="M23" s="2"/>
      <x:c r="N23" s="2"/>
    </x:row>
    <x:row r="24">
      <x:c r="A24" s="2"/>
      <x:c r="B24" s="2"/>
      <x:c r="C24" s="2"/>
      <x:c r="D24" s="2"/>
      <x:c r="E24" s="2"/>
      <x:c r="F24" s="2"/>
      <x:c r="G24" s="2"/>
      <x:c r="H24" s="2"/>
      <x:c r="I24" s="2"/>
      <x:c r="J24" s="2"/>
      <x:c r="K24" s="2"/>
      <x:c r="L24" s="2"/>
      <x:c r="M24" s="2"/>
      <x:c r="N24" s="2"/>
    </x:row>
    <x:row r="25">
      <x:c r="A25" s="2"/>
      <x:c r="B25" s="2"/>
      <x:c r="C25" s="2"/>
      <x:c r="D25" s="2"/>
      <x:c r="E25" s="2"/>
      <x:c r="F25" s="2"/>
      <x:c r="G25" s="2"/>
      <x:c r="H25" s="2"/>
      <x:c r="I25" s="2"/>
      <x:c r="J25" s="2"/>
      <x:c r="K25" s="2"/>
      <x:c r="L25" s="2"/>
      <x:c r="M25" s="2"/>
      <x:c r="N25" s="2"/>
    </x:row>
    <x:row r="26">
      <x:c r="A26" s="2"/>
      <x:c r="B26" s="2"/>
      <x:c r="C26" s="2"/>
      <x:c r="D26" s="2"/>
      <x:c r="E26" s="2"/>
      <x:c r="F26" s="2"/>
      <x:c r="G26" s="2"/>
      <x:c r="H26" s="2"/>
      <x:c r="I26" s="2"/>
      <x:c r="J26" s="2"/>
      <x:c r="K26" s="2"/>
      <x:c r="L26" s="2"/>
      <x:c r="M26" s="2"/>
      <x:c r="N26" s="2"/>
    </x:row>
    <x:row r="27">
      <x:c r="A27" s="2"/>
      <x:c r="B27" s="2"/>
      <x:c r="C27" s="2"/>
      <x:c r="D27" s="2"/>
      <x:c r="E27" s="2"/>
      <x:c r="F27" s="2"/>
      <x:c r="G27" s="2"/>
      <x:c r="H27" s="2"/>
      <x:c r="I27" s="2"/>
      <x:c r="J27" s="2"/>
      <x:c r="K27" s="2"/>
      <x:c r="L27" s="2"/>
      <x:c r="M27" s="2"/>
      <x:c r="N27" s="2"/>
    </x:row>
    <x:row r="28">
      <x:c r="A28" s="2"/>
      <x:c r="B28" s="2"/>
      <x:c r="C28" s="2"/>
      <x:c r="D28" s="2"/>
      <x:c r="E28" s="2"/>
      <x:c r="F28" s="2"/>
      <x:c r="G28" s="2"/>
      <x:c r="H28" s="2"/>
      <x:c r="I28" s="2"/>
      <x:c r="J28" s="2"/>
      <x:c r="K28" s="2"/>
      <x:c r="L28" s="2"/>
      <x:c r="M28" s="2"/>
      <x:c r="N28" s="2"/>
    </x:row>
    <x:row r="29">
      <x:c r="A29" s="2"/>
      <x:c r="B29" s="2"/>
      <x:c r="C29" s="2"/>
      <x:c r="D29" s="2"/>
      <x:c r="E29" s="2"/>
      <x:c r="F29" s="2"/>
      <x:c r="G29" s="2"/>
      <x:c r="H29" s="2"/>
      <x:c r="I29" s="2"/>
      <x:c r="J29" s="2"/>
      <x:c r="K29" s="2"/>
      <x:c r="L29" s="2"/>
      <x:c r="M29" s="2"/>
      <x:c r="N29" s="2"/>
    </x:row>
    <x:row r="30">
      <x:c r="A30" s="2"/>
      <x:c r="B30" s="2"/>
      <x:c r="C30" s="2"/>
      <x:c r="D30" s="2"/>
      <x:c r="E30" s="2"/>
      <x:c r="F30" s="2"/>
      <x:c r="G30" s="2"/>
      <x:c r="H30" s="2"/>
      <x:c r="I30" s="2"/>
      <x:c r="J30" s="2"/>
      <x:c r="K30" s="2"/>
      <x:c r="L30" s="2"/>
      <x:c r="M30" s="2"/>
      <x:c r="N30" s="2"/>
    </x:row>
    <x:row r="31">
      <x:c r="A31" s="2"/>
      <x:c r="B31" s="2"/>
      <x:c r="C31" s="2"/>
      <x:c r="D31" s="2"/>
      <x:c r="E31" s="2"/>
      <x:c r="F31" s="2"/>
      <x:c r="G31" s="2"/>
      <x:c r="H31" s="2"/>
      <x:c r="I31" s="2"/>
      <x:c r="J31" s="2"/>
      <x:c r="K31" s="2"/>
      <x:c r="L31" s="2"/>
      <x:c r="M31" s="2"/>
      <x:c r="N31" s="2"/>
    </x:row>
    <x:row r="32">
      <x:c r="A32" s="2"/>
      <x:c r="B32" s="2"/>
      <x:c r="C32" s="2"/>
      <x:c r="D32" s="2"/>
      <x:c r="E32" s="2"/>
      <x:c r="F32" s="2"/>
      <x:c r="G32" s="2"/>
      <x:c r="H32" s="2"/>
      <x:c r="I32" s="2"/>
      <x:c r="J32" s="2"/>
      <x:c r="K32" s="2"/>
      <x:c r="L32" s="2"/>
      <x:c r="M32" s="2"/>
      <x:c r="N32" s="2"/>
    </x:row>
    <x:row r="33">
      <x:c r="A33" s="2"/>
      <x:c r="B33" s="2"/>
      <x:c r="C33" s="2"/>
      <x:c r="D33" s="2"/>
      <x:c r="E33" s="2"/>
      <x:c r="F33" s="2"/>
      <x:c r="G33" s="2"/>
      <x:c r="H33" s="2"/>
      <x:c r="I33" s="2"/>
      <x:c r="J33" s="2"/>
      <x:c r="K33" s="2"/>
      <x:c r="L33" s="2"/>
      <x:c r="M33" s="2"/>
      <x:c r="N33" s="2"/>
    </x:row>
    <x:row r="34">
      <x:c r="A34" s="2"/>
      <x:c r="B34" s="2"/>
      <x:c r="C34" s="2"/>
      <x:c r="D34" s="2"/>
      <x:c r="E34" s="2"/>
      <x:c r="F34" s="2"/>
      <x:c r="G34" s="2"/>
      <x:c r="H34" s="2"/>
      <x:c r="I34" s="2"/>
      <x:c r="J34" s="2"/>
      <x:c r="K34" s="2"/>
      <x:c r="L34" s="2"/>
      <x:c r="M34" s="2"/>
      <x:c r="N34" s="2"/>
    </x:row>
    <x:row r="35">
      <x:c r="A35" s="2"/>
      <x:c r="B35" s="2"/>
      <x:c r="C35" s="2"/>
      <x:c r="D35" s="2"/>
      <x:c r="E35" s="2"/>
      <x:c r="F35" s="2"/>
      <x:c r="G35" s="2"/>
      <x:c r="H35" s="2"/>
      <x:c r="I35" s="2"/>
      <x:c r="J35" s="2"/>
      <x:c r="K35" s="2"/>
      <x:c r="L35" s="2"/>
      <x:c r="M35" s="2"/>
      <x:c r="N35" s="2"/>
    </x:row>
    <x:row r="36">
      <x:c r="A36" s="2"/>
      <x:c r="B36" s="2"/>
      <x:c r="C36" s="2"/>
      <x:c r="D36" s="2"/>
      <x:c r="E36" s="2"/>
      <x:c r="F36" s="2"/>
      <x:c r="G36" s="2"/>
      <x:c r="H36" s="2"/>
      <x:c r="I36" s="2"/>
      <x:c r="J36" s="2"/>
      <x:c r="K36" s="2"/>
      <x:c r="L36" s="2"/>
      <x:c r="M36" s="2"/>
      <x:c r="N36" s="2"/>
    </x:row>
    <x:row r="37">
      <x:c r="A37" s="2"/>
      <x:c r="B37" s="2"/>
      <x:c r="C37" s="2"/>
      <x:c r="D37" s="2"/>
      <x:c r="E37" s="2"/>
      <x:c r="F37" s="2"/>
      <x:c r="G37" s="2"/>
      <x:c r="H37" s="2"/>
      <x:c r="I37" s="2"/>
      <x:c r="J37" s="2"/>
      <x:c r="K37" s="2"/>
      <x:c r="L37" s="2"/>
      <x:c r="M37" s="2"/>
      <x:c r="N37" s="2"/>
    </x:row>
    <x:row r="38">
      <x:c r="A38" s="2"/>
      <x:c r="B38" s="2"/>
      <x:c r="C38" s="2"/>
      <x:c r="D38" s="2"/>
      <x:c r="E38" s="2"/>
      <x:c r="F38" s="2"/>
      <x:c r="G38" s="2"/>
      <x:c r="H38" s="2"/>
      <x:c r="I38" s="2"/>
      <x:c r="J38" s="2"/>
      <x:c r="K38" s="2"/>
      <x:c r="L38" s="2"/>
      <x:c r="M38" s="2"/>
      <x:c r="N38" s="2"/>
    </x:row>
    <x:row r="39">
      <x:c r="A39" s="2"/>
      <x:c r="B39" s="2"/>
      <x:c r="C39" s="2"/>
      <x:c r="D39" s="2"/>
      <x:c r="E39" s="2"/>
      <x:c r="F39" s="2"/>
      <x:c r="G39" s="2"/>
      <x:c r="H39" s="2"/>
      <x:c r="I39" s="2"/>
      <x:c r="J39" s="2"/>
      <x:c r="K39" s="2"/>
      <x:c r="L39" s="2"/>
      <x:c r="M39" s="2"/>
      <x:c r="N39" s="2"/>
    </x:row>
    <x:row r="40">
      <x:c r="A40" s="2"/>
      <x:c r="B40" s="2"/>
      <x:c r="C40" s="2"/>
      <x:c r="D40" s="2"/>
      <x:c r="E40" s="2"/>
      <x:c r="F40" s="2"/>
      <x:c r="G40" s="2"/>
      <x:c r="H40" s="2"/>
      <x:c r="I40" s="2"/>
      <x:c r="J40" s="2"/>
      <x:c r="K40" s="2"/>
      <x:c r="L40" s="2"/>
      <x:c r="M40" s="2"/>
      <x:c r="N40" s="2"/>
    </x:row>
    <x:row r="41">
      <x:c r="A41" s="2"/>
      <x:c r="B41" s="2"/>
      <x:c r="C41" s="2"/>
      <x:c r="D41" s="2"/>
      <x:c r="E41" s="2"/>
      <x:c r="F41" s="2"/>
      <x:c r="G41" s="2"/>
      <x:c r="H41" s="2"/>
      <x:c r="I41" s="2"/>
      <x:c r="J41" s="2"/>
      <x:c r="K41" s="2"/>
      <x:c r="L41" s="2"/>
      <x:c r="M41" s="2"/>
      <x:c r="N41" s="2"/>
    </x:row>
    <x:row r="42">
      <x:c r="A42" s="2"/>
      <x:c r="B42" s="2"/>
      <x:c r="C42" s="2"/>
      <x:c r="D42" s="2"/>
      <x:c r="E42" s="2"/>
      <x:c r="F42" s="2"/>
      <x:c r="G42" s="2"/>
      <x:c r="H42" s="2"/>
      <x:c r="I42" s="2"/>
      <x:c r="J42" s="2"/>
      <x:c r="K42" s="2"/>
      <x:c r="L42" s="2"/>
      <x:c r="M42" s="2"/>
      <x:c r="N42" s="2"/>
    </x:row>
    <x:row r="43">
      <x:c r="A43" s="2"/>
      <x:c r="B43" s="2"/>
      <x:c r="C43" s="2"/>
      <x:c r="D43" s="2"/>
      <x:c r="E43" s="2"/>
      <x:c r="F43" s="2"/>
      <x:c r="G43" s="2"/>
      <x:c r="H43" s="2"/>
      <x:c r="I43" s="2"/>
      <x:c r="J43" s="2"/>
      <x:c r="K43" s="2"/>
      <x:c r="L43" s="2"/>
      <x:c r="M43" s="2"/>
      <x:c r="N43" s="2"/>
    </x:row>
    <x:row r="44">
      <x:c r="A44" s="2"/>
      <x:c r="B44" s="2"/>
      <x:c r="C44" s="2"/>
      <x:c r="D44" s="2"/>
      <x:c r="E44" s="2"/>
      <x:c r="F44" s="2"/>
      <x:c r="G44" s="2"/>
      <x:c r="H44" s="2"/>
      <x:c r="I44" s="2"/>
      <x:c r="J44" s="2"/>
      <x:c r="K44" s="2"/>
      <x:c r="L44" s="2"/>
      <x:c r="M44" s="2"/>
      <x:c r="N44" s="2"/>
    </x:row>
    <x:row r="45">
      <x:c r="A45" s="2"/>
      <x:c r="B45" s="2"/>
      <x:c r="C45" s="2"/>
      <x:c r="D45" s="2"/>
      <x:c r="E45" s="2"/>
      <x:c r="F45" s="2"/>
      <x:c r="G45" s="2"/>
      <x:c r="H45" s="2"/>
      <x:c r="I45" s="2"/>
      <x:c r="J45" s="2"/>
      <x:c r="K45" s="2"/>
      <x:c r="L45" s="2"/>
      <x:c r="M45" s="2"/>
      <x:c r="N45" s="2"/>
    </x:row>
    <x:row r="46">
      <x:c r="A46" s="2"/>
      <x:c r="B46" s="2"/>
      <x:c r="C46" s="2"/>
      <x:c r="D46" s="2"/>
      <x:c r="E46" s="2"/>
      <x:c r="F46" s="2"/>
      <x:c r="G46" s="2"/>
      <x:c r="H46" s="2"/>
      <x:c r="I46" s="2"/>
      <x:c r="J46" s="2"/>
      <x:c r="K46" s="2"/>
      <x:c r="L46" s="2"/>
      <x:c r="M46" s="2"/>
      <x:c r="N46" s="2"/>
    </x:row>
    <x:row r="47">
      <x:c r="A47" s="2"/>
      <x:c r="B47" s="2"/>
      <x:c r="C47" s="2"/>
      <x:c r="D47" s="2"/>
      <x:c r="E47" s="2"/>
      <x:c r="F47" s="2"/>
      <x:c r="G47" s="2"/>
      <x:c r="H47" s="2"/>
      <x:c r="I47" s="2"/>
      <x:c r="J47" s="2"/>
      <x:c r="K47" s="2"/>
      <x:c r="L47" s="2"/>
      <x:c r="M47" s="2"/>
      <x:c r="N47" s="2"/>
    </x:row>
    <x:row r="48">
      <x:c r="A48" s="2"/>
      <x:c r="B48" s="2"/>
      <x:c r="C48" s="2"/>
      <x:c r="D48" s="2"/>
      <x:c r="E48" s="2"/>
      <x:c r="F48" s="2"/>
      <x:c r="G48" s="2"/>
      <x:c r="H48" s="2"/>
      <x:c r="I48" s="2"/>
      <x:c r="J48" s="2"/>
      <x:c r="K48" s="2"/>
      <x:c r="L48" s="2"/>
      <x:c r="M48" s="2"/>
      <x:c r="N48" s="2"/>
    </x:row>
  </x:sheetData>
  <x:mergeCells>
    <x:mergeCell ref="A1:G2"/>
    <x:mergeCell ref="A4:G6"/>
    <x:mergeCell ref="A17:G17"/>
    <x:mergeCell ref="B18:G18"/>
    <x:mergeCell ref="B19:G19"/>
    <x:mergeCell ref="B20:G20"/>
    <x:mergeCell ref="B21:G2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38" hidden="0" customWidth="1"/>
    <x:col min="3" max="3" width="52" hidden="0" customWidth="1"/>
    <x:col min="4" max="4" width="43" hidden="0" customWidth="1"/>
    <x:col min="5" max="5" width="43" hidden="0" customWidth="1"/>
    <x:col min="6" max="6" width="51" hidden="0" customWidth="1"/>
    <x:col min="7" max="7" width="12" hidden="0" customWidth="1"/>
  </x:cols>
  <x:sheetData>
    <x:row r="1" ht="29" customHeight="1">
      <x:c r="A1" s="6" t="str">
        <x:v>N02｜Tool Efficiency (100 points)</x:v>
      </x:c>
      <x:c r="B1" s="6" t="str">
        <x:v>N02｜Tool Efficiency (100 points)</x:v>
      </x:c>
      <x:c r="C1" s="6" t="str">
        <x:v>N02｜Tool Efficiency (100 points)</x:v>
      </x:c>
      <x:c r="D1" s="6" t="str">
        <x:v>N02｜Tool Efficiency (100 points)</x:v>
      </x:c>
      <x:c r="E1" s="6" t="str">
        <x:v>N02｜Tool Efficiency (100 points)</x:v>
      </x:c>
      <x:c r="F1" s="6" t="str">
        <x:v>N02｜Tool Efficiency (100 points)</x:v>
      </x:c>
      <x:c r="G1" s="6" t="str">
        <x:v>N02｜Tool Efficiency (100 points)</x:v>
      </x:c>
      <x:c r="H1" s="2"/>
      <x:c r="I1" s="2"/>
      <x:c r="J1" s="2"/>
      <x:c r="K1" s="2"/>
      <x:c r="L1" s="2"/>
      <x:c r="M1" s="2"/>
      <x:c r="N1" s="2"/>
    </x:row>
    <x:row r="2" ht="29" customHeight="1">
      <x:c r="A2" s="6" t="str">
        <x:v>N02｜Tool Efficiency (100 points)</x:v>
      </x:c>
      <x:c r="B2" s="6" t="str">
        <x:v>N02｜Tool Efficiency (100 points)</x:v>
      </x:c>
      <x:c r="C2" s="6" t="str">
        <x:v>N02｜Tool Efficiency (100 points)</x:v>
      </x:c>
      <x:c r="D2" s="6" t="str">
        <x:v>N02｜Tool Efficiency (100 points)</x:v>
      </x:c>
      <x:c r="E2" s="6" t="str">
        <x:v>N02｜Tool Efficiency (100 points)</x:v>
      </x:c>
      <x:c r="F2" s="6" t="str">
        <x:v>N02｜Tool Efficiency (100 points)</x:v>
      </x:c>
      <x:c r="G2" s="6" t="str">
        <x:v>N02｜Tool Efficiency (100 points)</x:v>
      </x:c>
      <x:c r="H2" s="2"/>
      <x:c r="I2" s="2"/>
      <x:c r="J2" s="2"/>
      <x:c r="K2" s="2"/>
      <x:c r="L2" s="2"/>
      <x:c r="M2" s="2"/>
      <x:c r="N2" s="2"/>
    </x:row>
    <x:row r="3">
      <x:c r="A3" s="2"/>
      <x:c r="B3" s="2"/>
      <x:c r="C3" s="2"/>
      <x:c r="D3" s="2"/>
      <x:c r="E3" s="2"/>
      <x:c r="F3" s="2"/>
      <x:c r="G3" s="2"/>
      <x:c r="H3" s="2"/>
      <x:c r="I3" s="2"/>
      <x:c r="J3" s="2"/>
      <x:c r="K3" s="2"/>
      <x:c r="L3" s="2"/>
      <x:c r="M3" s="2"/>
      <x:c r="N3" s="2"/>
    </x:row>
    <x:row r="4">
      <x:c r="A4" s="9" t="str">
        <x:v>Reference trajectory: 4 simulate_ro + 4 equilibrate_feed. Efficiency means every call changes the next decision, locks a boundary, or proves reusable—not merely fewer calls.</x:v>
      </x:c>
      <x:c r="B4" s="9" t="str">
        <x:v>Reference trajectory: 4 simulate_ro + 4 equilibrate_feed. Efficiency means every call changes the next decision, locks a boundary, or proves reusable—not merely fewer calls.</x:v>
      </x:c>
      <x:c r="C4" s="9" t="str">
        <x:v>Reference trajectory: 4 simulate_ro + 4 equilibrate_feed. Efficiency means every call changes the next decision, locks a boundary, or proves reusable—not merely fewer calls.</x:v>
      </x:c>
      <x:c r="D4" s="9" t="str">
        <x:v>Reference trajectory: 4 simulate_ro + 4 equilibrate_feed. Efficiency means every call changes the next decision, locks a boundary, or proves reusable—not merely fewer calls.</x:v>
      </x:c>
      <x:c r="E4" s="9" t="str">
        <x:v>Reference trajectory: 4 simulate_ro + 4 equilibrate_feed. Efficiency means every call changes the next decision, locks a boundary, or proves reusable—not merely fewer calls.</x:v>
      </x:c>
      <x:c r="F4" s="9" t="str">
        <x:v>Reference trajectory: 4 simulate_ro + 4 equilibrate_feed. Efficiency means every call changes the next decision, locks a boundary, or proves reusable—not merely fewer calls.</x:v>
      </x:c>
      <x:c r="G4" s="9" t="str">
        <x:v>Reference trajectory: 4 simulate_ro + 4 equilibrate_feed. Efficiency means every call changes the next decision, locks a boundary, or proves reusable—not merely fewer calls.</x:v>
      </x:c>
      <x:c r="H4" s="2"/>
      <x:c r="I4" s="2"/>
      <x:c r="J4" s="2"/>
      <x:c r="K4" s="2"/>
      <x:c r="L4" s="2"/>
      <x:c r="M4" s="2"/>
      <x:c r="N4" s="2"/>
    </x:row>
    <x:row r="5">
      <x:c r="A5" s="9" t="str">
        <x:v>Reference trajectory: 4 simulate_ro + 4 equilibrate_feed. Efficiency means every call changes the next decision, locks a boundary, or proves reusable—not merely fewer calls.</x:v>
      </x:c>
      <x:c r="B5" s="9" t="str">
        <x:v>Reference trajectory: 4 simulate_ro + 4 equilibrate_feed. Efficiency means every call changes the next decision, locks a boundary, or proves reusable—not merely fewer calls.</x:v>
      </x:c>
      <x:c r="C5" s="9" t="str">
        <x:v>Reference trajectory: 4 simulate_ro + 4 equilibrate_feed. Efficiency means every call changes the next decision, locks a boundary, or proves reusable—not merely fewer calls.</x:v>
      </x:c>
      <x:c r="D5" s="9" t="str">
        <x:v>Reference trajectory: 4 simulate_ro + 4 equilibrate_feed. Efficiency means every call changes the next decision, locks a boundary, or proves reusable—not merely fewer calls.</x:v>
      </x:c>
      <x:c r="E5" s="9" t="str">
        <x:v>Reference trajectory: 4 simulate_ro + 4 equilibrate_feed. Efficiency means every call changes the next decision, locks a boundary, or proves reusable—not merely fewer calls.</x:v>
      </x:c>
      <x:c r="F5" s="9" t="str">
        <x:v>Reference trajectory: 4 simulate_ro + 4 equilibrate_feed. Efficiency means every call changes the next decision, locks a boundary, or proves reusable—not merely fewer calls.</x:v>
      </x:c>
      <x:c r="G5" s="9" t="str">
        <x:v>Reference trajectory: 4 simulate_ro + 4 equilibrate_feed. Efficiency means every call changes the next decision, locks a boundary, or proves reusable—not merely fewer calls.</x:v>
      </x:c>
      <x:c r="H5" s="2"/>
      <x:c r="I5" s="2"/>
      <x:c r="J5" s="2"/>
      <x:c r="K5" s="2"/>
      <x:c r="L5" s="2"/>
      <x:c r="M5" s="2"/>
      <x:c r="N5" s="2"/>
    </x:row>
    <x:row r="6">
      <x:c r="A6" s="9" t="str">
        <x:v>Reference trajectory: 4 simulate_ro + 4 equilibrate_feed. Efficiency means every call changes the next decision, locks a boundary, or proves reusable—not merely fewer calls.</x:v>
      </x:c>
      <x:c r="B6" s="9" t="str">
        <x:v>Reference trajectory: 4 simulate_ro + 4 equilibrate_feed. Efficiency means every call changes the next decision, locks a boundary, or proves reusable—not merely fewer calls.</x:v>
      </x:c>
      <x:c r="C6" s="9" t="str">
        <x:v>Reference trajectory: 4 simulate_ro + 4 equilibrate_feed. Efficiency means every call changes the next decision, locks a boundary, or proves reusable—not merely fewer calls.</x:v>
      </x:c>
      <x:c r="D6" s="9" t="str">
        <x:v>Reference trajectory: 4 simulate_ro + 4 equilibrate_feed. Efficiency means every call changes the next decision, locks a boundary, or proves reusable—not merely fewer calls.</x:v>
      </x:c>
      <x:c r="E6" s="9" t="str">
        <x:v>Reference trajectory: 4 simulate_ro + 4 equilibrate_feed. Efficiency means every call changes the next decision, locks a boundary, or proves reusable—not merely fewer calls.</x:v>
      </x:c>
      <x:c r="F6" s="9" t="str">
        <x:v>Reference trajectory: 4 simulate_ro + 4 equilibrate_feed. Efficiency means every call changes the next decision, locks a boundary, or proves reusable—not merely fewer calls.</x:v>
      </x:c>
      <x:c r="G6" s="9" t="str">
        <x:v>Reference trajectory: 4 simulate_ro + 4 equilibrate_feed. Efficiency means every call changes the next decision, locks a boundary, or proves reusable—not merely fewer calls.</x:v>
      </x:c>
      <x:c r="H6" s="2"/>
      <x:c r="I6" s="2"/>
      <x:c r="J6" s="2"/>
      <x:c r="K6" s="2"/>
      <x:c r="L6" s="2"/>
      <x:c r="M6" s="2"/>
      <x:c r="N6" s="2"/>
    </x:row>
    <x:row r="7">
      <x:c r="A7" s="2"/>
      <x:c r="B7" s="2"/>
      <x:c r="C7" s="2"/>
      <x:c r="D7" s="2"/>
      <x:c r="E7" s="2"/>
      <x:c r="F7" s="2"/>
      <x:c r="G7" s="2"/>
      <x:c r="H7" s="2"/>
      <x:c r="I7" s="2"/>
      <x:c r="J7" s="2"/>
      <x:c r="K7" s="2"/>
      <x:c r="L7" s="2"/>
      <x:c r="M7" s="2"/>
      <x:c r="N7" s="2"/>
    </x:row>
    <x:row r="8">
      <x:c r="A8" s="16" t="str">
        <x:v>Efficiency dimension</x:v>
      </x:c>
      <x:c r="B8" s="16" t="str">
        <x:v>Focus</x:v>
      </x:c>
      <x:c r="C8" s="16" t="str">
        <x:v>Full credit</x:v>
      </x:c>
      <x:c r="D8" s="16" t="str">
        <x:v>Medium</x:v>
      </x:c>
      <x:c r="E8" s="16" t="str">
        <x:v>Low</x:v>
      </x:c>
      <x:c r="F8" s="16" t="str">
        <x:v>Benchmark evidence</x:v>
      </x:c>
      <x:c r="G8" s="16" t="str">
        <x:v>Points</x:v>
      </x:c>
      <x:c r="H8" s="2"/>
      <x:c r="I8" s="2"/>
      <x:c r="J8" s="2"/>
      <x:c r="K8" s="2"/>
      <x:c r="L8" s="2"/>
      <x:c r="M8" s="2"/>
      <x:c r="N8" s="2"/>
    </x:row>
    <x:row r="9" ht="82" customHeight="1">
      <x:c r="A9" s="18" t="str">
        <x:v>E1 Tool routing</x:v>
      </x:c>
      <x:c r="B9" s="18" t="str">
        <x:v>Match model to decision level</x:v>
      </x:c>
      <x:c r="C9" s="18" t="str">
        <x:v>simulate_ro for production/energy; equilibrate_feed for scaling</x:v>
      </x:c>
      <x:c r="D9" s="18" t="str">
        <x:v>Right tools, unclear order</x:v>
      </x:c>
      <x:c r="E9" s="18" t="str">
        <x:v>Irrelevant tools or repeated solving</x:v>
      </x:c>
      <x:c r="F9" s="18" t="str">
        <x:v>Process first, chemistry second</x:v>
      </x:c>
      <x:c r="G9" s="18" t="n">
        <x:v>20</x:v>
      </x:c>
      <x:c r="H9" s="2"/>
      <x:c r="I9" s="2"/>
      <x:c r="J9" s="2"/>
      <x:c r="K9" s="2"/>
      <x:c r="L9" s="2"/>
      <x:c r="M9" s="2"/>
      <x:c r="N9" s="2"/>
    </x:row>
    <x:row r="10" ht="82" customHeight="1">
      <x:c r="A10" s="18" t="str">
        <x:v>E2 Input reuse</x:v>
      </x:c>
      <x:c r="B10" s="18" t="str">
        <x:v>Controlled variable/package comparison</x:v>
      </x:c>
      <x:c r="C10" s="18" t="str">
        <x:v>Hold all non-target inputs fixed</x:v>
      </x:c>
      <x:c r="D10" s="18" t="str">
        <x:v>Minor repeated-input error</x:v>
      </x:c>
      <x:c r="E10" s="18" t="str">
        <x:v>Candidates are not comparable</x:v>
      </x:c>
      <x:c r="F10" s="18" t="str">
        <x:v>Composition and fixed conditions held</x:v>
      </x:c>
      <x:c r="G10" s="18" t="n">
        <x:v>20</x:v>
      </x:c>
      <x:c r="H10" s="2"/>
      <x:c r="I10" s="2"/>
      <x:c r="J10" s="2"/>
      <x:c r="K10" s="2"/>
      <x:c r="L10" s="2"/>
      <x:c r="M10" s="2"/>
      <x:c r="N10" s="2"/>
    </x:row>
    <x:row r="11" ht="82" customHeight="1">
      <x:c r="A11" s="18" t="str">
        <x:v>E3 Information gain</x:v>
      </x:c>
      <x:c r="B11" s="18" t="str">
        <x:v>Screen production before necessary chemistry</x:v>
      </x:c>
      <x:c r="C11" s="18" t="str">
        <x:v>Prune hard-constraint failures early</x:v>
      </x:c>
      <x:c r="D11" s="18" t="str">
        <x:v>One or two low-value calls</x:v>
      </x:c>
      <x:c r="E11" s="18" t="str">
        <x:v>Blind Cartesian grid</x:v>
      </x:c>
      <x:c r="F11" s="18" t="str">
        <x:v>More area is not automatically better: P3/P4 produce more water but reach 415.97/406.63 ppm. P2 is the only dual pass; Barite SI changes from +0.00790 at 99% removal to −0.99210 at 99.9%.</x:v>
      </x:c>
      <x:c r="G11" s="18" t="n">
        <x:v>20</x:v>
      </x:c>
      <x:c r="H11" s="2"/>
      <x:c r="I11" s="2"/>
      <x:c r="J11" s="2"/>
      <x:c r="K11" s="2"/>
      <x:c r="L11" s="2"/>
      <x:c r="M11" s="2"/>
      <x:c r="N11" s="2"/>
    </x:row>
    <x:row r="12" ht="82" customHeight="1">
      <x:c r="A12" s="18" t="str">
        <x:v>E4 Adaptive pruning</x:v>
      </x:c>
      <x:c r="B12" s="18" t="str">
        <x:v>Stop failed branches</x:v>
      </x:c>
      <x:c r="C12" s="18" t="str">
        <x:v>Use salinity, SEC, SI, or site constraints to prune</x:v>
      </x:c>
      <x:c r="D12" s="18" t="str">
        <x:v>Minor redundancy</x:v>
      </x:c>
      <x:c r="E12" s="18" t="str">
        <x:v>Continue rejected routes</x:v>
      </x:c>
      <x:c r="F12" s="18" t="str">
        <x:v>Every failure changes next action</x:v>
      </x:c>
      <x:c r="G12" s="18" t="n">
        <x:v>20</x:v>
      </x:c>
      <x:c r="H12" s="2"/>
      <x:c r="I12" s="2"/>
      <x:c r="J12" s="2"/>
      <x:c r="K12" s="2"/>
      <x:c r="L12" s="2"/>
      <x:c r="M12" s="2"/>
      <x:c r="N12" s="2"/>
    </x:row>
    <x:row r="13" ht="82" customHeight="1">
      <x:c r="A13" s="18" t="str">
        <x:v>E5 Stop transparency</x:v>
      </x:c>
      <x:c r="B13" s="18" t="str">
        <x:v>Stop with sufficient evidence</x:v>
      </x:c>
      <x:c r="C13" s="18" t="str">
        <x:v>Report calls, reuse, boundaries, and limitations</x:v>
      </x:c>
      <x:c r="D13" s="18" t="str">
        <x:v>Slight over-call or one unclear basis</x:v>
      </x:c>
      <x:c r="E13" s="18" t="str">
        <x:v>Hidden assumptions or enumeration</x:v>
      </x:c>
      <x:c r="F13" s="18" t="str">
        <x:v>Recommend: Recommend winter package P2: 65 bar, 70 m², plus 99.9% selective Ba removal. Permeate water is 0.43596 kg/s, NaCl 371.77 ppm, recovery 44.7591%, and Barite SI −0.99210.</x:v>
      </x:c>
      <x:c r="G13" s="18" t="n">
        <x:v>20</x:v>
      </x:c>
      <x:c r="H13" s="2"/>
      <x:c r="I13" s="2"/>
      <x:c r="J13" s="2"/>
      <x:c r="K13" s="2"/>
      <x:c r="L13" s="2"/>
      <x:c r="M13" s="2"/>
      <x:c r="N13" s="2"/>
    </x:row>
    <x:row r="14">
      <x:c r="A14" s="2"/>
      <x:c r="B14" s="2"/>
      <x:c r="C14" s="2"/>
      <x:c r="D14" s="2"/>
      <x:c r="E14" s="2"/>
      <x:c r="F14" s="2"/>
      <x:c r="G14" s="2"/>
      <x:c r="H14" s="2"/>
      <x:c r="I14" s="2"/>
      <x:c r="J14" s="2"/>
      <x:c r="K14" s="2"/>
      <x:c r="L14" s="2"/>
      <x:c r="M14" s="2"/>
      <x:c r="N14" s="2"/>
    </x:row>
    <x:row r="15">
      <x:c r="A15" s="2"/>
      <x:c r="B15" s="2"/>
      <x:c r="C15" s="2"/>
      <x:c r="D15" s="2"/>
      <x:c r="E15" s="2"/>
      <x:c r="F15" s="24" t="str">
        <x:v>Tool-efficiency total</x:v>
      </x:c>
      <x:c r="G15" s="24" t="n">
        <x:f>SUM(G9:G13)</x:f>
        <x:v>100</x:v>
      </x:c>
      <x:c r="H15" s="2"/>
      <x:c r="I15" s="2"/>
      <x:c r="J15" s="2"/>
      <x:c r="K15" s="2"/>
      <x:c r="L15" s="2"/>
      <x:c r="M15" s="2"/>
      <x:c r="N15" s="2"/>
    </x:row>
    <x:row r="16">
      <x:c r="A16" s="2"/>
      <x:c r="B16" s="2"/>
      <x:c r="C16" s="2"/>
      <x:c r="D16" s="2"/>
      <x:c r="E16" s="2"/>
      <x:c r="F16" s="2"/>
      <x:c r="G16" s="2"/>
      <x:c r="H16" s="2"/>
      <x:c r="I16" s="2"/>
      <x:c r="J16" s="2"/>
      <x:c r="K16" s="2"/>
      <x:c r="L16" s="2"/>
      <x:c r="M16" s="2"/>
      <x:c r="N16" s="2"/>
    </x:row>
    <x:row r="17">
      <x:c r="A17" s="2"/>
      <x:c r="B17" s="2"/>
      <x:c r="C17" s="2"/>
      <x:c r="D17" s="2"/>
      <x:c r="E17" s="2"/>
      <x:c r="F17" s="2"/>
      <x:c r="G17" s="2"/>
      <x:c r="H17" s="2"/>
      <x:c r="I17" s="2"/>
      <x:c r="J17" s="2"/>
      <x:c r="K17" s="2"/>
      <x:c r="L17" s="2"/>
      <x:c r="M17" s="2"/>
      <x:c r="N17" s="2"/>
    </x:row>
    <x:row r="18">
      <x:c r="A18" s="11" t="str">
        <x:v>Efficient reference trajectory</x:v>
      </x:c>
      <x:c r="B18" s="11" t="str">
        <x:v>Efficient reference trajectory</x:v>
      </x:c>
      <x:c r="C18" s="11" t="str">
        <x:v>Efficient reference trajectory</x:v>
      </x:c>
      <x:c r="D18" s="11" t="str">
        <x:v>Efficient reference trajectory</x:v>
      </x:c>
      <x:c r="E18" s="11" t="str">
        <x:v>Efficient reference trajectory</x:v>
      </x:c>
      <x:c r="F18" s="11" t="str">
        <x:v>Efficient reference trajectory</x:v>
      </x:c>
      <x:c r="G18" s="11" t="str">
        <x:v>Efficient reference trajectory</x:v>
      </x:c>
      <x:c r="H18" s="2"/>
      <x:c r="I18" s="2"/>
      <x:c r="J18" s="2"/>
      <x:c r="K18" s="2"/>
      <x:c r="L18" s="2"/>
      <x:c r="M18" s="2"/>
      <x:c r="N18" s="2"/>
    </x:row>
    <x:row r="19">
      <x:c r="A19" s="16" t="str">
        <x:v>Stage</x:v>
      </x:c>
      <x:c r="B19" s="16" t="str">
        <x:v>Action/tool</x:v>
      </x:c>
      <x:c r="C19" s="16" t="str">
        <x:v>Call logic</x:v>
      </x:c>
      <x:c r="D19" s="16" t="str">
        <x:v>Key observation</x:v>
      </x:c>
      <x:c r="E19" s="16" t="str">
        <x:v>Prune/reuse</x:v>
      </x:c>
      <x:c r="F19" s="16" t="str">
        <x:v>Next</x:v>
      </x:c>
      <x:c r="G19" s="16" t="str">
        <x:v>Role</x:v>
      </x:c>
      <x:c r="H19" s="2"/>
      <x:c r="I19" s="2"/>
      <x:c r="J19" s="2"/>
      <x:c r="K19" s="2"/>
      <x:c r="L19" s="2"/>
      <x:c r="M19" s="2"/>
      <x:c r="N19" s="2"/>
    </x:row>
    <x:row r="20" ht="53" customHeight="1">
      <x:c r="A20" s="18" t="str">
        <x:v>1</x:v>
      </x:c>
      <x:c r="B20" s="18" t="str">
        <x:v>Read definitions</x:v>
      </x:c>
      <x:c r="C20" s="18" t="str">
        <x:v>Confirm units and scope</x:v>
      </x:c>
      <x:c r="D20" s="18" t="str">
        <x:v>Prepare controlled inputs</x:v>
      </x:c>
      <x:c r="E20" s="18" t="str">
        <x:v>—</x:v>
      </x:c>
      <x:c r="F20" s="18" t="str">
        <x:v>Run candidates</x:v>
      </x:c>
      <x:c r="G20" s="18" t="str">
        <x:v>Metadata</x:v>
      </x:c>
      <x:c r="H20" s="2"/>
      <x:c r="I20" s="2"/>
      <x:c r="J20" s="2"/>
      <x:c r="K20" s="2"/>
      <x:c r="L20" s="2"/>
      <x:c r="M20" s="2"/>
      <x:c r="N20" s="2"/>
    </x:row>
    <x:row r="21" ht="53" customHeight="1">
      <x:c r="A21" s="18" t="str">
        <x:v>2</x:v>
      </x:c>
      <x:c r="B21" s="18" t="str">
        <x:v>simulate_ro</x:v>
      </x:c>
      <x:c r="C21" s="18" t="str">
        <x:v>Compare all design points</x:v>
      </x:c>
      <x:c r="D21" s="18" t="str">
        <x:v>Lock production/quality/energy candidates</x:v>
      </x:c>
      <x:c r="E21" s="18" t="str">
        <x:v>Prune hard failures</x:v>
      </x:c>
      <x:c r="F21" s="18" t="str">
        <x:v>Pass actual recovery</x:v>
      </x:c>
      <x:c r="G21" s="18" t="str">
        <x:v>Process</x:v>
      </x:c>
      <x:c r="H21" s="2"/>
      <x:c r="I21" s="2"/>
      <x:c r="J21" s="2"/>
      <x:c r="K21" s="2"/>
      <x:c r="L21" s="2"/>
      <x:c r="M21" s="2"/>
      <x:c r="N21" s="2"/>
    </x:row>
    <x:row r="22" ht="53" customHeight="1">
      <x:c r="A22" s="18" t="str">
        <x:v>3</x:v>
      </x:c>
      <x:c r="B22" s="18" t="str">
        <x:v>equilibrate_feed</x:v>
      </x:c>
      <x:c r="C22" s="18" t="str">
        <x:v>Evaluate only necessary unique recoveries</x:v>
      </x:c>
      <x:c r="D22" s="18" t="str">
        <x:v>Identify controlling mineral and boundary</x:v>
      </x:c>
      <x:c r="E22" s="18" t="str">
        <x:v>Reuse duplicate recovery</x:v>
      </x:c>
      <x:c r="F22" s="18" t="str">
        <x:v>Form joint decision</x:v>
      </x:c>
      <x:c r="G22" s="18" t="str">
        <x:v>Chemistry</x:v>
      </x:c>
      <x:c r="H22" s="2"/>
      <x:c r="I22" s="2"/>
      <x:c r="J22" s="2"/>
      <x:c r="K22" s="2"/>
      <x:c r="L22" s="2"/>
      <x:c r="M22" s="2"/>
      <x:c r="N22" s="2"/>
    </x:row>
    <x:row r="23" ht="53" customHeight="1">
      <x:c r="A23" s="18" t="str">
        <x:v>4</x:v>
      </x:c>
      <x:c r="B23" s="18" t="str">
        <x:v>Boundary check</x:v>
      </x:c>
      <x:c r="C23" s="18" t="str">
        <x:v>Compare adjacent fail/pass</x:v>
      </x:c>
      <x:c r="D23" s="18" t="str">
        <x:v>Prove minimum/maximum/uniqueness</x:v>
      </x:c>
      <x:c r="E23" s="18" t="str">
        <x:v>Stop low-value calls</x:v>
      </x:c>
      <x:c r="F23" s="18" t="str">
        <x:v>Engineering conversion</x:v>
      </x:c>
      <x:c r="G23" s="18" t="str">
        <x:v>Convergence</x:v>
      </x:c>
      <x:c r="H23" s="2"/>
      <x:c r="I23" s="2"/>
      <x:c r="J23" s="2"/>
      <x:c r="K23" s="2"/>
      <x:c r="L23" s="2"/>
      <x:c r="M23" s="2"/>
      <x:c r="N23" s="2"/>
    </x:row>
    <x:row r="24" ht="53" customHeight="1">
      <x:c r="A24" s="18" t="str">
        <x:v>5</x:v>
      </x:c>
      <x:c r="B24" s="18" t="str">
        <x:v>Stop</x:v>
      </x:c>
      <x:c r="C24" s="18" t="str">
        <x:v>Report limits and conclusion</x:v>
      </x:c>
      <x:c r="D24" s="18" t="str">
        <x:v>Evidence sufficient</x:v>
      </x:c>
      <x:c r="E24" s="18" t="str">
        <x:v>Do not extend grid</x:v>
      </x:c>
      <x:c r="F24" s="18" t="str">
        <x:v>Write Gold Answer</x:v>
      </x:c>
      <x:c r="G24" s="18" t="str">
        <x:v>Decision</x:v>
      </x:c>
      <x:c r="H24" s="2"/>
      <x:c r="I24" s="2"/>
      <x:c r="J24" s="2"/>
      <x:c r="K24" s="2"/>
      <x:c r="L24" s="2"/>
      <x:c r="M24" s="2"/>
      <x:c r="N24" s="2"/>
    </x:row>
    <x:row r="25">
      <x:c r="A25" s="2"/>
      <x:c r="B25" s="2"/>
      <x:c r="C25" s="2"/>
      <x:c r="D25" s="2"/>
      <x:c r="E25" s="2"/>
      <x:c r="F25" s="2"/>
      <x:c r="G25" s="2"/>
      <x:c r="H25" s="2"/>
      <x:c r="I25" s="2"/>
      <x:c r="J25" s="2"/>
      <x:c r="K25" s="2"/>
      <x:c r="L25" s="2"/>
      <x:c r="M25" s="2"/>
      <x:c r="N25" s="2"/>
    </x:row>
    <x:row r="26">
      <x:c r="A26" s="2"/>
      <x:c r="B26" s="2"/>
      <x:c r="C26" s="2"/>
      <x:c r="D26" s="2"/>
      <x:c r="E26" s="2"/>
      <x:c r="F26" s="2"/>
      <x:c r="G26" s="2"/>
      <x:c r="H26" s="2"/>
      <x:c r="I26" s="2"/>
      <x:c r="J26" s="2"/>
      <x:c r="K26" s="2"/>
      <x:c r="L26" s="2"/>
      <x:c r="M26" s="2"/>
      <x:c r="N26" s="2"/>
    </x:row>
    <x:row r="27">
      <x:c r="A27" s="2"/>
      <x:c r="B27" s="2"/>
      <x:c r="C27" s="2"/>
      <x:c r="D27" s="2"/>
      <x:c r="E27" s="2"/>
      <x:c r="F27" s="2"/>
      <x:c r="G27" s="2"/>
      <x:c r="H27" s="2"/>
      <x:c r="I27" s="2"/>
      <x:c r="J27" s="2"/>
      <x:c r="K27" s="2"/>
      <x:c r="L27" s="2"/>
      <x:c r="M27" s="2"/>
      <x:c r="N27" s="2"/>
    </x:row>
    <x:row r="28">
      <x:c r="A28" s="2"/>
      <x:c r="B28" s="2"/>
      <x:c r="C28" s="2"/>
      <x:c r="D28" s="2"/>
      <x:c r="E28" s="2"/>
      <x:c r="F28" s="2"/>
      <x:c r="G28" s="2"/>
      <x:c r="H28" s="2"/>
      <x:c r="I28" s="2"/>
      <x:c r="J28" s="2"/>
      <x:c r="K28" s="2"/>
      <x:c r="L28" s="2"/>
      <x:c r="M28" s="2"/>
      <x:c r="N28" s="2"/>
    </x:row>
    <x:row r="29">
      <x:c r="A29" s="2"/>
      <x:c r="B29" s="2"/>
      <x:c r="C29" s="2"/>
      <x:c r="D29" s="2"/>
      <x:c r="E29" s="2"/>
      <x:c r="F29" s="2"/>
      <x:c r="G29" s="2"/>
      <x:c r="H29" s="2"/>
      <x:c r="I29" s="2"/>
      <x:c r="J29" s="2"/>
      <x:c r="K29" s="2"/>
      <x:c r="L29" s="2"/>
      <x:c r="M29" s="2"/>
      <x:c r="N29" s="2"/>
    </x:row>
    <x:row r="30">
      <x:c r="A30" s="2"/>
      <x:c r="B30" s="2"/>
      <x:c r="C30" s="2"/>
      <x:c r="D30" s="2"/>
      <x:c r="E30" s="2"/>
      <x:c r="F30" s="2"/>
      <x:c r="G30" s="2"/>
      <x:c r="H30" s="2"/>
      <x:c r="I30" s="2"/>
      <x:c r="J30" s="2"/>
      <x:c r="K30" s="2"/>
      <x:c r="L30" s="2"/>
      <x:c r="M30" s="2"/>
      <x:c r="N30" s="2"/>
    </x:row>
    <x:row r="31">
      <x:c r="A31" s="2"/>
      <x:c r="B31" s="2"/>
      <x:c r="C31" s="2"/>
      <x:c r="D31" s="2"/>
      <x:c r="E31" s="2"/>
      <x:c r="F31" s="2"/>
      <x:c r="G31" s="2"/>
      <x:c r="H31" s="2"/>
      <x:c r="I31" s="2"/>
      <x:c r="J31" s="2"/>
      <x:c r="K31" s="2"/>
      <x:c r="L31" s="2"/>
      <x:c r="M31" s="2"/>
      <x:c r="N31" s="2"/>
    </x:row>
    <x:row r="32">
      <x:c r="A32" s="2"/>
      <x:c r="B32" s="2"/>
      <x:c r="C32" s="2"/>
      <x:c r="D32" s="2"/>
      <x:c r="E32" s="2"/>
      <x:c r="F32" s="2"/>
      <x:c r="G32" s="2"/>
      <x:c r="H32" s="2"/>
      <x:c r="I32" s="2"/>
      <x:c r="J32" s="2"/>
      <x:c r="K32" s="2"/>
      <x:c r="L32" s="2"/>
      <x:c r="M32" s="2"/>
      <x:c r="N32" s="2"/>
    </x:row>
    <x:row r="33">
      <x:c r="A33" s="2"/>
      <x:c r="B33" s="2"/>
      <x:c r="C33" s="2"/>
      <x:c r="D33" s="2"/>
      <x:c r="E33" s="2"/>
      <x:c r="F33" s="2"/>
      <x:c r="G33" s="2"/>
      <x:c r="H33" s="2"/>
      <x:c r="I33" s="2"/>
      <x:c r="J33" s="2"/>
      <x:c r="K33" s="2"/>
      <x:c r="L33" s="2"/>
      <x:c r="M33" s="2"/>
      <x:c r="N33" s="2"/>
    </x:row>
    <x:row r="34">
      <x:c r="A34" s="2"/>
      <x:c r="B34" s="2"/>
      <x:c r="C34" s="2"/>
      <x:c r="D34" s="2"/>
      <x:c r="E34" s="2"/>
      <x:c r="F34" s="2"/>
      <x:c r="G34" s="2"/>
      <x:c r="H34" s="2"/>
      <x:c r="I34" s="2"/>
      <x:c r="J34" s="2"/>
      <x:c r="K34" s="2"/>
      <x:c r="L34" s="2"/>
      <x:c r="M34" s="2"/>
      <x:c r="N34" s="2"/>
    </x:row>
    <x:row r="35">
      <x:c r="A35" s="2"/>
      <x:c r="B35" s="2"/>
      <x:c r="C35" s="2"/>
      <x:c r="D35" s="2"/>
      <x:c r="E35" s="2"/>
      <x:c r="F35" s="2"/>
      <x:c r="G35" s="2"/>
      <x:c r="H35" s="2"/>
      <x:c r="I35" s="2"/>
      <x:c r="J35" s="2"/>
      <x:c r="K35" s="2"/>
      <x:c r="L35" s="2"/>
      <x:c r="M35" s="2"/>
      <x:c r="N35" s="2"/>
    </x:row>
    <x:row r="36">
      <x:c r="A36" s="2"/>
      <x:c r="B36" s="2"/>
      <x:c r="C36" s="2"/>
      <x:c r="D36" s="2"/>
      <x:c r="E36" s="2"/>
      <x:c r="F36" s="2"/>
      <x:c r="G36" s="2"/>
      <x:c r="H36" s="2"/>
      <x:c r="I36" s="2"/>
      <x:c r="J36" s="2"/>
      <x:c r="K36" s="2"/>
      <x:c r="L36" s="2"/>
      <x:c r="M36" s="2"/>
      <x:c r="N36" s="2"/>
    </x:row>
    <x:row r="37">
      <x:c r="A37" s="2"/>
      <x:c r="B37" s="2"/>
      <x:c r="C37" s="2"/>
      <x:c r="D37" s="2"/>
      <x:c r="E37" s="2"/>
      <x:c r="F37" s="2"/>
      <x:c r="G37" s="2"/>
      <x:c r="H37" s="2"/>
      <x:c r="I37" s="2"/>
      <x:c r="J37" s="2"/>
      <x:c r="K37" s="2"/>
      <x:c r="L37" s="2"/>
      <x:c r="M37" s="2"/>
      <x:c r="N37" s="2"/>
    </x:row>
    <x:row r="38">
      <x:c r="A38" s="2"/>
      <x:c r="B38" s="2"/>
      <x:c r="C38" s="2"/>
      <x:c r="D38" s="2"/>
      <x:c r="E38" s="2"/>
      <x:c r="F38" s="2"/>
      <x:c r="G38" s="2"/>
      <x:c r="H38" s="2"/>
      <x:c r="I38" s="2"/>
      <x:c r="J38" s="2"/>
      <x:c r="K38" s="2"/>
      <x:c r="L38" s="2"/>
      <x:c r="M38" s="2"/>
      <x:c r="N38" s="2"/>
    </x:row>
    <x:row r="39">
      <x:c r="A39" s="2"/>
      <x:c r="B39" s="2"/>
      <x:c r="C39" s="2"/>
      <x:c r="D39" s="2"/>
      <x:c r="E39" s="2"/>
      <x:c r="F39" s="2"/>
      <x:c r="G39" s="2"/>
      <x:c r="H39" s="2"/>
      <x:c r="I39" s="2"/>
      <x:c r="J39" s="2"/>
      <x:c r="K39" s="2"/>
      <x:c r="L39" s="2"/>
      <x:c r="M39" s="2"/>
      <x:c r="N39" s="2"/>
    </x:row>
    <x:row r="40">
      <x:c r="A40" s="2"/>
      <x:c r="B40" s="2"/>
      <x:c r="C40" s="2"/>
      <x:c r="D40" s="2"/>
      <x:c r="E40" s="2"/>
      <x:c r="F40" s="2"/>
      <x:c r="G40" s="2"/>
      <x:c r="H40" s="2"/>
      <x:c r="I40" s="2"/>
      <x:c r="J40" s="2"/>
      <x:c r="K40" s="2"/>
      <x:c r="L40" s="2"/>
      <x:c r="M40" s="2"/>
      <x:c r="N40" s="2"/>
    </x:row>
    <x:row r="41">
      <x:c r="A41" s="2"/>
      <x:c r="B41" s="2"/>
      <x:c r="C41" s="2"/>
      <x:c r="D41" s="2"/>
      <x:c r="E41" s="2"/>
      <x:c r="F41" s="2"/>
      <x:c r="G41" s="2"/>
      <x:c r="H41" s="2"/>
      <x:c r="I41" s="2"/>
      <x:c r="J41" s="2"/>
      <x:c r="K41" s="2"/>
      <x:c r="L41" s="2"/>
      <x:c r="M41" s="2"/>
      <x:c r="N41" s="2"/>
    </x:row>
    <x:row r="42">
      <x:c r="A42" s="2"/>
      <x:c r="B42" s="2"/>
      <x:c r="C42" s="2"/>
      <x:c r="D42" s="2"/>
      <x:c r="E42" s="2"/>
      <x:c r="F42" s="2"/>
      <x:c r="G42" s="2"/>
      <x:c r="H42" s="2"/>
      <x:c r="I42" s="2"/>
      <x:c r="J42" s="2"/>
      <x:c r="K42" s="2"/>
      <x:c r="L42" s="2"/>
      <x:c r="M42" s="2"/>
      <x:c r="N42" s="2"/>
    </x:row>
    <x:row r="43">
      <x:c r="A43" s="2"/>
      <x:c r="B43" s="2"/>
      <x:c r="C43" s="2"/>
      <x:c r="D43" s="2"/>
      <x:c r="E43" s="2"/>
      <x:c r="F43" s="2"/>
      <x:c r="G43" s="2"/>
      <x:c r="H43" s="2"/>
      <x:c r="I43" s="2"/>
      <x:c r="J43" s="2"/>
      <x:c r="K43" s="2"/>
      <x:c r="L43" s="2"/>
      <x:c r="M43" s="2"/>
      <x:c r="N43" s="2"/>
    </x:row>
    <x:row r="44">
      <x:c r="A44" s="2"/>
      <x:c r="B44" s="2"/>
      <x:c r="C44" s="2"/>
      <x:c r="D44" s="2"/>
      <x:c r="E44" s="2"/>
      <x:c r="F44" s="2"/>
      <x:c r="G44" s="2"/>
      <x:c r="H44" s="2"/>
      <x:c r="I44" s="2"/>
      <x:c r="J44" s="2"/>
      <x:c r="K44" s="2"/>
      <x:c r="L44" s="2"/>
      <x:c r="M44" s="2"/>
      <x:c r="N44" s="2"/>
    </x:row>
    <x:row r="45">
      <x:c r="A45" s="2"/>
      <x:c r="B45" s="2"/>
      <x:c r="C45" s="2"/>
      <x:c r="D45" s="2"/>
      <x:c r="E45" s="2"/>
      <x:c r="F45" s="2"/>
      <x:c r="G45" s="2"/>
      <x:c r="H45" s="2"/>
      <x:c r="I45" s="2"/>
      <x:c r="J45" s="2"/>
      <x:c r="K45" s="2"/>
      <x:c r="L45" s="2"/>
      <x:c r="M45" s="2"/>
      <x:c r="N45" s="2"/>
    </x:row>
    <x:row r="46">
      <x:c r="A46" s="2"/>
      <x:c r="B46" s="2"/>
      <x:c r="C46" s="2"/>
      <x:c r="D46" s="2"/>
      <x:c r="E46" s="2"/>
      <x:c r="F46" s="2"/>
      <x:c r="G46" s="2"/>
      <x:c r="H46" s="2"/>
      <x:c r="I46" s="2"/>
      <x:c r="J46" s="2"/>
      <x:c r="K46" s="2"/>
      <x:c r="L46" s="2"/>
      <x:c r="M46" s="2"/>
      <x:c r="N46" s="2"/>
    </x:row>
    <x:row r="47">
      <x:c r="A47" s="2"/>
      <x:c r="B47" s="2"/>
      <x:c r="C47" s="2"/>
      <x:c r="D47" s="2"/>
      <x:c r="E47" s="2"/>
      <x:c r="F47" s="2"/>
      <x:c r="G47" s="2"/>
      <x:c r="H47" s="2"/>
      <x:c r="I47" s="2"/>
      <x:c r="J47" s="2"/>
      <x:c r="K47" s="2"/>
      <x:c r="L47" s="2"/>
      <x:c r="M47" s="2"/>
      <x:c r="N47" s="2"/>
    </x:row>
    <x:row r="48">
      <x:c r="A48" s="2"/>
      <x:c r="B48" s="2"/>
      <x:c r="C48" s="2"/>
      <x:c r="D48" s="2"/>
      <x:c r="E48" s="2"/>
      <x:c r="F48" s="2"/>
      <x:c r="G48" s="2"/>
      <x:c r="H48" s="2"/>
      <x:c r="I48" s="2"/>
      <x:c r="J48" s="2"/>
      <x:c r="K48" s="2"/>
      <x:c r="L48" s="2"/>
      <x:c r="M48" s="2"/>
      <x:c r="N48" s="2"/>
    </x:row>
  </x:sheetData>
  <x:mergeCells>
    <x:mergeCell ref="A1:G2"/>
    <x:mergeCell ref="A4:G6"/>
    <x:mergeCell ref="A18:G18"/>
  </x:mergeCells>
  <x:pageMargins left="0.7" right="0.7" top="0.75" bottom="0.75" header="0.3" footer="0.3"/>
</x:worksheet>
</file>