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37ad0e7576433f" /></Relationships>
</file>

<file path=xl/workbook.xml><?xml version="1.0" encoding="utf-8"?>
<x:workbook xmlns:x="http://schemas.openxmlformats.org/spreadsheetml/2006/main">
  <x:sheets>
    <x:sheet xmlns:r="http://schemas.openxmlformats.org/officeDocument/2006/relationships" name="Question_Q" sheetId="1" r:id="R52cdc45981d34524"/>
    <x:sheet xmlns:r="http://schemas.openxmlformats.org/officeDocument/2006/relationships" name="Gold_Answer_A" sheetId="2" r:id="R22d57de7ff1449b4"/>
    <x:sheet xmlns:r="http://schemas.openxmlformats.org/officeDocument/2006/relationships" name="Trajectory_Rubric" sheetId="3" r:id="R10fd8152f1cf4806"/>
    <x:sheet xmlns:r="http://schemas.openxmlformats.org/officeDocument/2006/relationships" name="Tool_Efficiency" sheetId="4" r:id="R432949175ac041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0E+00"/>
    <x:numFmt numFmtId="203" formatCode="0.0%"/>
  </x:numFmts>
  <x:fonts count="12">
    <x:font>
      <x:sz val="11"/>
      <x:name val="Carlito"/>
    </x:font>
    <x:font>
      <x:sz val="9"/>
      <x:color rgb="FF1F2937"/>
      <x:name val="Aptos"/>
    </x:font>
    <x:font>
      <x:b/>
      <x:sz val="18"/>
      <x:color rgb="FFFFFFFF"/>
      <x:name val="Aptos"/>
    </x:font>
    <x:font>
      <x:i/>
      <x:sz val="10"/>
      <x:color rgb="FF1F2937"/>
      <x:name val="Aptos"/>
    </x:font>
    <x:font>
      <x:b/>
      <x:sz val="11"/>
      <x:color rgb="FFFFFFFF"/>
      <x:name val="Aptos"/>
    </x:font>
    <x:font>
      <x:sz val="10"/>
      <x:color rgb="FF1F2937"/>
      <x:name val="Aptos"/>
    </x:font>
    <x:font>
      <x:b/>
      <x:sz val="9"/>
      <x:color rgb="FFFFFFFF"/>
      <x:name val="Aptos"/>
    </x:font>
    <x:font>
      <x:b/>
      <x:sz val="10"/>
      <x:color rgb="FF1F2937"/>
      <x:name val="Aptos"/>
    </x:font>
    <x:font>
      <x:b/>
      <x:sz val="9"/>
      <x:color rgb="FF16324F"/>
      <x:name val="Aptos"/>
    </x:font>
    <x:font>
      <x:b/>
      <x:sz val="9"/>
      <x:color rgb="FF1F2937"/>
      <x:name val="Aptos"/>
    </x:font>
    <x:font>
      <x:b/>
      <x:sz val="10"/>
      <x:color rgb="FF16324F"/>
      <x:name val="Aptos"/>
    </x:font>
    <x:font>
      <x:i/>
      <x:sz val="9"/>
      <x:color rgb="FF1F2937"/>
      <x:name val="Aptos"/>
    </x:font>
  </x:fonts>
  <x:fills count="27">
    <x:fill>
      <x:patternFill patternType="none"/>
    </x:fill>
    <x:fill>
      <x:patternFill patternType="gray125"/>
    </x:fill>
    <x:fill>
      <x:patternFill patternType="solid">
        <x:fgColor rgb="FF16324F"/>
      </x:patternFill>
    </x:fill>
    <x:fill>
      <x:patternFill patternType="solid">
        <x:fgColor rgb="FFDCEAF7"/>
      </x:patternFill>
    </x:fill>
    <x:fill>
      <x:patternFill patternType="solid">
        <x:fgColor rgb="FF087E8B"/>
      </x:patternFill>
    </x:fill>
    <x:fill>
      <x:patternFill patternType="solid">
        <x:fgColor rgb="FFF5F8FB"/>
      </x:patternFill>
    </x:fill>
    <x:fill>
      <x:patternFill patternType="solid">
        <x:fgColor rgb="FFFFFFFF"/>
      </x:patternFill>
    </x:fill>
    <x:fill>
      <x:patternFill patternType="solid">
        <x:fgColor rgb="FFDDF3EC"/>
      </x:patternFill>
    </x:fill>
    <x:fill>
      <x:patternFill patternType="solid">
        <x:fgColor rgb="FFF4C95D"/>
      </x:patternFill>
    </x:fill>
    <x:fill>
      <x:patternFill patternType="solid">
        <x:fgColor rgb="FFD9F2E6"/>
      </x:patternFill>
    </x:fill>
    <x:fill>
      <x:patternFill patternType="solid">
        <x:fgColor rgb="FFFDE2E1"/>
      </x:patternFill>
    </x:fill>
    <x:fill>
      <x:patternFill patternType="solid">
        <x:fgColor rgb="FF16324F"/>
      </x:patternFill>
    </x:fill>
    <x:fill>
      <x:patternFill patternType="solid">
        <x:fgColor rgb="FFDCEAF7"/>
      </x:patternFill>
    </x:fill>
    <x:fill>
      <x:patternFill patternType="solid">
        <x:fgColor rgb="FF087E8B"/>
      </x:patternFill>
    </x:fill>
    <x:fill>
      <x:patternFill patternType="solid">
        <x:fgColor rgb="FFF5F8FB"/>
      </x:patternFill>
    </x:fill>
    <x:fill>
      <x:patternFill patternType="solid">
        <x:fgColor rgb="FFFFFFFF"/>
      </x:patternFill>
    </x:fill>
    <x:fill>
      <x:patternFill patternType="solid">
        <x:fgColor rgb="FFF4C95D"/>
      </x:patternFill>
    </x:fill>
    <x:fill>
      <x:patternFill patternType="solid">
        <x:fgColor rgb="FFDDF3EC"/>
      </x:patternFill>
    </x:fill>
    <x:fill>
      <x:patternFill patternType="solid">
        <x:fgColor rgb="FFFFF6D9"/>
      </x:patternFill>
    </x:fill>
    <x:fill>
      <x:patternFill patternType="solid">
        <x:fgColor rgb="FF16324F"/>
      </x:patternFill>
    </x:fill>
    <x:fill>
      <x:patternFill patternType="solid">
        <x:fgColor rgb="FFDCEAF7"/>
      </x:patternFill>
    </x:fill>
    <x:fill>
      <x:patternFill patternType="solid">
        <x:fgColor rgb="FF087E8B"/>
      </x:patternFill>
    </x:fill>
    <x:fill>
      <x:patternFill patternType="solid">
        <x:fgColor rgb="FFF5F8FB"/>
      </x:patternFill>
    </x:fill>
    <x:fill>
      <x:patternFill patternType="solid">
        <x:fgColor rgb="FFFFFFFF"/>
      </x:patternFill>
    </x:fill>
    <x:fill>
      <x:patternFill patternType="solid">
        <x:fgColor rgb="FFF4C95D"/>
      </x:patternFill>
    </x:fill>
    <x:fill>
      <x:patternFill patternType="solid">
        <x:fgColor rgb="FFDDF3EC"/>
      </x:patternFill>
    </x:fill>
    <x:fill>
      <x:patternFill patternType="solid">
        <x:fgColor rgb="FFFFF6D9"/>
      </x:patternFill>
    </x:fill>
  </x:fills>
  <x:borders count="10">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38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1" xfId="0" applyNumberFormat="1" applyFont="1" applyFill="1" applyBorder="1" applyAlignment="1">
      <x:alignment wrapText="1"/>
    </x:xf>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1"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8" xfId="0" applyNumberFormat="1" applyFont="1" applyFill="1" applyBorder="1" applyAlignment="1">
      <x:alignment vertical="top" wrapText="1"/>
    </x:xf>
    <x:xf numFmtId="0" fontId="6" fillId="2" borderId="0" xfId="0" applyNumberFormat="1" applyFont="1" applyFill="1" applyBorder="1"/>
    <x:xf numFmtId="0" fontId="6" fillId="2" borderId="9" xfId="0" applyNumberFormat="1" applyFont="1" applyFill="1" applyBorder="1"/>
    <x:xf numFmtId="0" fontId="6" fillId="2" borderId="9" xfId="0" applyNumberFormat="1" applyFont="1" applyFill="1" applyBorder="1" applyAlignment="1">
      <x:alignment wrapText="1"/>
    </x:xf>
    <x:xf numFmtId="0" fontId="6" fillId="2" borderId="9" xfId="0" applyNumberFormat="1" applyFont="1" applyFill="1" applyBorder="1" applyAlignment="1">
      <x:alignment horizontal="center" wrapText="1"/>
    </x:xf>
    <x:xf numFmtId="0" fontId="6" fillId="2" borderId="9" xfId="0" applyNumberFormat="1" applyFont="1" applyFill="1" applyBorder="1" applyAlignment="1">
      <x:alignment horizontal="center" vertical="center" wrapText="1"/>
    </x:xf>
    <x:xf numFmtId="0" fontId="1" fillId="6" borderId="0" xfId="0" applyNumberFormat="1" applyFont="1" applyFill="1" applyBorder="1"/>
    <x:xf numFmtId="0" fontId="1" fillId="6" borderId="9" xfId="0" applyNumberFormat="1" applyFont="1" applyFill="1" applyBorder="1"/>
    <x:xf numFmtId="0" fontId="1" fillId="6" borderId="9" xfId="0" applyNumberFormat="1" applyFont="1" applyFill="1" applyBorder="1" applyAlignment="1">
      <x:alignment wrapText="1"/>
    </x:xf>
    <x:xf numFmtId="0" fontId="1" fillId="6" borderId="9" xfId="0" applyNumberFormat="1" applyFont="1" applyFill="1" applyBorder="1" applyAlignment="1">
      <x:alignment vertical="center" wrapText="1"/>
    </x:xf>
    <x:xf numFmtId="200" fontId="1" fillId="6" borderId="9" xfId="0" applyNumberFormat="1" applyFont="1" applyFill="1" applyBorder="1" applyAlignment="1">
      <x:alignment vertical="center" wrapText="1"/>
    </x:xf>
    <x:xf numFmtId="201" fontId="1" fillId="6" borderId="9" xfId="0" applyNumberFormat="1" applyFont="1" applyFill="1" applyBorder="1" applyAlignment="1">
      <x:alignment vertical="center" wrapText="1"/>
    </x:xf>
    <x:xf numFmtId="202" fontId="1" fillId="6" borderId="9" xfId="0" applyNumberFormat="1" applyFont="1" applyFill="1" applyBorder="1" applyAlignment="1">
      <x:alignment vertical="center" wrapText="1"/>
    </x:xf>
    <x:xf numFmtId="203" fontId="1" fillId="6" borderId="9" xfId="0" applyNumberFormat="1" applyFont="1" applyFill="1" applyBorder="1" applyAlignment="1">
      <x:alignment vertical="center" wrapText="1"/>
    </x:xf>
    <x:xf numFmtId="0" fontId="1"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2"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7" xfId="0" applyNumberFormat="1" applyFont="1" applyFill="1" applyBorder="1"/>
    <x:xf numFmtId="0" fontId="7" fillId="7" borderId="8" xfId="0" applyNumberFormat="1" applyFont="1" applyFill="1" applyBorder="1"/>
    <x:xf numFmtId="0" fontId="7" fillId="7" borderId="1" xfId="0" applyNumberFormat="1" applyFont="1" applyFill="1" applyBorder="1" applyAlignment="1">
      <x:alignment wrapText="1"/>
    </x:xf>
    <x:xf numFmtId="0" fontId="7" fillId="7" borderId="2" xfId="0" applyNumberFormat="1" applyFont="1" applyFill="1" applyBorder="1" applyAlignment="1">
      <x:alignment wrapText="1"/>
    </x:xf>
    <x:xf numFmtId="0" fontId="7" fillId="7" borderId="3"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8"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7" borderId="6"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7" fillId="7" borderId="8" xfId="0" applyNumberFormat="1" applyFont="1" applyFill="1" applyBorder="1" applyAlignment="1">
      <x:alignment vertical="top" wrapText="1"/>
    </x:xf>
    <x:xf numFmtId="0" fontId="1" fillId="0" borderId="9" xfId="0" applyNumberFormat="1" applyFont="1" applyFill="1" applyBorder="1"/>
    <x:xf numFmtId="0" fontId="1" fillId="0" borderId="9" xfId="0" applyNumberFormat="1" applyFont="1" applyFill="1" applyBorder="1" applyAlignment="1">
      <x:alignment wrapText="1"/>
    </x:xf>
    <x:xf numFmtId="0" fontId="1" fillId="8" borderId="9"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9" xfId="0" applyNumberFormat="1" applyFont="1" applyFill="1" applyBorder="1" applyAlignment="1">
      <x:alignment horizontal="center" wrapText="1"/>
    </x:xf>
    <x:xf numFmtId="0" fontId="1" fillId="9" borderId="0" xfId="0" applyNumberFormat="1" applyFont="1" applyFill="1" applyBorder="1"/>
    <x:xf numFmtId="0" fontId="7" fillId="9" borderId="0" xfId="0" applyNumberFormat="1" applyFont="1" applyFill="1" applyBorder="1"/>
    <x:xf numFmtId="0" fontId="7" fillId="9" borderId="1" xfId="0" applyNumberFormat="1" applyFont="1" applyFill="1" applyBorder="1"/>
    <x:xf numFmtId="0" fontId="7" fillId="9" borderId="2" xfId="0" applyNumberFormat="1" applyFont="1" applyFill="1" applyBorder="1"/>
    <x:xf numFmtId="0" fontId="7" fillId="9" borderId="3" xfId="0" applyNumberFormat="1" applyFont="1" applyFill="1" applyBorder="1"/>
    <x:xf numFmtId="0" fontId="7" fillId="9" borderId="4" xfId="0" applyNumberFormat="1" applyFont="1" applyFill="1" applyBorder="1"/>
    <x:xf numFmtId="0" fontId="7" fillId="9" borderId="5" xfId="0" applyNumberFormat="1" applyFont="1" applyFill="1" applyBorder="1"/>
    <x:xf numFmtId="0" fontId="7" fillId="9" borderId="6" xfId="0" applyNumberFormat="1" applyFont="1" applyFill="1" applyBorder="1"/>
    <x:xf numFmtId="0" fontId="7" fillId="9" borderId="7" xfId="0" applyNumberFormat="1" applyFont="1" applyFill="1" applyBorder="1"/>
    <x:xf numFmtId="0" fontId="7" fillId="9" borderId="8" xfId="0" applyNumberFormat="1" applyFont="1" applyFill="1" applyBorder="1"/>
    <x:xf numFmtId="0" fontId="7" fillId="9" borderId="1" xfId="0" applyNumberFormat="1" applyFont="1" applyFill="1" applyBorder="1" applyAlignment="1">
      <x:alignment wrapText="1"/>
    </x:xf>
    <x:xf numFmtId="0" fontId="7" fillId="9" borderId="2" xfId="0" applyNumberFormat="1" applyFont="1" applyFill="1" applyBorder="1" applyAlignment="1">
      <x:alignment wrapText="1"/>
    </x:xf>
    <x:xf numFmtId="0" fontId="7" fillId="9" borderId="3" xfId="0" applyNumberFormat="1" applyFont="1" applyFill="1" applyBorder="1" applyAlignment="1">
      <x:alignment wrapText="1"/>
    </x:xf>
    <x:xf numFmtId="0" fontId="7" fillId="9" borderId="4" xfId="0" applyNumberFormat="1" applyFont="1" applyFill="1" applyBorder="1" applyAlignment="1">
      <x:alignment wrapText="1"/>
    </x:xf>
    <x:xf numFmtId="0" fontId="7" fillId="9" borderId="0" xfId="0" applyNumberFormat="1" applyFont="1" applyFill="1" applyBorder="1" applyAlignment="1">
      <x:alignment wrapText="1"/>
    </x:xf>
    <x:xf numFmtId="0" fontId="7" fillId="9" borderId="5" xfId="0" applyNumberFormat="1" applyFont="1" applyFill="1" applyBorder="1" applyAlignment="1">
      <x:alignment wrapText="1"/>
    </x:xf>
    <x:xf numFmtId="0" fontId="7" fillId="9" borderId="6" xfId="0" applyNumberFormat="1" applyFont="1" applyFill="1" applyBorder="1" applyAlignment="1">
      <x:alignment wrapText="1"/>
    </x:xf>
    <x:xf numFmtId="0" fontId="7" fillId="9" borderId="7" xfId="0" applyNumberFormat="1" applyFont="1" applyFill="1" applyBorder="1" applyAlignment="1">
      <x:alignment wrapText="1"/>
    </x:xf>
    <x:xf numFmtId="0" fontId="7" fillId="9" borderId="8" xfId="0" applyNumberFormat="1" applyFont="1" applyFill="1" applyBorder="1" applyAlignment="1">
      <x:alignment wrapText="1"/>
    </x:xf>
    <x:xf numFmtId="0" fontId="7" fillId="9" borderId="1" xfId="0" applyNumberFormat="1" applyFont="1" applyFill="1" applyBorder="1" applyAlignment="1">
      <x:alignment vertical="top" wrapText="1"/>
    </x:xf>
    <x:xf numFmtId="0" fontId="7" fillId="9" borderId="2" xfId="0" applyNumberFormat="1" applyFont="1" applyFill="1" applyBorder="1" applyAlignment="1">
      <x:alignment vertical="top" wrapText="1"/>
    </x:xf>
    <x:xf numFmtId="0" fontId="7" fillId="9" borderId="3" xfId="0" applyNumberFormat="1" applyFont="1" applyFill="1" applyBorder="1" applyAlignment="1">
      <x:alignment vertical="top" wrapText="1"/>
    </x:xf>
    <x:xf numFmtId="0" fontId="7" fillId="9" borderId="4"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7" fillId="9" borderId="5"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7" fillId="9" borderId="7" xfId="0" applyNumberFormat="1" applyFont="1" applyFill="1" applyBorder="1" applyAlignment="1">
      <x:alignment vertical="top" wrapText="1"/>
    </x:xf>
    <x:xf numFmtId="0" fontId="7" fillId="9" borderId="8" xfId="0" applyNumberFormat="1" applyFont="1" applyFill="1" applyBorder="1" applyAlignment="1">
      <x:alignment vertical="top" wrapText="1"/>
    </x:xf>
    <x:xf numFmtId="0" fontId="1" fillId="9" borderId="9" xfId="0" applyNumberFormat="1" applyFont="1" applyFill="1" applyBorder="1" applyAlignment="1">
      <x:alignment vertical="center" wrapText="1"/>
    </x:xf>
    <x:xf numFmtId="201" fontId="1" fillId="9" borderId="9"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6" fillId="2" borderId="9" xfId="0" applyNumberFormat="1" applyFont="1" applyFill="1" applyBorder="1" applyAlignment="1">
      <x:alignment vertical="center"/>
    </x:xf>
    <x:xf numFmtId="0" fontId="6" fillId="2" borderId="9" xfId="0" applyNumberFormat="1" applyFont="1" applyFill="1" applyBorder="1" applyAlignment="1">
      <x:alignment vertical="center" wrapText="1"/>
    </x:xf>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10" borderId="0" xfId="0" applyNumberFormat="1" applyFont="1" applyFill="1" applyBorder="1"/>
    <x:xf numFmtId="0" fontId="9" fillId="10" borderId="0" xfId="0" applyNumberFormat="1" applyFont="1" applyFill="1" applyBorder="1"/>
    <x:xf numFmtId="0" fontId="9" fillId="10" borderId="1" xfId="0" applyNumberFormat="1" applyFont="1" applyFill="1" applyBorder="1"/>
    <x:xf numFmtId="0" fontId="9" fillId="10" borderId="2" xfId="0" applyNumberFormat="1" applyFont="1" applyFill="1" applyBorder="1"/>
    <x:xf numFmtId="0" fontId="9" fillId="10" borderId="3"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8" xfId="0" applyNumberFormat="1" applyFont="1" applyFill="1" applyBorder="1"/>
    <x:xf numFmtId="0" fontId="9" fillId="10" borderId="1" xfId="0" applyNumberFormat="1" applyFont="1" applyFill="1" applyBorder="1" applyAlignment="1">
      <x:alignment wrapText="1"/>
    </x:xf>
    <x:xf numFmtId="0" fontId="9" fillId="10" borderId="2" xfId="0" applyNumberFormat="1" applyFont="1" applyFill="1" applyBorder="1" applyAlignment="1">
      <x:alignment wrapText="1"/>
    </x:xf>
    <x:xf numFmtId="0" fontId="9" fillId="10" borderId="3"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borderId="8" xfId="0" applyNumberFormat="1" applyFont="1" applyFill="1" applyBorder="1" applyAlignment="1">
      <x:alignment wrapText="1"/>
    </x:xf>
    <x:xf numFmtId="0" fontId="5" fillId="0" borderId="0" xfId="0" applyNumberFormat="1" applyFont="1" applyFill="1" applyBorder="1"/>
    <x:xf numFmtId="0" fontId="5"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center" wrapText="1"/>
    </x:xf>
    <x:xf numFmtId="0" fontId="5"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5"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vertical="center"/>
    </x:xf>
    <x:xf numFmtId="0" fontId="5" fillId="14" borderId="0" xfId="0" applyNumberFormat="1" applyFont="1" applyFill="1" applyBorder="1"/>
    <x:xf numFmtId="0" fontId="5" fillId="14" borderId="1" xfId="0" applyNumberFormat="1" applyFont="1" applyFill="1" applyBorder="1"/>
    <x:xf numFmtId="0" fontId="5" fillId="14" borderId="2" xfId="0" applyNumberFormat="1" applyFont="1" applyFill="1" applyBorder="1"/>
    <x:xf numFmtId="0" fontId="5" fillId="14" borderId="3" xfId="0" applyNumberFormat="1" applyFont="1" applyFill="1" applyBorder="1"/>
    <x:xf numFmtId="0" fontId="5" fillId="14" borderId="4" xfId="0" applyNumberFormat="1" applyFont="1" applyFill="1" applyBorder="1"/>
    <x:xf numFmtId="0" fontId="5" fillId="14" xfId="0" applyNumberFormat="1" applyFont="1" applyFill="1" applyBorder="0"/>
    <x:xf numFmtId="0" fontId="5" fillId="14" borderId="5" xfId="0" applyNumberFormat="1" applyFont="1" applyFill="1" applyBorder="1"/>
    <x:xf numFmtId="0" fontId="5" fillId="14" borderId="6" xfId="0" applyNumberFormat="1" applyFont="1" applyFill="1" applyBorder="1"/>
    <x:xf numFmtId="0" fontId="5" fillId="14" borderId="7" xfId="0" applyNumberFormat="1" applyFont="1" applyFill="1" applyBorder="1"/>
    <x:xf numFmtId="0" fontId="5" fillId="14" borderId="8" xfId="0" applyNumberFormat="1" applyFont="1" applyFill="1" applyBorder="1"/>
    <x:xf numFmtId="0" fontId="5" fillId="14" borderId="1" xfId="0" applyNumberFormat="1" applyFont="1" applyFill="1" applyBorder="1" applyAlignment="1">
      <x:alignment wrapText="1"/>
    </x:xf>
    <x:xf numFmtId="0" fontId="5" fillId="14" borderId="2" xfId="0" applyNumberFormat="1" applyFont="1" applyFill="1" applyBorder="1" applyAlignment="1">
      <x:alignment wrapText="1"/>
    </x:xf>
    <x:xf numFmtId="0" fontId="5" fillId="14" borderId="3" xfId="0" applyNumberFormat="1" applyFont="1" applyFill="1" applyBorder="1" applyAlignment="1">
      <x:alignment wrapText="1"/>
    </x:xf>
    <x:xf numFmtId="0" fontId="5" fillId="14" borderId="4" xfId="0" applyNumberFormat="1" applyFont="1" applyFill="1" applyBorder="1" applyAlignment="1">
      <x:alignment wrapText="1"/>
    </x:xf>
    <x:xf numFmtId="0" fontId="5" fillId="14" xfId="0" applyNumberFormat="1" applyFont="1" applyFill="1" applyBorder="0" applyAlignment="1">
      <x:alignment wrapText="1"/>
    </x:xf>
    <x:xf numFmtId="0" fontId="5" fillId="14" borderId="5" xfId="0" applyNumberFormat="1" applyFont="1" applyFill="1" applyBorder="1" applyAlignment="1">
      <x:alignment wrapText="1"/>
    </x:xf>
    <x:xf numFmtId="0" fontId="5" fillId="14" borderId="6" xfId="0" applyNumberFormat="1" applyFont="1" applyFill="1" applyBorder="1" applyAlignment="1">
      <x:alignment wrapText="1"/>
    </x:xf>
    <x:xf numFmtId="0" fontId="5" fillId="14" borderId="7" xfId="0" applyNumberFormat="1" applyFont="1" applyFill="1" applyBorder="1" applyAlignment="1">
      <x:alignment wrapText="1"/>
    </x:xf>
    <x:xf numFmtId="0" fontId="5" fillId="14" borderId="8" xfId="0" applyNumberFormat="1" applyFont="1" applyFill="1" applyBorder="1" applyAlignment="1">
      <x:alignment wrapText="1"/>
    </x:xf>
    <x:xf numFmtId="0" fontId="5" fillId="14" borderId="1" xfId="0" applyNumberFormat="1" applyFont="1" applyFill="1" applyBorder="1" applyAlignment="1">
      <x:alignment vertical="top" wrapText="1"/>
    </x:xf>
    <x:xf numFmtId="0" fontId="5" fillId="14" borderId="2" xfId="0" applyNumberFormat="1" applyFont="1" applyFill="1" applyBorder="1" applyAlignment="1">
      <x:alignment vertical="top" wrapText="1"/>
    </x:xf>
    <x:xf numFmtId="0" fontId="5" fillId="14" borderId="3" xfId="0" applyNumberFormat="1" applyFont="1" applyFill="1" applyBorder="1" applyAlignment="1">
      <x:alignment vertical="top" wrapText="1"/>
    </x:xf>
    <x:xf numFmtId="0" fontId="5" fillId="14" borderId="4" xfId="0" applyNumberFormat="1" applyFont="1" applyFill="1" applyBorder="1" applyAlignment="1">
      <x:alignment vertical="top" wrapText="1"/>
    </x:xf>
    <x:xf numFmtId="0" fontId="5" fillId="14" xfId="0" applyNumberFormat="1" applyFont="1" applyFill="1" applyBorder="0" applyAlignment="1">
      <x:alignment vertical="top" wrapText="1"/>
    </x:xf>
    <x:xf numFmtId="0" fontId="5" fillId="14" borderId="5" xfId="0" applyNumberFormat="1" applyFont="1" applyFill="1" applyBorder="1" applyAlignment="1">
      <x:alignment vertical="top" wrapText="1"/>
    </x:xf>
    <x:xf numFmtId="0" fontId="5" fillId="14" borderId="6" xfId="0" applyNumberFormat="1" applyFont="1" applyFill="1" applyBorder="1" applyAlignment="1">
      <x:alignment vertical="top" wrapText="1"/>
    </x:xf>
    <x:xf numFmtId="0" fontId="5" fillId="14" borderId="7" xfId="0" applyNumberFormat="1" applyFont="1" applyFill="1" applyBorder="1" applyAlignment="1">
      <x:alignment vertical="top" wrapText="1"/>
    </x:xf>
    <x:xf numFmtId="0" fontId="5" fillId="14" borderId="8" xfId="0" applyNumberFormat="1" applyFont="1" applyFill="1" applyBorder="1" applyAlignment="1">
      <x:alignment vertical="top" wrapText="1"/>
    </x:xf>
    <x:xf numFmtId="0" fontId="6" fillId="11" borderId="0" xfId="0" applyNumberFormat="1" applyFont="1" applyFill="1" applyBorder="1"/>
    <x:xf numFmtId="0" fontId="6" fillId="11" borderId="9" xfId="0" applyNumberFormat="1" applyFont="1" applyFill="1" applyBorder="1"/>
    <x:xf numFmtId="0" fontId="6" fillId="11" borderId="9" xfId="0" applyNumberFormat="1" applyFont="1" applyFill="1" applyBorder="1" applyAlignment="1">
      <x:alignment wrapText="1"/>
    </x:xf>
    <x:xf numFmtId="0" fontId="6" fillId="11" borderId="9" xfId="0" applyNumberFormat="1" applyFont="1" applyFill="1" applyBorder="1" applyAlignment="1">
      <x:alignment horizontal="center" wrapText="1"/>
    </x:xf>
    <x:xf numFmtId="0" fontId="6" fillId="11" borderId="9" xfId="0" applyNumberFormat="1" applyFont="1" applyFill="1" applyBorder="1" applyAlignment="1">
      <x:alignment horizontal="center" vertical="center" wrapText="1"/>
    </x:xf>
    <x:xf numFmtId="0" fontId="5" fillId="15" borderId="0" xfId="0" applyNumberFormat="1" applyFont="1" applyFill="1" applyBorder="1"/>
    <x:xf numFmtId="0" fontId="1" fillId="15" borderId="0" xfId="0" applyNumberFormat="1" applyFont="1" applyFill="1" applyBorder="1"/>
    <x:xf numFmtId="0" fontId="1" fillId="15" borderId="9" xfId="0" applyNumberFormat="1" applyFont="1" applyFill="1" applyBorder="1"/>
    <x:xf numFmtId="0" fontId="1" fillId="15" borderId="9" xfId="0" applyNumberFormat="1" applyFont="1" applyFill="1" applyBorder="1" applyAlignment="1">
      <x:alignment wrapText="1"/>
    </x:xf>
    <x:xf numFmtId="0" fontId="1" fillId="15" borderId="9" xfId="0" applyNumberFormat="1" applyFont="1" applyFill="1" applyBorder="1" applyAlignment="1">
      <x:alignment vertical="center" wrapText="1"/>
    </x:xf>
    <x:xf numFmtId="200" fontId="1" fillId="15" borderId="9" xfId="0" applyNumberFormat="1" applyFont="1" applyFill="1" applyBorder="1" applyAlignment="1">
      <x:alignment vertical="center" wrapText="1"/>
    </x:xf>
    <x:xf numFmtId="0" fontId="5" fillId="16" borderId="0" xfId="0" applyNumberFormat="1" applyFont="1" applyFill="1" applyBorder="1"/>
    <x:xf numFmtId="0" fontId="8" fillId="16" borderId="0" xfId="0" applyNumberFormat="1" applyFont="1" applyFill="1" applyBorder="1"/>
    <x:xf numFmtId="0" fontId="8" fillId="16" borderId="9" xfId="0" applyNumberFormat="1" applyFont="1" applyFill="1" applyBorder="1"/>
    <x:xf numFmtId="0" fontId="8" fillId="16" borderId="9" xfId="0" applyNumberFormat="1" applyFont="1" applyFill="1" applyBorder="1" applyAlignment="1">
      <x:alignment wrapText="1"/>
    </x:xf>
    <x:xf numFmtId="0" fontId="8" fillId="16" borderId="9" xfId="0" applyNumberFormat="1" applyFont="1" applyFill="1" applyBorder="1" applyAlignment="1">
      <x:alignment vertical="center" wrapText="1"/>
    </x:xf>
    <x:xf numFmtId="0" fontId="5" fillId="17" borderId="0" xfId="0" applyNumberFormat="1" applyFont="1" applyFill="1" applyBorder="1"/>
    <x:xf numFmtId="0" fontId="7" fillId="17" borderId="0" xfId="0" applyNumberFormat="1" applyFont="1" applyFill="1" applyBorder="1"/>
    <x:xf numFmtId="0" fontId="7" fillId="17" borderId="1" xfId="0" applyNumberFormat="1" applyFont="1" applyFill="1" applyBorder="1"/>
    <x:xf numFmtId="0" fontId="7" fillId="17" borderId="2" xfId="0" applyNumberFormat="1" applyFont="1" applyFill="1" applyBorder="1"/>
    <x:xf numFmtId="0" fontId="7" fillId="17" borderId="3" xfId="0" applyNumberFormat="1" applyFont="1" applyFill="1" applyBorder="1"/>
    <x:xf numFmtId="0" fontId="7" fillId="17" borderId="4" xfId="0" applyNumberFormat="1" applyFont="1" applyFill="1" applyBorder="1"/>
    <x:xf numFmtId="0" fontId="7" fillId="17" xfId="0" applyNumberFormat="1" applyFont="1" applyFill="1" applyBorder="0"/>
    <x:xf numFmtId="0" fontId="7" fillId="17" borderId="5" xfId="0" applyNumberFormat="1" applyFont="1" applyFill="1" applyBorder="1"/>
    <x:xf numFmtId="0" fontId="7" fillId="17" borderId="6" xfId="0" applyNumberFormat="1" applyFont="1" applyFill="1" applyBorder="1"/>
    <x:xf numFmtId="0" fontId="7" fillId="17" borderId="7" xfId="0" applyNumberFormat="1" applyFont="1" applyFill="1" applyBorder="1"/>
    <x:xf numFmtId="0" fontId="7" fillId="17" borderId="8" xfId="0" applyNumberFormat="1" applyFont="1" applyFill="1" applyBorder="1"/>
    <x:xf numFmtId="0" fontId="7" fillId="17" borderId="1" xfId="0" applyNumberFormat="1" applyFont="1" applyFill="1" applyBorder="1" applyAlignment="1">
      <x:alignment wrapText="1"/>
    </x:xf>
    <x:xf numFmtId="0" fontId="7" fillId="17" borderId="2" xfId="0" applyNumberFormat="1" applyFont="1" applyFill="1" applyBorder="1" applyAlignment="1">
      <x:alignment wrapText="1"/>
    </x:xf>
    <x:xf numFmtId="0" fontId="7" fillId="17" borderId="3" xfId="0" applyNumberFormat="1" applyFont="1" applyFill="1" applyBorder="1" applyAlignment="1">
      <x:alignment wrapText="1"/>
    </x:xf>
    <x:xf numFmtId="0" fontId="7" fillId="17" borderId="4" xfId="0" applyNumberFormat="1" applyFont="1" applyFill="1" applyBorder="1" applyAlignment="1">
      <x:alignment wrapText="1"/>
    </x:xf>
    <x:xf numFmtId="0" fontId="7" fillId="17" xfId="0" applyNumberFormat="1" applyFont="1" applyFill="1" applyBorder="0" applyAlignment="1">
      <x:alignment wrapText="1"/>
    </x:xf>
    <x:xf numFmtId="0" fontId="7" fillId="17" borderId="5" xfId="0" applyNumberFormat="1" applyFont="1" applyFill="1" applyBorder="1" applyAlignment="1">
      <x:alignment wrapText="1"/>
    </x:xf>
    <x:xf numFmtId="0" fontId="7" fillId="17" borderId="6" xfId="0" applyNumberFormat="1" applyFont="1" applyFill="1" applyBorder="1" applyAlignment="1">
      <x:alignment wrapText="1"/>
    </x:xf>
    <x:xf numFmtId="0" fontId="7" fillId="17" borderId="7" xfId="0" applyNumberFormat="1" applyFont="1" applyFill="1" applyBorder="1" applyAlignment="1">
      <x:alignment wrapText="1"/>
    </x:xf>
    <x:xf numFmtId="0" fontId="7" fillId="17" borderId="8" xfId="0" applyNumberFormat="1" applyFont="1" applyFill="1" applyBorder="1" applyAlignment="1">
      <x:alignment wrapText="1"/>
    </x:xf>
    <x:xf numFmtId="0" fontId="7" fillId="17" borderId="1" xfId="0" applyNumberFormat="1" applyFont="1" applyFill="1" applyBorder="1" applyAlignment="1">
      <x:alignment vertical="top" wrapText="1"/>
    </x:xf>
    <x:xf numFmtId="0" fontId="7" fillId="17" borderId="2" xfId="0" applyNumberFormat="1" applyFont="1" applyFill="1" applyBorder="1" applyAlignment="1">
      <x:alignment vertical="top" wrapText="1"/>
    </x:xf>
    <x:xf numFmtId="0" fontId="7" fillId="17" borderId="3" xfId="0" applyNumberFormat="1" applyFont="1" applyFill="1" applyBorder="1" applyAlignment="1">
      <x:alignment vertical="top" wrapText="1"/>
    </x:xf>
    <x:xf numFmtId="0" fontId="7" fillId="17" borderId="4" xfId="0" applyNumberFormat="1" applyFont="1" applyFill="1" applyBorder="1" applyAlignment="1">
      <x:alignment vertical="top" wrapText="1"/>
    </x:xf>
    <x:xf numFmtId="0" fontId="7" fillId="17" xfId="0" applyNumberFormat="1" applyFont="1" applyFill="1" applyBorder="0" applyAlignment="1">
      <x:alignment vertical="top" wrapText="1"/>
    </x:xf>
    <x:xf numFmtId="0" fontId="7" fillId="17" borderId="5" xfId="0" applyNumberFormat="1" applyFont="1" applyFill="1" applyBorder="1" applyAlignment="1">
      <x:alignment vertical="top" wrapText="1"/>
    </x:xf>
    <x:xf numFmtId="0" fontId="7" fillId="17" borderId="6" xfId="0" applyNumberFormat="1" applyFont="1" applyFill="1" applyBorder="1" applyAlignment="1">
      <x:alignment vertical="top" wrapText="1"/>
    </x:xf>
    <x:xf numFmtId="0" fontId="7" fillId="17" borderId="7" xfId="0" applyNumberFormat="1" applyFont="1" applyFill="1" applyBorder="1" applyAlignment="1">
      <x:alignment vertical="top" wrapText="1"/>
    </x:xf>
    <x:xf numFmtId="0" fontId="7" fillId="17" borderId="8" xfId="0" applyNumberFormat="1" applyFont="1" applyFill="1" applyBorder="1" applyAlignment="1">
      <x:alignment vertical="top" wrapText="1"/>
    </x:xf>
    <x:xf numFmtId="0" fontId="10" fillId="16" borderId="0" xfId="0" applyNumberFormat="1" applyFont="1" applyFill="1" applyBorder="1"/>
    <x:xf numFmtId="0" fontId="10" fillId="16" borderId="9" xfId="0" applyNumberFormat="1" applyFont="1" applyFill="1" applyBorder="1"/>
    <x:xf numFmtId="0" fontId="10" fillId="16" borderId="9" xfId="0" applyNumberFormat="1" applyFont="1" applyFill="1" applyBorder="1" applyAlignment="1">
      <x:alignment horizontal="center"/>
    </x:xf>
    <x:xf numFmtId="0" fontId="10" fillId="16" borderId="9" xfId="0" applyNumberFormat="1" applyFont="1" applyFill="1" applyBorder="1" applyAlignment="1">
      <x:alignment horizontal="center" vertical="center"/>
    </x:xf>
    <x:xf numFmtId="0" fontId="5" fillId="15" borderId="9" xfId="0" applyNumberFormat="1" applyFont="1" applyFill="1" applyBorder="1"/>
    <x:xf numFmtId="0" fontId="5" fillId="15" borderId="9" xfId="0" applyNumberFormat="1" applyFont="1" applyFill="1" applyBorder="1" applyAlignment="1">
      <x:alignment wrapText="1"/>
    </x:xf>
    <x:xf numFmtId="0" fontId="5" fillId="15" borderId="9" xfId="0" applyNumberFormat="1" applyFont="1" applyFill="1" applyBorder="1" applyAlignment="1">
      <x:alignment vertical="center" wrapText="1"/>
    </x:xf>
    <x:xf numFmtId="0" fontId="5" fillId="18" borderId="0" xfId="0" applyNumberFormat="1" applyFont="1" applyFill="1" applyBorder="1"/>
    <x:xf numFmtId="0" fontId="11" fillId="18" borderId="0" xfId="0" applyNumberFormat="1" applyFont="1" applyFill="1" applyBorder="1"/>
    <x:xf numFmtId="0" fontId="11" fillId="18" borderId="1" xfId="0" applyNumberFormat="1" applyFont="1" applyFill="1" applyBorder="1"/>
    <x:xf numFmtId="0" fontId="11" fillId="18" borderId="2" xfId="0" applyNumberFormat="1" applyFont="1" applyFill="1" applyBorder="1"/>
    <x:xf numFmtId="0" fontId="11" fillId="18" borderId="3" xfId="0" applyNumberFormat="1" applyFont="1" applyFill="1" applyBorder="1"/>
    <x:xf numFmtId="0" fontId="11" fillId="18" borderId="6" xfId="0" applyNumberFormat="1" applyFont="1" applyFill="1" applyBorder="1"/>
    <x:xf numFmtId="0" fontId="11" fillId="18" borderId="7" xfId="0" applyNumberFormat="1" applyFont="1" applyFill="1" applyBorder="1"/>
    <x:xf numFmtId="0" fontId="11" fillId="18" borderId="8" xfId="0" applyNumberFormat="1" applyFont="1" applyFill="1" applyBorder="1"/>
    <x:xf numFmtId="0" fontId="11" fillId="18" borderId="1" xfId="0" applyNumberFormat="1" applyFont="1" applyFill="1" applyBorder="1" applyAlignment="1">
      <x:alignment wrapText="1"/>
    </x:xf>
    <x:xf numFmtId="0" fontId="11" fillId="18" borderId="2" xfId="0" applyNumberFormat="1" applyFont="1" applyFill="1" applyBorder="1" applyAlignment="1">
      <x:alignment wrapText="1"/>
    </x:xf>
    <x:xf numFmtId="0" fontId="11" fillId="18" borderId="3" xfId="0" applyNumberFormat="1" applyFont="1" applyFill="1" applyBorder="1" applyAlignment="1">
      <x:alignment wrapText="1"/>
    </x:xf>
    <x:xf numFmtId="0" fontId="11" fillId="18" borderId="6" xfId="0" applyNumberFormat="1" applyFont="1" applyFill="1" applyBorder="1" applyAlignment="1">
      <x:alignment wrapText="1"/>
    </x:xf>
    <x:xf numFmtId="0" fontId="11" fillId="18" borderId="7" xfId="0" applyNumberFormat="1" applyFont="1" applyFill="1" applyBorder="1" applyAlignment="1">
      <x:alignment wrapText="1"/>
    </x:xf>
    <x:xf numFmtId="0" fontId="11" fillId="18" borderId="8" xfId="0" applyNumberFormat="1" applyFont="1" applyFill="1" applyBorder="1" applyAlignment="1">
      <x:alignment wrapText="1"/>
    </x:xf>
    <x:xf numFmtId="0" fontId="11" fillId="18" borderId="1" xfId="0" applyNumberFormat="1" applyFont="1" applyFill="1" applyBorder="1" applyAlignment="1">
      <x:alignment vertical="center" wrapText="1"/>
    </x:xf>
    <x:xf numFmtId="0" fontId="11" fillId="18" borderId="2" xfId="0" applyNumberFormat="1" applyFont="1" applyFill="1" applyBorder="1" applyAlignment="1">
      <x:alignment vertical="center" wrapText="1"/>
    </x:xf>
    <x:xf numFmtId="0" fontId="11" fillId="18" borderId="3" xfId="0" applyNumberFormat="1" applyFont="1" applyFill="1" applyBorder="1" applyAlignment="1">
      <x:alignment vertical="center" wrapText="1"/>
    </x:xf>
    <x:xf numFmtId="0" fontId="11" fillId="18" borderId="6" xfId="0" applyNumberFormat="1" applyFont="1" applyFill="1" applyBorder="1" applyAlignment="1">
      <x:alignment vertical="center" wrapText="1"/>
    </x:xf>
    <x:xf numFmtId="0" fontId="11" fillId="18" borderId="7" xfId="0" applyNumberFormat="1" applyFont="1" applyFill="1" applyBorder="1" applyAlignment="1">
      <x:alignment vertical="center" wrapText="1"/>
    </x:xf>
    <x:xf numFmtId="0" fontId="11" fillId="18" borderId="8" xfId="0" applyNumberFormat="1" applyFont="1" applyFill="1" applyBorder="1" applyAlignment="1">
      <x:alignment vertical="center" wrapText="1"/>
    </x:xf>
    <x:xf numFmtId="0" fontId="5"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5"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5" fillId="21" borderId="0" xfId="0" applyNumberFormat="1" applyFont="1" applyFill="1" applyBorder="1"/>
    <x:xf numFmtId="0" fontId="4" fillId="21" borderId="0" xfId="0" applyNumberFormat="1" applyFont="1" applyFill="1" applyBorder="1"/>
    <x:xf numFmtId="0" fontId="4" fillId="21" borderId="0" xfId="0" applyNumberFormat="1" applyFont="1" applyFill="1" applyBorder="1" applyAlignment="1">
      <x:alignment vertical="center"/>
    </x:xf>
    <x:xf numFmtId="0" fontId="5" fillId="22" borderId="0" xfId="0" applyNumberFormat="1" applyFont="1" applyFill="1" applyBorder="1"/>
    <x:xf numFmtId="0" fontId="5" fillId="22" borderId="1" xfId="0" applyNumberFormat="1" applyFont="1" applyFill="1" applyBorder="1"/>
    <x:xf numFmtId="0" fontId="5" fillId="22" borderId="2" xfId="0" applyNumberFormat="1" applyFont="1" applyFill="1" applyBorder="1"/>
    <x:xf numFmtId="0" fontId="5" fillId="22" borderId="3" xfId="0" applyNumberFormat="1" applyFont="1" applyFill="1" applyBorder="1"/>
    <x:xf numFmtId="0" fontId="5" fillId="22" borderId="4" xfId="0" applyNumberFormat="1" applyFont="1" applyFill="1" applyBorder="1"/>
    <x:xf numFmtId="0" fontId="5" fillId="22" xfId="0" applyNumberFormat="1" applyFont="1" applyFill="1" applyBorder="0"/>
    <x:xf numFmtId="0" fontId="5" fillId="22" borderId="5" xfId="0" applyNumberFormat="1" applyFont="1" applyFill="1" applyBorder="1"/>
    <x:xf numFmtId="0" fontId="5" fillId="22" borderId="6" xfId="0" applyNumberFormat="1" applyFont="1" applyFill="1" applyBorder="1"/>
    <x:xf numFmtId="0" fontId="5" fillId="22" borderId="7" xfId="0" applyNumberFormat="1" applyFont="1" applyFill="1" applyBorder="1"/>
    <x:xf numFmtId="0" fontId="5" fillId="22" borderId="8" xfId="0" applyNumberFormat="1" applyFont="1" applyFill="1" applyBorder="1"/>
    <x:xf numFmtId="0" fontId="5" fillId="22" borderId="1" xfId="0" applyNumberFormat="1" applyFont="1" applyFill="1" applyBorder="1" applyAlignment="1">
      <x:alignment wrapText="1"/>
    </x:xf>
    <x:xf numFmtId="0" fontId="5" fillId="22" borderId="2" xfId="0" applyNumberFormat="1" applyFont="1" applyFill="1" applyBorder="1" applyAlignment="1">
      <x:alignment wrapText="1"/>
    </x:xf>
    <x:xf numFmtId="0" fontId="5" fillId="22" borderId="3" xfId="0" applyNumberFormat="1" applyFont="1" applyFill="1" applyBorder="1" applyAlignment="1">
      <x:alignment wrapText="1"/>
    </x:xf>
    <x:xf numFmtId="0" fontId="5" fillId="22" borderId="4" xfId="0" applyNumberFormat="1" applyFont="1" applyFill="1" applyBorder="1" applyAlignment="1">
      <x:alignment wrapText="1"/>
    </x:xf>
    <x:xf numFmtId="0" fontId="5" fillId="22" xfId="0" applyNumberFormat="1" applyFont="1" applyFill="1" applyBorder="0" applyAlignment="1">
      <x:alignment wrapText="1"/>
    </x:xf>
    <x:xf numFmtId="0" fontId="5" fillId="22" borderId="5" xfId="0" applyNumberFormat="1" applyFont="1" applyFill="1" applyBorder="1" applyAlignment="1">
      <x:alignment wrapText="1"/>
    </x:xf>
    <x:xf numFmtId="0" fontId="5" fillId="22" borderId="6" xfId="0" applyNumberFormat="1" applyFont="1" applyFill="1" applyBorder="1" applyAlignment="1">
      <x:alignment wrapText="1"/>
    </x:xf>
    <x:xf numFmtId="0" fontId="5" fillId="22" borderId="7" xfId="0" applyNumberFormat="1" applyFont="1" applyFill="1" applyBorder="1" applyAlignment="1">
      <x:alignment wrapText="1"/>
    </x:xf>
    <x:xf numFmtId="0" fontId="5" fillId="22" borderId="8" xfId="0" applyNumberFormat="1" applyFont="1" applyFill="1" applyBorder="1" applyAlignment="1">
      <x:alignment wrapText="1"/>
    </x:xf>
    <x:xf numFmtId="0" fontId="5" fillId="22" borderId="1" xfId="0" applyNumberFormat="1" applyFont="1" applyFill="1" applyBorder="1" applyAlignment="1">
      <x:alignment vertical="top" wrapText="1"/>
    </x:xf>
    <x:xf numFmtId="0" fontId="5" fillId="22" borderId="2" xfId="0" applyNumberFormat="1" applyFont="1" applyFill="1" applyBorder="1" applyAlignment="1">
      <x:alignment vertical="top" wrapText="1"/>
    </x:xf>
    <x:xf numFmtId="0" fontId="5" fillId="22" borderId="3" xfId="0" applyNumberFormat="1" applyFont="1" applyFill="1" applyBorder="1" applyAlignment="1">
      <x:alignment vertical="top" wrapText="1"/>
    </x:xf>
    <x:xf numFmtId="0" fontId="5" fillId="22" borderId="4" xfId="0" applyNumberFormat="1" applyFont="1" applyFill="1" applyBorder="1" applyAlignment="1">
      <x:alignment vertical="top" wrapText="1"/>
    </x:xf>
    <x:xf numFmtId="0" fontId="5" fillId="22" xfId="0" applyNumberFormat="1" applyFont="1" applyFill="1" applyBorder="0" applyAlignment="1">
      <x:alignment vertical="top" wrapText="1"/>
    </x:xf>
    <x:xf numFmtId="0" fontId="5" fillId="22" borderId="5" xfId="0" applyNumberFormat="1" applyFont="1" applyFill="1" applyBorder="1" applyAlignment="1">
      <x:alignment vertical="top" wrapText="1"/>
    </x:xf>
    <x:xf numFmtId="0" fontId="5" fillId="22" borderId="6" xfId="0" applyNumberFormat="1" applyFont="1" applyFill="1" applyBorder="1" applyAlignment="1">
      <x:alignment vertical="top" wrapText="1"/>
    </x:xf>
    <x:xf numFmtId="0" fontId="5" fillId="22" borderId="7" xfId="0" applyNumberFormat="1" applyFont="1" applyFill="1" applyBorder="1" applyAlignment="1">
      <x:alignment vertical="top" wrapText="1"/>
    </x:xf>
    <x:xf numFmtId="0" fontId="5" fillId="22" borderId="8" xfId="0" applyNumberFormat="1" applyFont="1" applyFill="1" applyBorder="1" applyAlignment="1">
      <x:alignment vertical="top" wrapText="1"/>
    </x:xf>
    <x:xf numFmtId="0" fontId="6" fillId="19" borderId="0" xfId="0" applyNumberFormat="1" applyFont="1" applyFill="1" applyBorder="1"/>
    <x:xf numFmtId="0" fontId="6" fillId="19" borderId="9" xfId="0" applyNumberFormat="1" applyFont="1" applyFill="1" applyBorder="1"/>
    <x:xf numFmtId="0" fontId="6" fillId="19" borderId="9" xfId="0" applyNumberFormat="1" applyFont="1" applyFill="1" applyBorder="1" applyAlignment="1">
      <x:alignment wrapText="1"/>
    </x:xf>
    <x:xf numFmtId="0" fontId="6" fillId="19" borderId="9" xfId="0" applyNumberFormat="1" applyFont="1" applyFill="1" applyBorder="1" applyAlignment="1">
      <x:alignment horizontal="center" wrapText="1"/>
    </x:xf>
    <x:xf numFmtId="0" fontId="6" fillId="19" borderId="9" xfId="0" applyNumberFormat="1" applyFont="1" applyFill="1" applyBorder="1" applyAlignment="1">
      <x:alignment horizontal="center" vertical="center" wrapText="1"/>
    </x:xf>
    <x:xf numFmtId="0" fontId="5" fillId="23" borderId="0" xfId="0" applyNumberFormat="1" applyFont="1" applyFill="1" applyBorder="1"/>
    <x:xf numFmtId="0" fontId="1" fillId="23" borderId="0" xfId="0" applyNumberFormat="1" applyFont="1" applyFill="1" applyBorder="1"/>
    <x:xf numFmtId="0" fontId="1" fillId="23" borderId="9" xfId="0" applyNumberFormat="1" applyFont="1" applyFill="1" applyBorder="1"/>
    <x:xf numFmtId="0" fontId="1" fillId="23" borderId="9" xfId="0" applyNumberFormat="1" applyFont="1" applyFill="1" applyBorder="1" applyAlignment="1">
      <x:alignment wrapText="1"/>
    </x:xf>
    <x:xf numFmtId="0" fontId="1" fillId="23" borderId="9" xfId="0" applyNumberFormat="1" applyFont="1" applyFill="1" applyBorder="1" applyAlignment="1">
      <x:alignment vertical="center" wrapText="1"/>
    </x:xf>
    <x:xf numFmtId="200" fontId="1" fillId="23" borderId="9" xfId="0" applyNumberFormat="1" applyFont="1" applyFill="1" applyBorder="1" applyAlignment="1">
      <x:alignment vertical="center" wrapText="1"/>
    </x:xf>
    <x:xf numFmtId="0" fontId="5" fillId="24" borderId="0" xfId="0" applyNumberFormat="1" applyFont="1" applyFill="1" applyBorder="1"/>
    <x:xf numFmtId="0" fontId="8" fillId="24" borderId="0" xfId="0" applyNumberFormat="1" applyFont="1" applyFill="1" applyBorder="1"/>
    <x:xf numFmtId="0" fontId="8" fillId="24" borderId="9" xfId="0" applyNumberFormat="1" applyFont="1" applyFill="1" applyBorder="1"/>
    <x:xf numFmtId="0" fontId="8" fillId="24" borderId="9" xfId="0" applyNumberFormat="1" applyFont="1" applyFill="1" applyBorder="1" applyAlignment="1">
      <x:alignment wrapText="1"/>
    </x:xf>
    <x:xf numFmtId="0" fontId="8" fillId="24" borderId="9" xfId="0" applyNumberFormat="1" applyFont="1" applyFill="1" applyBorder="1" applyAlignment="1">
      <x:alignment vertical="center" wrapText="1"/>
    </x:xf>
    <x:xf numFmtId="0" fontId="5" fillId="25" borderId="0" xfId="0" applyNumberFormat="1" applyFont="1" applyFill="1" applyBorder="1"/>
    <x:xf numFmtId="0" fontId="7" fillId="25" borderId="0" xfId="0" applyNumberFormat="1" applyFont="1" applyFill="1" applyBorder="1"/>
    <x:xf numFmtId="0" fontId="7" fillId="25" borderId="1" xfId="0" applyNumberFormat="1" applyFont="1" applyFill="1" applyBorder="1"/>
    <x:xf numFmtId="0" fontId="7" fillId="25" borderId="2" xfId="0" applyNumberFormat="1" applyFont="1" applyFill="1" applyBorder="1"/>
    <x:xf numFmtId="0" fontId="7" fillId="25" borderId="3" xfId="0" applyNumberFormat="1" applyFont="1" applyFill="1" applyBorder="1"/>
    <x:xf numFmtId="0" fontId="7" fillId="25" borderId="4" xfId="0" applyNumberFormat="1" applyFont="1" applyFill="1" applyBorder="1"/>
    <x:xf numFmtId="0" fontId="7" fillId="25" xfId="0" applyNumberFormat="1" applyFont="1" applyFill="1" applyBorder="0"/>
    <x:xf numFmtId="0" fontId="7" fillId="25" borderId="5" xfId="0" applyNumberFormat="1" applyFont="1" applyFill="1" applyBorder="1"/>
    <x:xf numFmtId="0" fontId="7" fillId="25" borderId="6" xfId="0" applyNumberFormat="1" applyFont="1" applyFill="1" applyBorder="1"/>
    <x:xf numFmtId="0" fontId="7" fillId="25" borderId="7" xfId="0" applyNumberFormat="1" applyFont="1" applyFill="1" applyBorder="1"/>
    <x:xf numFmtId="0" fontId="7" fillId="25" borderId="8" xfId="0" applyNumberFormat="1" applyFont="1" applyFill="1" applyBorder="1"/>
    <x:xf numFmtId="0" fontId="7" fillId="25" borderId="1" xfId="0" applyNumberFormat="1" applyFont="1" applyFill="1" applyBorder="1" applyAlignment="1">
      <x:alignment wrapText="1"/>
    </x:xf>
    <x:xf numFmtId="0" fontId="7" fillId="25" borderId="2" xfId="0" applyNumberFormat="1" applyFont="1" applyFill="1" applyBorder="1" applyAlignment="1">
      <x:alignment wrapText="1"/>
    </x:xf>
    <x:xf numFmtId="0" fontId="7" fillId="25" borderId="3" xfId="0" applyNumberFormat="1" applyFont="1" applyFill="1" applyBorder="1" applyAlignment="1">
      <x:alignment wrapText="1"/>
    </x:xf>
    <x:xf numFmtId="0" fontId="7" fillId="25" borderId="4" xfId="0" applyNumberFormat="1" applyFont="1" applyFill="1" applyBorder="1" applyAlignment="1">
      <x:alignment wrapText="1"/>
    </x:xf>
    <x:xf numFmtId="0" fontId="7" fillId="25" xfId="0" applyNumberFormat="1" applyFont="1" applyFill="1" applyBorder="0" applyAlignment="1">
      <x:alignment wrapText="1"/>
    </x:xf>
    <x:xf numFmtId="0" fontId="7" fillId="25" borderId="5" xfId="0" applyNumberFormat="1" applyFont="1" applyFill="1" applyBorder="1" applyAlignment="1">
      <x:alignment wrapText="1"/>
    </x:xf>
    <x:xf numFmtId="0" fontId="7" fillId="25" borderId="6" xfId="0" applyNumberFormat="1" applyFont="1" applyFill="1" applyBorder="1" applyAlignment="1">
      <x:alignment wrapText="1"/>
    </x:xf>
    <x:xf numFmtId="0" fontId="7" fillId="25" borderId="7" xfId="0" applyNumberFormat="1" applyFont="1" applyFill="1" applyBorder="1" applyAlignment="1">
      <x:alignment wrapText="1"/>
    </x:xf>
    <x:xf numFmtId="0" fontId="7" fillId="25" borderId="8" xfId="0" applyNumberFormat="1" applyFont="1" applyFill="1" applyBorder="1" applyAlignment="1">
      <x:alignment wrapText="1"/>
    </x:xf>
    <x:xf numFmtId="0" fontId="7" fillId="25" borderId="1" xfId="0" applyNumberFormat="1" applyFont="1" applyFill="1" applyBorder="1" applyAlignment="1">
      <x:alignment vertical="top" wrapText="1"/>
    </x:xf>
    <x:xf numFmtId="0" fontId="7" fillId="25" borderId="2" xfId="0" applyNumberFormat="1" applyFont="1" applyFill="1" applyBorder="1" applyAlignment="1">
      <x:alignment vertical="top" wrapText="1"/>
    </x:xf>
    <x:xf numFmtId="0" fontId="7" fillId="25" borderId="3" xfId="0" applyNumberFormat="1" applyFont="1" applyFill="1" applyBorder="1" applyAlignment="1">
      <x:alignment vertical="top" wrapText="1"/>
    </x:xf>
    <x:xf numFmtId="0" fontId="7" fillId="25" borderId="4" xfId="0" applyNumberFormat="1" applyFont="1" applyFill="1" applyBorder="1" applyAlignment="1">
      <x:alignment vertical="top" wrapText="1"/>
    </x:xf>
    <x:xf numFmtId="0" fontId="7" fillId="25" xfId="0" applyNumberFormat="1" applyFont="1" applyFill="1" applyBorder="0" applyAlignment="1">
      <x:alignment vertical="top" wrapText="1"/>
    </x:xf>
    <x:xf numFmtId="0" fontId="7" fillId="25" borderId="5" xfId="0" applyNumberFormat="1" applyFont="1" applyFill="1" applyBorder="1" applyAlignment="1">
      <x:alignment vertical="top" wrapText="1"/>
    </x:xf>
    <x:xf numFmtId="0" fontId="7" fillId="25" borderId="6" xfId="0" applyNumberFormat="1" applyFont="1" applyFill="1" applyBorder="1" applyAlignment="1">
      <x:alignment vertical="top" wrapText="1"/>
    </x:xf>
    <x:xf numFmtId="0" fontId="7" fillId="25" borderId="7" xfId="0" applyNumberFormat="1" applyFont="1" applyFill="1" applyBorder="1" applyAlignment="1">
      <x:alignment vertical="top" wrapText="1"/>
    </x:xf>
    <x:xf numFmtId="0" fontId="7" fillId="25" borderId="8" xfId="0" applyNumberFormat="1" applyFont="1" applyFill="1" applyBorder="1" applyAlignment="1">
      <x:alignment vertical="top" wrapText="1"/>
    </x:xf>
    <x:xf numFmtId="0" fontId="10" fillId="24" borderId="0" xfId="0" applyNumberFormat="1" applyFont="1" applyFill="1" applyBorder="1"/>
    <x:xf numFmtId="0" fontId="10" fillId="24" borderId="9" xfId="0" applyNumberFormat="1" applyFont="1" applyFill="1" applyBorder="1"/>
    <x:xf numFmtId="0" fontId="10" fillId="24" borderId="9" xfId="0" applyNumberFormat="1" applyFont="1" applyFill="1" applyBorder="1" applyAlignment="1">
      <x:alignment horizontal="center"/>
    </x:xf>
    <x:xf numFmtId="0" fontId="10" fillId="24" borderId="9" xfId="0" applyNumberFormat="1" applyFont="1" applyFill="1" applyBorder="1" applyAlignment="1">
      <x:alignment horizontal="center" vertical="center"/>
    </x:xf>
    <x:xf numFmtId="0" fontId="5" fillId="23" borderId="9" xfId="0" applyNumberFormat="1" applyFont="1" applyFill="1" applyBorder="1"/>
    <x:xf numFmtId="0" fontId="5" fillId="23" borderId="9" xfId="0" applyNumberFormat="1" applyFont="1" applyFill="1" applyBorder="1" applyAlignment="1">
      <x:alignment wrapText="1"/>
    </x:xf>
    <x:xf numFmtId="0" fontId="5" fillId="23" borderId="9" xfId="0" applyNumberFormat="1" applyFont="1" applyFill="1" applyBorder="1" applyAlignment="1">
      <x:alignment vertical="center" wrapText="1"/>
    </x:xf>
    <x:xf numFmtId="0" fontId="5" fillId="26" borderId="0" xfId="0" applyNumberFormat="1" applyFont="1" applyFill="1" applyBorder="1"/>
    <x:xf numFmtId="0" fontId="11" fillId="26" borderId="0" xfId="0" applyNumberFormat="1" applyFont="1" applyFill="1" applyBorder="1"/>
    <x:xf numFmtId="0" fontId="11" fillId="26" borderId="1" xfId="0" applyNumberFormat="1" applyFont="1" applyFill="1" applyBorder="1"/>
    <x:xf numFmtId="0" fontId="11" fillId="26" borderId="2" xfId="0" applyNumberFormat="1" applyFont="1" applyFill="1" applyBorder="1"/>
    <x:xf numFmtId="0" fontId="11" fillId="26" borderId="3" xfId="0" applyNumberFormat="1" applyFont="1" applyFill="1" applyBorder="1"/>
    <x:xf numFmtId="0" fontId="11" fillId="26" borderId="6" xfId="0" applyNumberFormat="1" applyFont="1" applyFill="1" applyBorder="1"/>
    <x:xf numFmtId="0" fontId="11" fillId="26" borderId="7" xfId="0" applyNumberFormat="1" applyFont="1" applyFill="1" applyBorder="1"/>
    <x:xf numFmtId="0" fontId="11" fillId="26" borderId="8" xfId="0" applyNumberFormat="1" applyFont="1" applyFill="1" applyBorder="1"/>
    <x:xf numFmtId="0" fontId="11" fillId="26" borderId="1" xfId="0" applyNumberFormat="1" applyFont="1" applyFill="1" applyBorder="1" applyAlignment="1">
      <x:alignment wrapText="1"/>
    </x:xf>
    <x:xf numFmtId="0" fontId="11" fillId="26" borderId="2" xfId="0" applyNumberFormat="1" applyFont="1" applyFill="1" applyBorder="1" applyAlignment="1">
      <x:alignment wrapText="1"/>
    </x:xf>
    <x:xf numFmtId="0" fontId="11" fillId="26" borderId="3" xfId="0" applyNumberFormat="1" applyFont="1" applyFill="1" applyBorder="1" applyAlignment="1">
      <x:alignment wrapText="1"/>
    </x:xf>
    <x:xf numFmtId="0" fontId="11" fillId="26" borderId="6" xfId="0" applyNumberFormat="1" applyFont="1" applyFill="1" applyBorder="1" applyAlignment="1">
      <x:alignment wrapText="1"/>
    </x:xf>
    <x:xf numFmtId="0" fontId="11" fillId="26" borderId="7" xfId="0" applyNumberFormat="1" applyFont="1" applyFill="1" applyBorder="1" applyAlignment="1">
      <x:alignment wrapText="1"/>
    </x:xf>
    <x:xf numFmtId="0" fontId="11" fillId="26" borderId="8" xfId="0" applyNumberFormat="1" applyFont="1" applyFill="1" applyBorder="1" applyAlignment="1">
      <x:alignment wrapText="1"/>
    </x:xf>
    <x:xf numFmtId="0" fontId="11" fillId="26" borderId="1" xfId="0" applyNumberFormat="1" applyFont="1" applyFill="1" applyBorder="1" applyAlignment="1">
      <x:alignment vertical="center" wrapText="1"/>
    </x:xf>
    <x:xf numFmtId="0" fontId="11" fillId="26" borderId="2" xfId="0" applyNumberFormat="1" applyFont="1" applyFill="1" applyBorder="1" applyAlignment="1">
      <x:alignment vertical="center" wrapText="1"/>
    </x:xf>
    <x:xf numFmtId="0" fontId="11" fillId="26" borderId="3" xfId="0" applyNumberFormat="1" applyFont="1" applyFill="1" applyBorder="1" applyAlignment="1">
      <x:alignment vertical="center" wrapText="1"/>
    </x:xf>
    <x:xf numFmtId="0" fontId="11" fillId="26" borderId="6" xfId="0" applyNumberFormat="1" applyFont="1" applyFill="1" applyBorder="1" applyAlignment="1">
      <x:alignment vertical="center" wrapText="1"/>
    </x:xf>
    <x:xf numFmtId="0" fontId="11" fillId="26" borderId="7" xfId="0" applyNumberFormat="1" applyFont="1" applyFill="1" applyBorder="1" applyAlignment="1">
      <x:alignment vertical="center" wrapText="1"/>
    </x:xf>
    <x:xf numFmtId="0" fontId="11" fillId="26" borderId="8"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cc11a8a75147aa" /><Relationship Type="http://schemas.openxmlformats.org/officeDocument/2006/relationships/theme" Target="/xl/theme/theme1.xml" Id="R63d09a07e7dd49a6" /><Relationship Type="http://schemas.openxmlformats.org/officeDocument/2006/relationships/sharedStrings" Target="/xl/sharedStrings.xml" Id="R59aaa08f66c5486c" /><Relationship Type="http://schemas.openxmlformats.org/officeDocument/2006/relationships/worksheet" Target="/xl/worksheets/sheet1.xml" Id="R52cdc45981d34524" /><Relationship Type="http://schemas.openxmlformats.org/officeDocument/2006/relationships/worksheet" Target="/xl/worksheets/sheet2.xml" Id="R22d57de7ff1449b4" /><Relationship Type="http://schemas.openxmlformats.org/officeDocument/2006/relationships/worksheet" Target="/xl/worksheets/sheet3.xml" Id="R10fd8152f1cf4806" /><Relationship Type="http://schemas.openxmlformats.org/officeDocument/2006/relationships/worksheet" Target="/xl/worksheets/sheet4.xml" Id="R432949175ac041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15" hidden="0" customWidth="1"/>
    <x:col min="4" max="4" width="14" hidden="0" customWidth="1"/>
    <x:col min="5" max="5" width="14" hidden="0" customWidth="1"/>
    <x:col min="6" max="6" width="24" hidden="0" customWidth="1"/>
    <x:col min="7" max="7" width="24"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26" customHeight="1">
      <x:c r="A1" s="274" t="str">
        <x:v>D6_6c | Multi-season maintenance and renewal of an aged membrane train</x:v>
      </x:c>
      <x:c r="B1" s="274" t="str">
        <x:v>D6_6c | Multi-season maintenance and renewal of an aged membrane train</x:v>
      </x:c>
      <x:c r="C1" s="274" t="str">
        <x:v>D6_6c | Multi-season maintenance and renewal of an aged membrane train</x:v>
      </x:c>
      <x:c r="D1" s="274" t="str">
        <x:v>D6_6c | Multi-season maintenance and renewal of an aged membrane train</x:v>
      </x:c>
      <x:c r="E1" s="274" t="str">
        <x:v>D6_6c | Multi-season maintenance and renewal of an aged membrane train</x:v>
      </x:c>
      <x:c r="F1" s="274" t="str">
        <x:v>D6_6c | Multi-season maintenance and renewal of an aged membrane train</x:v>
      </x:c>
      <x:c r="G1" s="274" t="str">
        <x:v>D6_6c | Multi-season maintenance and renewal of an aged membrane train</x:v>
      </x:c>
      <x:c r="H1" s="274" t="str">
        <x:v>D6_6c | Multi-season maintenance and renewal of an aged membrane train</x:v>
      </x:c>
      <x:c r="I1" s="274" t="str">
        <x:v>D6_6c | Multi-season maintenance and renewal of an aged membrane train</x:v>
      </x:c>
      <x:c r="J1" s="274" t="str">
        <x:v>D6_6c | Multi-season maintenance and renewal of an aged membrane train</x:v>
      </x:c>
      <x:c r="K1" s="274" t="str">
        <x:v>D6_6c | Multi-season maintenance and renewal of an aged membrane train</x:v>
      </x:c>
      <x:c r="L1" s="274" t="str">
        <x:v>D6_6c | Multi-season maintenance and renewal of an aged membrane train</x:v>
      </x:c>
      <x:c r="M1" s="274" t="str">
        <x:v>D6_6c | Multi-season maintenance and renewal of an aged membrane train</x:v>
      </x:c>
      <x:c r="N1" s="274" t="str">
        <x:v>D6_6c | Multi-season maintenance and renewal of an aged membrane train</x:v>
      </x:c>
      <x:c r="O1" s="274" t="str">
        <x:v>D6_6c | Multi-season maintenance and renewal of an aged membrane train</x:v>
      </x:c>
    </x:row>
    <x:row r="2" ht="26" customHeight="1">
      <x:c r="A2" s="274" t="str">
        <x:v>D6_6c | Multi-season maintenance and renewal of an aged membrane train</x:v>
      </x:c>
      <x:c r="B2" s="274" t="str">
        <x:v>D6_6c | Multi-season maintenance and renewal of an aged membrane train</x:v>
      </x:c>
      <x:c r="C2" s="274" t="str">
        <x:v>D6_6c | Multi-season maintenance and renewal of an aged membrane train</x:v>
      </x:c>
      <x:c r="D2" s="274" t="str">
        <x:v>D6_6c | Multi-season maintenance and renewal of an aged membrane train</x:v>
      </x:c>
      <x:c r="E2" s="274" t="str">
        <x:v>D6_6c | Multi-season maintenance and renewal of an aged membrane train</x:v>
      </x:c>
      <x:c r="F2" s="274" t="str">
        <x:v>D6_6c | Multi-season maintenance and renewal of an aged membrane train</x:v>
      </x:c>
      <x:c r="G2" s="274" t="str">
        <x:v>D6_6c | Multi-season maintenance and renewal of an aged membrane train</x:v>
      </x:c>
      <x:c r="H2" s="274" t="str">
        <x:v>D6_6c | Multi-season maintenance and renewal of an aged membrane train</x:v>
      </x:c>
      <x:c r="I2" s="274" t="str">
        <x:v>D6_6c | Multi-season maintenance and renewal of an aged membrane train</x:v>
      </x:c>
      <x:c r="J2" s="274" t="str">
        <x:v>D6_6c | Multi-season maintenance and renewal of an aged membrane train</x:v>
      </x:c>
      <x:c r="K2" s="274" t="str">
        <x:v>D6_6c | Multi-season maintenance and renewal of an aged membrane train</x:v>
      </x:c>
      <x:c r="L2" s="274" t="str">
        <x:v>D6_6c | Multi-season maintenance and renewal of an aged membrane train</x:v>
      </x:c>
      <x:c r="M2" s="274" t="str">
        <x:v>D6_6c | Multi-season maintenance and renewal of an aged membrane train</x:v>
      </x:c>
      <x:c r="N2" s="274" t="str">
        <x:v>D6_6c | Multi-season maintenance and renewal of an aged membrane train</x:v>
      </x:c>
      <x:c r="O2" s="274" t="str">
        <x:v>D6_6c | Multi-season maintenance and renewal of an aged membrane train</x:v>
      </x:c>
    </x:row>
    <x:row r="3" ht="20" customHeight="1">
      <x:c r="A3" s="277" t="str">
        <x:v>Asset-management task | Balance restored performance, seasonal robustness and annualized intervention cost</x:v>
      </x:c>
      <x:c r="B3" s="277" t="str">
        <x:v>Asset-management task | Balance restored performance, seasonal robustness and annualized intervention cost</x:v>
      </x:c>
      <x:c r="C3" s="277" t="str">
        <x:v>Asset-management task | Balance restored performance, seasonal robustness and annualized intervention cost</x:v>
      </x:c>
      <x:c r="D3" s="277" t="str">
        <x:v>Asset-management task | Balance restored performance, seasonal robustness and annualized intervention cost</x:v>
      </x:c>
      <x:c r="E3" s="277" t="str">
        <x:v>Asset-management task | Balance restored performance, seasonal robustness and annualized intervention cost</x:v>
      </x:c>
      <x:c r="F3" s="277" t="str">
        <x:v>Asset-management task | Balance restored performance, seasonal robustness and annualized intervention cost</x:v>
      </x:c>
      <x:c r="G3" s="277" t="str">
        <x:v>Asset-management task | Balance restored performance, seasonal robustness and annualized intervention cost</x:v>
      </x:c>
      <x:c r="H3" s="277" t="str">
        <x:v>Asset-management task | Balance restored performance, seasonal robustness and annualized intervention cost</x:v>
      </x:c>
      <x:c r="I3" s="277" t="str">
        <x:v>Asset-management task | Balance restored performance, seasonal robustness and annualized intervention cost</x:v>
      </x:c>
      <x:c r="J3" s="277" t="str">
        <x:v>Asset-management task | Balance restored performance, seasonal robustness and annualized intervention cost</x:v>
      </x:c>
      <x:c r="K3" s="277" t="str">
        <x:v>Asset-management task | Balance restored performance, seasonal robustness and annualized intervention cost</x:v>
      </x:c>
      <x:c r="L3" s="277" t="str">
        <x:v>Asset-management task | Balance restored performance, seasonal robustness and annualized intervention cost</x:v>
      </x:c>
      <x:c r="M3" s="277" t="str">
        <x:v>Asset-management task | Balance restored performance, seasonal robustness and annualized intervention cost</x:v>
      </x:c>
      <x:c r="N3" s="277" t="str">
        <x:v>Asset-management task | Balance restored performance, seasonal robustness and annualized intervention cost</x:v>
      </x:c>
      <x:c r="O3" s="277" t="str">
        <x:v>Asset-management task | Balance restored performance, seasonal robustness and annualized intervention cost</x:v>
      </x:c>
    </x:row>
    <x:row r="4">
      <x:c r="A4" s="160"/>
      <x:c r="B4" s="160"/>
      <x:c r="C4" s="160"/>
      <x:c r="D4" s="160"/>
      <x:c r="E4" s="160"/>
      <x:c r="F4" s="160"/>
      <x:c r="G4" s="160"/>
      <x:c r="H4" s="160"/>
      <x:c r="I4" s="160"/>
      <x:c r="J4" s="160"/>
      <x:c r="K4" s="160"/>
      <x:c r="L4" s="160"/>
      <x:c r="M4" s="160"/>
      <x:c r="N4" s="160"/>
      <x:c r="O4" s="160"/>
    </x:row>
    <x:row r="5" ht="22" customHeight="1">
      <x:c r="A5" s="280" t="str">
        <x:v>Project brief</x:v>
      </x:c>
      <x:c r="B5" s="280" t="str">
        <x:v>Project brief</x:v>
      </x:c>
      <x:c r="C5" s="280" t="str">
        <x:v>Project brief</x:v>
      </x:c>
      <x:c r="D5" s="280" t="str">
        <x:v>Project brief</x:v>
      </x:c>
      <x:c r="E5" s="280" t="str">
        <x:v>Project brief</x:v>
      </x:c>
      <x:c r="F5" s="280" t="str">
        <x:v>Project brief</x:v>
      </x:c>
      <x:c r="G5" s="280" t="str">
        <x:v>Project brief</x:v>
      </x:c>
      <x:c r="H5" s="280" t="str">
        <x:v>Project brief</x:v>
      </x:c>
      <x:c r="I5" s="280" t="str">
        <x:v>Project brief</x:v>
      </x:c>
      <x:c r="J5" s="280" t="str">
        <x:v>Project brief</x:v>
      </x:c>
      <x:c r="K5" s="280" t="str">
        <x:v>Project brief</x:v>
      </x:c>
      <x:c r="L5" s="280" t="str">
        <x:v>Project brief</x:v>
      </x:c>
      <x:c r="M5" s="280" t="str">
        <x:v>Project brief</x:v>
      </x:c>
      <x:c r="N5" s="280" t="str">
        <x:v>Project brief</x:v>
      </x:c>
      <x:c r="O5" s="280" t="str">
        <x:v>Project brief</x:v>
      </x:c>
    </x:row>
    <x:row r="6" ht="24" customHeight="1">
      <x:c r="A6" s="300"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B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C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D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E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F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G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H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I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J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K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L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M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N6" s="301"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O6" s="302"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row>
    <x:row r="7" ht="24" customHeight="1">
      <x:c r="A7" s="303"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B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C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D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E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F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G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H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I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J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K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L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M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N7"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O7" s="305"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row>
    <x:row r="8" ht="24" customHeight="1">
      <x:c r="A8" s="303"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B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C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D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E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F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G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H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I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J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K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L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M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N8" s="304"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O8" s="305"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row>
    <x:row r="9" ht="24" customHeight="1">
      <x:c r="A9" s="306"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B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C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D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E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F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G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H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I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J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K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L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M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N9" s="307"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c r="O9" s="308" t="str">
        <x:v>A long-serving SWRO train shows lower water permeability and increased salt passage. The operations team must choose the intensity of next year's maintenance and renewal, potentially combining cleaning, partial replacement, expansion or deferred action. The decision must cover low-, normal- and high-salinity seasons rather than a single restored membrane point.</x:v>
      </x:c>
    </x:row>
    <x:row r="10">
      <x:c r="A10" s="160"/>
      <x:c r="B10" s="160"/>
      <x:c r="C10" s="160"/>
      <x:c r="D10" s="160"/>
      <x:c r="E10" s="160"/>
      <x:c r="F10" s="160"/>
      <x:c r="G10" s="160"/>
      <x:c r="H10" s="160"/>
      <x:c r="I10" s="160"/>
      <x:c r="J10" s="160"/>
      <x:c r="K10" s="160"/>
      <x:c r="L10" s="160"/>
      <x:c r="M10" s="160"/>
      <x:c r="N10" s="160"/>
      <x:c r="O10" s="160"/>
    </x:row>
    <x:row r="11" ht="22" customHeight="1">
      <x:c r="A11" s="280" t="str">
        <x:v>Operating states and planning weights</x:v>
      </x:c>
      <x:c r="B11" s="280" t="str">
        <x:v>Operating states and planning weights</x:v>
      </x:c>
      <x:c r="C11" s="280" t="str">
        <x:v>Operating states and planning weights</x:v>
      </x:c>
      <x:c r="D11" s="280" t="str">
        <x:v>Operating states and planning weights</x:v>
      </x:c>
      <x:c r="E11" s="280" t="str">
        <x:v>Operating states and planning weights</x:v>
      </x:c>
      <x:c r="F11" s="280" t="str">
        <x:v>Operating states and planning weights</x:v>
      </x:c>
      <x:c r="G11" s="280" t="str">
        <x:v>Operating states and planning weights</x:v>
      </x:c>
      <x:c r="H11" s="280" t="str">
        <x:v>Operating states and planning weights</x:v>
      </x:c>
      <x:c r="I11" s="280" t="str">
        <x:v>Operating states and planning weights</x:v>
      </x:c>
      <x:c r="J11" s="280" t="str">
        <x:v>Operating states and planning weights</x:v>
      </x:c>
      <x:c r="K11" s="280" t="str">
        <x:v>Operating states and planning weights</x:v>
      </x:c>
      <x:c r="L11" s="280" t="str">
        <x:v>Operating states and planning weights</x:v>
      </x:c>
      <x:c r="M11" s="280" t="str">
        <x:v>Operating states and planning weights</x:v>
      </x:c>
      <x:c r="N11" s="280" t="str">
        <x:v>Operating states and planning weights</x:v>
      </x:c>
      <x:c r="O11" s="280" t="str">
        <x:v>Operating states and planning weights</x:v>
      </x:c>
    </x:row>
    <x:row r="12" ht="26" customHeight="1">
      <x:c r="A12" s="313" t="str">
        <x:v>State</x:v>
      </x:c>
      <x:c r="B12" s="313" t="str">
        <x:v>Description</x:v>
      </x:c>
      <x:c r="C12" s="313" t="str">
        <x:v>TDS (g/L)</x:v>
      </x:c>
      <x:c r="D12" s="313" t="str">
        <x:v>Temp. (°C)</x:v>
      </x:c>
      <x:c r="E12" s="313" t="str">
        <x:v>Weight</x:v>
      </x:c>
      <x:c r="F12" s="313" t="str">
        <x:v>Key condition</x:v>
      </x:c>
      <x:c r="G12" s="160"/>
      <x:c r="H12" s="160"/>
      <x:c r="I12" s="160"/>
      <x:c r="J12" s="160"/>
      <x:c r="K12" s="160"/>
      <x:c r="L12" s="160"/>
      <x:c r="M12" s="160"/>
      <x:c r="N12" s="160"/>
      <x:c r="O12" s="160"/>
    </x:row>
    <x:row r="13" ht="26" customHeight="1">
      <x:c r="A13" s="318" t="str">
        <x:v>S1</x:v>
      </x:c>
      <x:c r="B13" s="318" t="str">
        <x:v>Low-salinity season</x:v>
      </x:c>
      <x:c r="C13" s="318" t="n">
        <x:v>32</x:v>
      </x:c>
      <x:c r="D13" s="318" t="n">
        <x:v>25</x:v>
      </x:c>
      <x:c r="E13" s="319" t="n">
        <x:v>0.4</x:v>
      </x:c>
      <x:c r="F13" s="318" t="str">
        <x:v>Normal TSS</x:v>
      </x:c>
      <x:c r="G13" s="160"/>
      <x:c r="H13" s="160"/>
      <x:c r="I13" s="160"/>
      <x:c r="J13" s="160"/>
      <x:c r="K13" s="160"/>
      <x:c r="L13" s="160"/>
      <x:c r="M13" s="160"/>
      <x:c r="N13" s="160"/>
      <x:c r="O13" s="160"/>
    </x:row>
    <x:row r="14" ht="26" customHeight="1">
      <x:c r="A14" s="318" t="str">
        <x:v>S2</x:v>
      </x:c>
      <x:c r="B14" s="318" t="str">
        <x:v>Normal season</x:v>
      </x:c>
      <x:c r="C14" s="318" t="n">
        <x:v>35</x:v>
      </x:c>
      <x:c r="D14" s="318" t="n">
        <x:v>20</x:v>
      </x:c>
      <x:c r="E14" s="319" t="n">
        <x:v>0.4</x:v>
      </x:c>
      <x:c r="F14" s="318" t="str">
        <x:v>Cold operation</x:v>
      </x:c>
      <x:c r="G14" s="160"/>
      <x:c r="H14" s="160"/>
      <x:c r="I14" s="160"/>
      <x:c r="J14" s="160"/>
      <x:c r="K14" s="160"/>
      <x:c r="L14" s="160"/>
      <x:c r="M14" s="160"/>
      <x:c r="N14" s="160"/>
      <x:c r="O14" s="160"/>
    </x:row>
    <x:row r="15" ht="26" customHeight="1">
      <x:c r="A15" s="318" t="str">
        <x:v>S3</x:v>
      </x:c>
      <x:c r="B15" s="318" t="str">
        <x:v>High-salinity season</x:v>
      </x:c>
      <x:c r="C15" s="318" t="n">
        <x:v>38</x:v>
      </x:c>
      <x:c r="D15" s="318" t="n">
        <x:v>28</x:v>
      </x:c>
      <x:c r="E15" s="319" t="n">
        <x:v>0.2</x:v>
      </x:c>
      <x:c r="F15" s="318" t="str">
        <x:v>Worst salinity</x:v>
      </x:c>
      <x:c r="G15" s="160"/>
      <x:c r="H15" s="160"/>
      <x:c r="I15" s="160"/>
      <x:c r="J15" s="160"/>
      <x:c r="K15" s="160"/>
      <x:c r="L15" s="160"/>
      <x:c r="M15" s="160"/>
      <x:c r="N15" s="160"/>
      <x:c r="O15" s="160"/>
    </x:row>
    <x:row r="16">
      <x:c r="A16" s="160"/>
      <x:c r="B16" s="160"/>
      <x:c r="C16" s="160"/>
      <x:c r="D16" s="160"/>
      <x:c r="E16" s="160"/>
      <x:c r="F16" s="160"/>
      <x:c r="G16" s="160"/>
      <x:c r="H16" s="160"/>
      <x:c r="I16" s="160"/>
      <x:c r="J16" s="160"/>
      <x:c r="K16" s="160"/>
      <x:c r="L16" s="160"/>
      <x:c r="M16" s="160"/>
      <x:c r="N16" s="160"/>
      <x:c r="O16" s="160"/>
    </x:row>
    <x:row r="17" ht="22" customHeight="1">
      <x:c r="A17" s="280" t="str">
        <x:v>Known data and design boundary</x:v>
      </x:c>
      <x:c r="B17" s="280" t="str">
        <x:v>Known data and design boundary</x:v>
      </x:c>
      <x:c r="C17" s="280" t="str">
        <x:v>Known data and design boundary</x:v>
      </x:c>
      <x:c r="D17" s="280" t="str">
        <x:v>Known data and design boundary</x:v>
      </x:c>
      <x:c r="E17" s="280" t="str">
        <x:v>Known data and design boundary</x:v>
      </x:c>
      <x:c r="F17" s="280" t="str">
        <x:v>Known data and design boundary</x:v>
      </x:c>
      <x:c r="G17" s="280" t="str">
        <x:v>Known data and design boundary</x:v>
      </x:c>
      <x:c r="H17" s="280" t="str">
        <x:v>Known data and design boundary</x:v>
      </x:c>
      <x:c r="I17" s="280" t="str">
        <x:v>Known data and design boundary</x:v>
      </x:c>
      <x:c r="J17" s="280" t="str">
        <x:v>Known data and design boundary</x:v>
      </x:c>
      <x:c r="K17" s="280" t="str">
        <x:v>Known data and design boundary</x:v>
      </x:c>
      <x:c r="L17" s="280" t="str">
        <x:v>Known data and design boundary</x:v>
      </x:c>
      <x:c r="M17" s="280" t="str">
        <x:v>Known data and design boundary</x:v>
      </x:c>
      <x:c r="N17" s="280" t="str">
        <x:v>Known data and design boundary</x:v>
      </x:c>
      <x:c r="O17" s="280" t="str">
        <x:v>Known data and design boundary</x:v>
      </x:c>
    </x:row>
    <x:row r="18" ht="28" customHeight="1">
      <x:c r="A18" s="324" t="str">
        <x:v>Design scale</x:v>
      </x:c>
      <x:c r="B18" s="318" t="str">
        <x:v>Module feed 1.00 kg/s; plant feed 0.100 m³/s; PX efficiency 95%.</x:v>
      </x:c>
      <x:c r="C18" s="318" t="str">
        <x:v>Module feed 1.00 kg/s; plant feed 0.100 m³/s; PX efficiency 95%.</x:v>
      </x:c>
      <x:c r="D18" s="318" t="str">
        <x:v>Module feed 1.00 kg/s; plant feed 0.100 m³/s; PX efficiency 95%.</x:v>
      </x:c>
      <x:c r="E18" s="318" t="str">
        <x:v>Module feed 1.00 kg/s; plant feed 0.100 m³/s; PX efficiency 95%.</x:v>
      </x:c>
      <x:c r="F18" s="318" t="str">
        <x:v>Module feed 1.00 kg/s; plant feed 0.100 m³/s; PX efficiency 95%.</x:v>
      </x:c>
      <x:c r="G18" s="318" t="str">
        <x:v>Module feed 1.00 kg/s; plant feed 0.100 m³/s; PX efficiency 95%.</x:v>
      </x:c>
      <x:c r="H18" s="318" t="str">
        <x:v>Module feed 1.00 kg/s; plant feed 0.100 m³/s; PX efficiency 95%.</x:v>
      </x:c>
      <x:c r="I18" s="318" t="str">
        <x:v>Module feed 1.00 kg/s; plant feed 0.100 m³/s; PX efficiency 95%.</x:v>
      </x:c>
      <x:c r="J18" s="318" t="str">
        <x:v>Module feed 1.00 kg/s; plant feed 0.100 m³/s; PX efficiency 95%.</x:v>
      </x:c>
      <x:c r="K18" s="318" t="str">
        <x:v>Module feed 1.00 kg/s; plant feed 0.100 m³/s; PX efficiency 95%.</x:v>
      </x:c>
      <x:c r="L18" s="318" t="str">
        <x:v>Module feed 1.00 kg/s; plant feed 0.100 m³/s; PX efficiency 95%.</x:v>
      </x:c>
      <x:c r="M18" s="318" t="str">
        <x:v>Module feed 1.00 kg/s; plant feed 0.100 m³/s; PX efficiency 95%.</x:v>
      </x:c>
      <x:c r="N18" s="318" t="str">
        <x:v>Module feed 1.00 kg/s; plant feed 0.100 m³/s; PX efficiency 95%.</x:v>
      </x:c>
      <x:c r="O18" s="318" t="str">
        <x:v>Module feed 1.00 kg/s; plant feed 0.100 m³/s; PX efficiency 95%.</x:v>
      </x:c>
    </x:row>
    <x:row r="19" ht="28" customHeight="1">
      <x:c r="A19" s="324" t="str">
        <x:v>Operating range</x:v>
      </x:c>
      <x:c r="B19" s="318" t="str">
        <x:v>Pressure 60–64 bar; module area 65–80 m²; plant area 6,500–8,000 m².</x:v>
      </x:c>
      <x:c r="C19" s="318" t="str">
        <x:v>Pressure 60–64 bar; module area 65–80 m²; plant area 6,500–8,000 m².</x:v>
      </x:c>
      <x:c r="D19" s="318" t="str">
        <x:v>Pressure 60–64 bar; module area 65–80 m²; plant area 6,500–8,000 m².</x:v>
      </x:c>
      <x:c r="E19" s="318" t="str">
        <x:v>Pressure 60–64 bar; module area 65–80 m²; plant area 6,500–8,000 m².</x:v>
      </x:c>
      <x:c r="F19" s="318" t="str">
        <x:v>Pressure 60–64 bar; module area 65–80 m²; plant area 6,500–8,000 m².</x:v>
      </x:c>
      <x:c r="G19" s="318" t="str">
        <x:v>Pressure 60–64 bar; module area 65–80 m²; plant area 6,500–8,000 m².</x:v>
      </x:c>
      <x:c r="H19" s="318" t="str">
        <x:v>Pressure 60–64 bar; module area 65–80 m²; plant area 6,500–8,000 m².</x:v>
      </x:c>
      <x:c r="I19" s="318" t="str">
        <x:v>Pressure 60–64 bar; module area 65–80 m²; plant area 6,500–8,000 m².</x:v>
      </x:c>
      <x:c r="J19" s="318" t="str">
        <x:v>Pressure 60–64 bar; module area 65–80 m²; plant area 6,500–8,000 m².</x:v>
      </x:c>
      <x:c r="K19" s="318" t="str">
        <x:v>Pressure 60–64 bar; module area 65–80 m²; plant area 6,500–8,000 m².</x:v>
      </x:c>
      <x:c r="L19" s="318" t="str">
        <x:v>Pressure 60–64 bar; module area 65–80 m²; plant area 6,500–8,000 m².</x:v>
      </x:c>
      <x:c r="M19" s="318" t="str">
        <x:v>Pressure 60–64 bar; module area 65–80 m²; plant area 6,500–8,000 m².</x:v>
      </x:c>
      <x:c r="N19" s="318" t="str">
        <x:v>Pressure 60–64 bar; module area 65–80 m²; plant area 6,500–8,000 m².</x:v>
      </x:c>
      <x:c r="O19" s="318" t="str">
        <x:v>Pressure 60–64 bar; module area 65–80 m²; plant area 6,500–8,000 m².</x:v>
      </x:c>
    </x:row>
    <x:row r="20" ht="28" customHeight="1">
      <x:c r="A20" s="324" t="str">
        <x:v>Membrane-state range</x:v>
      </x:c>
      <x:c r="B20" s="318" t="str">
        <x:v>A = 3.0×10⁻¹²–4.2×10⁻¹² m/s/Pa; B = 3.5×10⁻⁸–5.0×10⁻⁸ m/s.</x:v>
      </x:c>
      <x:c r="C20" s="318" t="str">
        <x:v>A = 3.0×10⁻¹²–4.2×10⁻¹² m/s/Pa; B = 3.5×10⁻⁸–5.0×10⁻⁸ m/s.</x:v>
      </x:c>
      <x:c r="D20" s="318" t="str">
        <x:v>A = 3.0×10⁻¹²–4.2×10⁻¹² m/s/Pa; B = 3.5×10⁻⁸–5.0×10⁻⁸ m/s.</x:v>
      </x:c>
      <x:c r="E20" s="318" t="str">
        <x:v>A = 3.0×10⁻¹²–4.2×10⁻¹² m/s/Pa; B = 3.5×10⁻⁸–5.0×10⁻⁸ m/s.</x:v>
      </x:c>
      <x:c r="F20" s="318" t="str">
        <x:v>A = 3.0×10⁻¹²–4.2×10⁻¹² m/s/Pa; B = 3.5×10⁻⁸–5.0×10⁻⁸ m/s.</x:v>
      </x:c>
      <x:c r="G20" s="318" t="str">
        <x:v>A = 3.0×10⁻¹²–4.2×10⁻¹² m/s/Pa; B = 3.5×10⁻⁸–5.0×10⁻⁸ m/s.</x:v>
      </x:c>
      <x:c r="H20" s="318" t="str">
        <x:v>A = 3.0×10⁻¹²–4.2×10⁻¹² m/s/Pa; B = 3.5×10⁻⁸–5.0×10⁻⁸ m/s.</x:v>
      </x:c>
      <x:c r="I20" s="318" t="str">
        <x:v>A = 3.0×10⁻¹²–4.2×10⁻¹² m/s/Pa; B = 3.5×10⁻⁸–5.0×10⁻⁸ m/s.</x:v>
      </x:c>
      <x:c r="J20" s="318" t="str">
        <x:v>A = 3.0×10⁻¹²–4.2×10⁻¹² m/s/Pa; B = 3.5×10⁻⁸–5.0×10⁻⁸ m/s.</x:v>
      </x:c>
      <x:c r="K20" s="318" t="str">
        <x:v>A = 3.0×10⁻¹²–4.2×10⁻¹² m/s/Pa; B = 3.5×10⁻⁸–5.0×10⁻⁸ m/s.</x:v>
      </x:c>
      <x:c r="L20" s="318" t="str">
        <x:v>A = 3.0×10⁻¹²–4.2×10⁻¹² m/s/Pa; B = 3.5×10⁻⁸–5.0×10⁻⁸ m/s.</x:v>
      </x:c>
      <x:c r="M20" s="318" t="str">
        <x:v>A = 3.0×10⁻¹²–4.2×10⁻¹² m/s/Pa; B = 3.5×10⁻⁸–5.0×10⁻⁸ m/s.</x:v>
      </x:c>
      <x:c r="N20" s="318" t="str">
        <x:v>A = 3.0×10⁻¹²–4.2×10⁻¹² m/s/Pa; B = 3.5×10⁻⁸–5.0×10⁻⁸ m/s.</x:v>
      </x:c>
      <x:c r="O20" s="318" t="str">
        <x:v>A = 3.0×10⁻¹²–4.2×10⁻¹² m/s/Pa; B = 3.5×10⁻⁸–5.0×10⁻⁸ m/s.</x:v>
      </x:c>
    </x:row>
    <x:row r="21" ht="28" customHeight="1">
      <x:c r="A21" s="324" t="str">
        <x:v>Intervention freedom</x:v>
      </x:c>
      <x:c r="B21" s="318" t="str">
        <x:v>Combine chemical restoration, staged renewal, full renewal, expansion or deferral; state fraction and timing.</x:v>
      </x:c>
      <x:c r="C21" s="318" t="str">
        <x:v>Combine chemical restoration, staged renewal, full renewal, expansion or deferral; state fraction and timing.</x:v>
      </x:c>
      <x:c r="D21" s="318" t="str">
        <x:v>Combine chemical restoration, staged renewal, full renewal, expansion or deferral; state fraction and timing.</x:v>
      </x:c>
      <x:c r="E21" s="318" t="str">
        <x:v>Combine chemical restoration, staged renewal, full renewal, expansion or deferral; state fraction and timing.</x:v>
      </x:c>
      <x:c r="F21" s="318" t="str">
        <x:v>Combine chemical restoration, staged renewal, full renewal, expansion or deferral; state fraction and timing.</x:v>
      </x:c>
      <x:c r="G21" s="318" t="str">
        <x:v>Combine chemical restoration, staged renewal, full renewal, expansion or deferral; state fraction and timing.</x:v>
      </x:c>
      <x:c r="H21" s="318" t="str">
        <x:v>Combine chemical restoration, staged renewal, full renewal, expansion or deferral; state fraction and timing.</x:v>
      </x:c>
      <x:c r="I21" s="318" t="str">
        <x:v>Combine chemical restoration, staged renewal, full renewal, expansion or deferral; state fraction and timing.</x:v>
      </x:c>
      <x:c r="J21" s="318" t="str">
        <x:v>Combine chemical restoration, staged renewal, full renewal, expansion or deferral; state fraction and timing.</x:v>
      </x:c>
      <x:c r="K21" s="318" t="str">
        <x:v>Combine chemical restoration, staged renewal, full renewal, expansion or deferral; state fraction and timing.</x:v>
      </x:c>
      <x:c r="L21" s="318" t="str">
        <x:v>Combine chemical restoration, staged renewal, full renewal, expansion or deferral; state fraction and timing.</x:v>
      </x:c>
      <x:c r="M21" s="318" t="str">
        <x:v>Combine chemical restoration, staged renewal, full renewal, expansion or deferral; state fraction and timing.</x:v>
      </x:c>
      <x:c r="N21" s="318" t="str">
        <x:v>Combine chemical restoration, staged renewal, full renewal, expansion or deferral; state fraction and timing.</x:v>
      </x:c>
      <x:c r="O21" s="318" t="str">
        <x:v>Combine chemical restoration, staged renewal, full renewal, expansion or deferral; state fraction and timing.</x:v>
      </x:c>
    </x:row>
    <x:row r="22" ht="28" customHeight="1">
      <x:c r="A22" s="324" t="str">
        <x:v>Economic input</x:v>
      </x:c>
      <x:c r="B22" s="318" t="str">
        <x:v>Annualized intervention surcharge may range from $0 to $0.28/m³ and must be consistent with intervention intensity.</x:v>
      </x:c>
      <x:c r="C22" s="318" t="str">
        <x:v>Annualized intervention surcharge may range from $0 to $0.28/m³ and must be consistent with intervention intensity.</x:v>
      </x:c>
      <x:c r="D22" s="318" t="str">
        <x:v>Annualized intervention surcharge may range from $0 to $0.28/m³ and must be consistent with intervention intensity.</x:v>
      </x:c>
      <x:c r="E22" s="318" t="str">
        <x:v>Annualized intervention surcharge may range from $0 to $0.28/m³ and must be consistent with intervention intensity.</x:v>
      </x:c>
      <x:c r="F22" s="318" t="str">
        <x:v>Annualized intervention surcharge may range from $0 to $0.28/m³ and must be consistent with intervention intensity.</x:v>
      </x:c>
      <x:c r="G22" s="318" t="str">
        <x:v>Annualized intervention surcharge may range from $0 to $0.28/m³ and must be consistent with intervention intensity.</x:v>
      </x:c>
      <x:c r="H22" s="318" t="str">
        <x:v>Annualized intervention surcharge may range from $0 to $0.28/m³ and must be consistent with intervention intensity.</x:v>
      </x:c>
      <x:c r="I22" s="318" t="str">
        <x:v>Annualized intervention surcharge may range from $0 to $0.28/m³ and must be consistent with intervention intensity.</x:v>
      </x:c>
      <x:c r="J22" s="318" t="str">
        <x:v>Annualized intervention surcharge may range from $0 to $0.28/m³ and must be consistent with intervention intensity.</x:v>
      </x:c>
      <x:c r="K22" s="318" t="str">
        <x:v>Annualized intervention surcharge may range from $0 to $0.28/m³ and must be consistent with intervention intensity.</x:v>
      </x:c>
      <x:c r="L22" s="318" t="str">
        <x:v>Annualized intervention surcharge may range from $0 to $0.28/m³ and must be consistent with intervention intensity.</x:v>
      </x:c>
      <x:c r="M22" s="318" t="str">
        <x:v>Annualized intervention surcharge may range from $0 to $0.28/m³ and must be consistent with intervention intensity.</x:v>
      </x:c>
      <x:c r="N22" s="318" t="str">
        <x:v>Annualized intervention surcharge may range from $0 to $0.28/m³ and must be consistent with intervention intensity.</x:v>
      </x:c>
      <x:c r="O22" s="318" t="str">
        <x:v>Annualized intervention surcharge may range from $0 to $0.28/m³ and must be consistent with intervention intensity.</x:v>
      </x:c>
    </x:row>
    <x:row r="23" ht="28" customHeight="1">
      <x:c r="A23" s="324" t="str">
        <x:v>Comparison basis</x:v>
      </x:c>
      <x:c r="B23" s="318" t="str">
        <x:v>Total decision cost = weighted LCOW + annualized intervention surcharge.</x:v>
      </x:c>
      <x:c r="C23" s="318" t="str">
        <x:v>Total decision cost = weighted LCOW + annualized intervention surcharge.</x:v>
      </x:c>
      <x:c r="D23" s="318" t="str">
        <x:v>Total decision cost = weighted LCOW + annualized intervention surcharge.</x:v>
      </x:c>
      <x:c r="E23" s="318" t="str">
        <x:v>Total decision cost = weighted LCOW + annualized intervention surcharge.</x:v>
      </x:c>
      <x:c r="F23" s="318" t="str">
        <x:v>Total decision cost = weighted LCOW + annualized intervention surcharge.</x:v>
      </x:c>
      <x:c r="G23" s="318" t="str">
        <x:v>Total decision cost = weighted LCOW + annualized intervention surcharge.</x:v>
      </x:c>
      <x:c r="H23" s="318" t="str">
        <x:v>Total decision cost = weighted LCOW + annualized intervention surcharge.</x:v>
      </x:c>
      <x:c r="I23" s="318" t="str">
        <x:v>Total decision cost = weighted LCOW + annualized intervention surcharge.</x:v>
      </x:c>
      <x:c r="J23" s="318" t="str">
        <x:v>Total decision cost = weighted LCOW + annualized intervention surcharge.</x:v>
      </x:c>
      <x:c r="K23" s="318" t="str">
        <x:v>Total decision cost = weighted LCOW + annualized intervention surcharge.</x:v>
      </x:c>
      <x:c r="L23" s="318" t="str">
        <x:v>Total decision cost = weighted LCOW + annualized intervention surcharge.</x:v>
      </x:c>
      <x:c r="M23" s="318" t="str">
        <x:v>Total decision cost = weighted LCOW + annualized intervention surcharge.</x:v>
      </x:c>
      <x:c r="N23" s="318" t="str">
        <x:v>Total decision cost = weighted LCOW + annualized intervention surcharge.</x:v>
      </x:c>
      <x:c r="O23" s="318" t="str">
        <x:v>Total decision cost = weighted LCOW + annualized intervention surcharge.</x:v>
      </x:c>
    </x:row>
    <x:row r="24">
      <x:c r="A24" s="160"/>
      <x:c r="B24" s="160"/>
      <x:c r="C24" s="160"/>
      <x:c r="D24" s="160"/>
      <x:c r="E24" s="160"/>
      <x:c r="F24" s="160"/>
      <x:c r="G24" s="160"/>
      <x:c r="H24" s="160"/>
      <x:c r="I24" s="160"/>
      <x:c r="J24" s="160"/>
      <x:c r="K24" s="160"/>
      <x:c r="L24" s="160"/>
      <x:c r="M24" s="160"/>
      <x:c r="N24" s="160"/>
      <x:c r="O24" s="160"/>
    </x:row>
    <x:row r="25" ht="22" customHeight="1">
      <x:c r="A25" s="280" t="str">
        <x:v>Hard constraints and decision objective</x:v>
      </x:c>
      <x:c r="B25" s="280" t="str">
        <x:v>Hard constraints and decision objective</x:v>
      </x:c>
      <x:c r="C25" s="280" t="str">
        <x:v>Hard constraints and decision objective</x:v>
      </x:c>
      <x:c r="D25" s="280" t="str">
        <x:v>Hard constraints and decision objective</x:v>
      </x:c>
      <x:c r="E25" s="280" t="str">
        <x:v>Hard constraints and decision objective</x:v>
      </x:c>
      <x:c r="F25" s="280" t="str">
        <x:v>Hard constraints and decision objective</x:v>
      </x:c>
      <x:c r="G25" s="280" t="str">
        <x:v>Hard constraints and decision objective</x:v>
      </x:c>
      <x:c r="H25" s="280" t="str">
        <x:v>Hard constraints and decision objective</x:v>
      </x:c>
      <x:c r="I25" s="280" t="str">
        <x:v>Hard constraints and decision objective</x:v>
      </x:c>
      <x:c r="J25" s="280" t="str">
        <x:v>Hard constraints and decision objective</x:v>
      </x:c>
      <x:c r="K25" s="280" t="str">
        <x:v>Hard constraints and decision objective</x:v>
      </x:c>
      <x:c r="L25" s="280" t="str">
        <x:v>Hard constraints and decision objective</x:v>
      </x:c>
      <x:c r="M25" s="280" t="str">
        <x:v>Hard constraints and decision objective</x:v>
      </x:c>
      <x:c r="N25" s="280" t="str">
        <x:v>Hard constraints and decision objective</x:v>
      </x:c>
      <x:c r="O25" s="280" t="str">
        <x:v>Hard constraints and decision objective</x:v>
      </x:c>
    </x:row>
    <x:row r="26" ht="24" customHeight="1">
      <x:c r="A26" s="345" t="str">
        <x:v>In every season: membrane water ≥0.330 kg/s, permeate NaCl ≤430 mg/L, inlet CP ≤1.34, plant product ≥0.037 m³/s and SEC ≤2.75 kWh/m³. Among paths compliant in every season, recommend the one with the lowest total decision cost.</x:v>
      </x:c>
      <x:c r="B26" s="346" t="str">
        <x:v>In every season: membrane water ≥0.330 kg/s, permeate NaCl ≤430 mg/L, inlet CP ≤1.34, plant product ≥0.037 m³/s and SEC ≤2.75 kWh/m³. Among paths compliant in every season, recommend the one with the lowest total decision cost.</x:v>
      </x:c>
      <x:c r="C26" s="346" t="str">
        <x:v>In every season: membrane water ≥0.330 kg/s, permeate NaCl ≤430 mg/L, inlet CP ≤1.34, plant product ≥0.037 m³/s and SEC ≤2.75 kWh/m³. Among paths compliant in every season, recommend the one with the lowest total decision cost.</x:v>
      </x:c>
      <x:c r="D26" s="346" t="str">
        <x:v>In every season: membrane water ≥0.330 kg/s, permeate NaCl ≤430 mg/L, inlet CP ≤1.34, plant product ≥0.037 m³/s and SEC ≤2.75 kWh/m³. Among paths compliant in every season, recommend the one with the lowest total decision cost.</x:v>
      </x:c>
      <x:c r="E26" s="346" t="str">
        <x:v>In every season: membrane water ≥0.330 kg/s, permeate NaCl ≤430 mg/L, inlet CP ≤1.34, plant product ≥0.037 m³/s and SEC ≤2.75 kWh/m³. Among paths compliant in every season, recommend the one with the lowest total decision cost.</x:v>
      </x:c>
      <x:c r="F26" s="346" t="str">
        <x:v>In every season: membrane water ≥0.330 kg/s, permeate NaCl ≤430 mg/L, inlet CP ≤1.34, plant product ≥0.037 m³/s and SEC ≤2.75 kWh/m³. Among paths compliant in every season, recommend the one with the lowest total decision cost.</x:v>
      </x:c>
      <x:c r="G26" s="346" t="str">
        <x:v>In every season: membrane water ≥0.330 kg/s, permeate NaCl ≤430 mg/L, inlet CP ≤1.34, plant product ≥0.037 m³/s and SEC ≤2.75 kWh/m³. Among paths compliant in every season, recommend the one with the lowest total decision cost.</x:v>
      </x:c>
      <x:c r="H26" s="346" t="str">
        <x:v>In every season: membrane water ≥0.330 kg/s, permeate NaCl ≤430 mg/L, inlet CP ≤1.34, plant product ≥0.037 m³/s and SEC ≤2.75 kWh/m³. Among paths compliant in every season, recommend the one with the lowest total decision cost.</x:v>
      </x:c>
      <x:c r="I26" s="346" t="str">
        <x:v>In every season: membrane water ≥0.330 kg/s, permeate NaCl ≤430 mg/L, inlet CP ≤1.34, plant product ≥0.037 m³/s and SEC ≤2.75 kWh/m³. Among paths compliant in every season, recommend the one with the lowest total decision cost.</x:v>
      </x:c>
      <x:c r="J26" s="346" t="str">
        <x:v>In every season: membrane water ≥0.330 kg/s, permeate NaCl ≤430 mg/L, inlet CP ≤1.34, plant product ≥0.037 m³/s and SEC ≤2.75 kWh/m³. Among paths compliant in every season, recommend the one with the lowest total decision cost.</x:v>
      </x:c>
      <x:c r="K26" s="346" t="str">
        <x:v>In every season: membrane water ≥0.330 kg/s, permeate NaCl ≤430 mg/L, inlet CP ≤1.34, plant product ≥0.037 m³/s and SEC ≤2.75 kWh/m³. Among paths compliant in every season, recommend the one with the lowest total decision cost.</x:v>
      </x:c>
      <x:c r="L26" s="346" t="str">
        <x:v>In every season: membrane water ≥0.330 kg/s, permeate NaCl ≤430 mg/L, inlet CP ≤1.34, plant product ≥0.037 m³/s and SEC ≤2.75 kWh/m³. Among paths compliant in every season, recommend the one with the lowest total decision cost.</x:v>
      </x:c>
      <x:c r="M26" s="346" t="str">
        <x:v>In every season: membrane water ≥0.330 kg/s, permeate NaCl ≤430 mg/L, inlet CP ≤1.34, plant product ≥0.037 m³/s and SEC ≤2.75 kWh/m³. Among paths compliant in every season, recommend the one with the lowest total decision cost.</x:v>
      </x:c>
      <x:c r="N26" s="346" t="str">
        <x:v>In every season: membrane water ≥0.330 kg/s, permeate NaCl ≤430 mg/L, inlet CP ≤1.34, plant product ≥0.037 m³/s and SEC ≤2.75 kWh/m³. Among paths compliant in every season, recommend the one with the lowest total decision cost.</x:v>
      </x:c>
      <x:c r="O26" s="347" t="str">
        <x:v>In every season: membrane water ≥0.330 kg/s, permeate NaCl ≤430 mg/L, inlet CP ≤1.34, plant product ≥0.037 m³/s and SEC ≤2.75 kWh/m³. Among paths compliant in every season, recommend the one with the lowest total decision cost.</x:v>
      </x:c>
    </x:row>
    <x:row r="27" ht="24" customHeight="1">
      <x:c r="A27" s="348" t="str">
        <x:v>In every season: membrane water ≥0.330 kg/s, permeate NaCl ≤430 mg/L, inlet CP ≤1.34, plant product ≥0.037 m³/s and SEC ≤2.75 kWh/m³. Among paths compliant in every season, recommend the one with the lowest total decision cost.</x:v>
      </x:c>
      <x:c r="B27" s="349" t="str">
        <x:v>In every season: membrane water ≥0.330 kg/s, permeate NaCl ≤430 mg/L, inlet CP ≤1.34, plant product ≥0.037 m³/s and SEC ≤2.75 kWh/m³. Among paths compliant in every season, recommend the one with the lowest total decision cost.</x:v>
      </x:c>
      <x:c r="C27" s="349" t="str">
        <x:v>In every season: membrane water ≥0.330 kg/s, permeate NaCl ≤430 mg/L, inlet CP ≤1.34, plant product ≥0.037 m³/s and SEC ≤2.75 kWh/m³. Among paths compliant in every season, recommend the one with the lowest total decision cost.</x:v>
      </x:c>
      <x:c r="D27" s="349" t="str">
        <x:v>In every season: membrane water ≥0.330 kg/s, permeate NaCl ≤430 mg/L, inlet CP ≤1.34, plant product ≥0.037 m³/s and SEC ≤2.75 kWh/m³. Among paths compliant in every season, recommend the one with the lowest total decision cost.</x:v>
      </x:c>
      <x:c r="E27" s="349" t="str">
        <x:v>In every season: membrane water ≥0.330 kg/s, permeate NaCl ≤430 mg/L, inlet CP ≤1.34, plant product ≥0.037 m³/s and SEC ≤2.75 kWh/m³. Among paths compliant in every season, recommend the one with the lowest total decision cost.</x:v>
      </x:c>
      <x:c r="F27" s="349" t="str">
        <x:v>In every season: membrane water ≥0.330 kg/s, permeate NaCl ≤430 mg/L, inlet CP ≤1.34, plant product ≥0.037 m³/s and SEC ≤2.75 kWh/m³. Among paths compliant in every season, recommend the one with the lowest total decision cost.</x:v>
      </x:c>
      <x:c r="G27" s="349" t="str">
        <x:v>In every season: membrane water ≥0.330 kg/s, permeate NaCl ≤430 mg/L, inlet CP ≤1.34, plant product ≥0.037 m³/s and SEC ≤2.75 kWh/m³. Among paths compliant in every season, recommend the one with the lowest total decision cost.</x:v>
      </x:c>
      <x:c r="H27" s="349" t="str">
        <x:v>In every season: membrane water ≥0.330 kg/s, permeate NaCl ≤430 mg/L, inlet CP ≤1.34, plant product ≥0.037 m³/s and SEC ≤2.75 kWh/m³. Among paths compliant in every season, recommend the one with the lowest total decision cost.</x:v>
      </x:c>
      <x:c r="I27" s="349" t="str">
        <x:v>In every season: membrane water ≥0.330 kg/s, permeate NaCl ≤430 mg/L, inlet CP ≤1.34, plant product ≥0.037 m³/s and SEC ≤2.75 kWh/m³. Among paths compliant in every season, recommend the one with the lowest total decision cost.</x:v>
      </x:c>
      <x:c r="J27" s="349" t="str">
        <x:v>In every season: membrane water ≥0.330 kg/s, permeate NaCl ≤430 mg/L, inlet CP ≤1.34, plant product ≥0.037 m³/s and SEC ≤2.75 kWh/m³. Among paths compliant in every season, recommend the one with the lowest total decision cost.</x:v>
      </x:c>
      <x:c r="K27" s="349" t="str">
        <x:v>In every season: membrane water ≥0.330 kg/s, permeate NaCl ≤430 mg/L, inlet CP ≤1.34, plant product ≥0.037 m³/s and SEC ≤2.75 kWh/m³. Among paths compliant in every season, recommend the one with the lowest total decision cost.</x:v>
      </x:c>
      <x:c r="L27" s="349" t="str">
        <x:v>In every season: membrane water ≥0.330 kg/s, permeate NaCl ≤430 mg/L, inlet CP ≤1.34, plant product ≥0.037 m³/s and SEC ≤2.75 kWh/m³. Among paths compliant in every season, recommend the one with the lowest total decision cost.</x:v>
      </x:c>
      <x:c r="M27" s="349" t="str">
        <x:v>In every season: membrane water ≥0.330 kg/s, permeate NaCl ≤430 mg/L, inlet CP ≤1.34, plant product ≥0.037 m³/s and SEC ≤2.75 kWh/m³. Among paths compliant in every season, recommend the one with the lowest total decision cost.</x:v>
      </x:c>
      <x:c r="N27" s="349" t="str">
        <x:v>In every season: membrane water ≥0.330 kg/s, permeate NaCl ≤430 mg/L, inlet CP ≤1.34, plant product ≥0.037 m³/s and SEC ≤2.75 kWh/m³. Among paths compliant in every season, recommend the one with the lowest total decision cost.</x:v>
      </x:c>
      <x:c r="O27" s="350" t="str">
        <x:v>In every season: membrane water ≥0.330 kg/s, permeate NaCl ≤430 mg/L, inlet CP ≤1.34, plant product ≥0.037 m³/s and SEC ≤2.75 kWh/m³. Among paths compliant in every season, recommend the one with the lowest total decision cost.</x:v>
      </x:c>
    </x:row>
    <x:row r="28" ht="24" customHeight="1">
      <x:c r="A28" s="348" t="str">
        <x:v>In every season: membrane water ≥0.330 kg/s, permeate NaCl ≤430 mg/L, inlet CP ≤1.34, plant product ≥0.037 m³/s and SEC ≤2.75 kWh/m³. Among paths compliant in every season, recommend the one with the lowest total decision cost.</x:v>
      </x:c>
      <x:c r="B28" s="349" t="str">
        <x:v>In every season: membrane water ≥0.330 kg/s, permeate NaCl ≤430 mg/L, inlet CP ≤1.34, plant product ≥0.037 m³/s and SEC ≤2.75 kWh/m³. Among paths compliant in every season, recommend the one with the lowest total decision cost.</x:v>
      </x:c>
      <x:c r="C28" s="349" t="str">
        <x:v>In every season: membrane water ≥0.330 kg/s, permeate NaCl ≤430 mg/L, inlet CP ≤1.34, plant product ≥0.037 m³/s and SEC ≤2.75 kWh/m³. Among paths compliant in every season, recommend the one with the lowest total decision cost.</x:v>
      </x:c>
      <x:c r="D28" s="349" t="str">
        <x:v>In every season: membrane water ≥0.330 kg/s, permeate NaCl ≤430 mg/L, inlet CP ≤1.34, plant product ≥0.037 m³/s and SEC ≤2.75 kWh/m³. Among paths compliant in every season, recommend the one with the lowest total decision cost.</x:v>
      </x:c>
      <x:c r="E28" s="349" t="str">
        <x:v>In every season: membrane water ≥0.330 kg/s, permeate NaCl ≤430 mg/L, inlet CP ≤1.34, plant product ≥0.037 m³/s and SEC ≤2.75 kWh/m³. Among paths compliant in every season, recommend the one with the lowest total decision cost.</x:v>
      </x:c>
      <x:c r="F28" s="349" t="str">
        <x:v>In every season: membrane water ≥0.330 kg/s, permeate NaCl ≤430 mg/L, inlet CP ≤1.34, plant product ≥0.037 m³/s and SEC ≤2.75 kWh/m³. Among paths compliant in every season, recommend the one with the lowest total decision cost.</x:v>
      </x:c>
      <x:c r="G28" s="349" t="str">
        <x:v>In every season: membrane water ≥0.330 kg/s, permeate NaCl ≤430 mg/L, inlet CP ≤1.34, plant product ≥0.037 m³/s and SEC ≤2.75 kWh/m³. Among paths compliant in every season, recommend the one with the lowest total decision cost.</x:v>
      </x:c>
      <x:c r="H28" s="349" t="str">
        <x:v>In every season: membrane water ≥0.330 kg/s, permeate NaCl ≤430 mg/L, inlet CP ≤1.34, plant product ≥0.037 m³/s and SEC ≤2.75 kWh/m³. Among paths compliant in every season, recommend the one with the lowest total decision cost.</x:v>
      </x:c>
      <x:c r="I28" s="349" t="str">
        <x:v>In every season: membrane water ≥0.330 kg/s, permeate NaCl ≤430 mg/L, inlet CP ≤1.34, plant product ≥0.037 m³/s and SEC ≤2.75 kWh/m³. Among paths compliant in every season, recommend the one with the lowest total decision cost.</x:v>
      </x:c>
      <x:c r="J28" s="349" t="str">
        <x:v>In every season: membrane water ≥0.330 kg/s, permeate NaCl ≤430 mg/L, inlet CP ≤1.34, plant product ≥0.037 m³/s and SEC ≤2.75 kWh/m³. Among paths compliant in every season, recommend the one with the lowest total decision cost.</x:v>
      </x:c>
      <x:c r="K28" s="349" t="str">
        <x:v>In every season: membrane water ≥0.330 kg/s, permeate NaCl ≤430 mg/L, inlet CP ≤1.34, plant product ≥0.037 m³/s and SEC ≤2.75 kWh/m³. Among paths compliant in every season, recommend the one with the lowest total decision cost.</x:v>
      </x:c>
      <x:c r="L28" s="349" t="str">
        <x:v>In every season: membrane water ≥0.330 kg/s, permeate NaCl ≤430 mg/L, inlet CP ≤1.34, plant product ≥0.037 m³/s and SEC ≤2.75 kWh/m³. Among paths compliant in every season, recommend the one with the lowest total decision cost.</x:v>
      </x:c>
      <x:c r="M28" s="349" t="str">
        <x:v>In every season: membrane water ≥0.330 kg/s, permeate NaCl ≤430 mg/L, inlet CP ≤1.34, plant product ≥0.037 m³/s and SEC ≤2.75 kWh/m³. Among paths compliant in every season, recommend the one with the lowest total decision cost.</x:v>
      </x:c>
      <x:c r="N28" s="349" t="str">
        <x:v>In every season: membrane water ≥0.330 kg/s, permeate NaCl ≤430 mg/L, inlet CP ≤1.34, plant product ≥0.037 m³/s and SEC ≤2.75 kWh/m³. Among paths compliant in every season, recommend the one with the lowest total decision cost.</x:v>
      </x:c>
      <x:c r="O28" s="350" t="str">
        <x:v>In every season: membrane water ≥0.330 kg/s, permeate NaCl ≤430 mg/L, inlet CP ≤1.34, plant product ≥0.037 m³/s and SEC ≤2.75 kWh/m³. Among paths compliant in every season, recommend the one with the lowest total decision cost.</x:v>
      </x:c>
    </x:row>
    <x:row r="29" ht="24" customHeight="1">
      <x:c r="A29" s="351" t="str">
        <x:v>In every season: membrane water ≥0.330 kg/s, permeate NaCl ≤430 mg/L, inlet CP ≤1.34, plant product ≥0.037 m³/s and SEC ≤2.75 kWh/m³. Among paths compliant in every season, recommend the one with the lowest total decision cost.</x:v>
      </x:c>
      <x:c r="B29" s="352" t="str">
        <x:v>In every season: membrane water ≥0.330 kg/s, permeate NaCl ≤430 mg/L, inlet CP ≤1.34, plant product ≥0.037 m³/s and SEC ≤2.75 kWh/m³. Among paths compliant in every season, recommend the one with the lowest total decision cost.</x:v>
      </x:c>
      <x:c r="C29" s="352" t="str">
        <x:v>In every season: membrane water ≥0.330 kg/s, permeate NaCl ≤430 mg/L, inlet CP ≤1.34, plant product ≥0.037 m³/s and SEC ≤2.75 kWh/m³. Among paths compliant in every season, recommend the one with the lowest total decision cost.</x:v>
      </x:c>
      <x:c r="D29" s="352" t="str">
        <x:v>In every season: membrane water ≥0.330 kg/s, permeate NaCl ≤430 mg/L, inlet CP ≤1.34, plant product ≥0.037 m³/s and SEC ≤2.75 kWh/m³. Among paths compliant in every season, recommend the one with the lowest total decision cost.</x:v>
      </x:c>
      <x:c r="E29" s="352" t="str">
        <x:v>In every season: membrane water ≥0.330 kg/s, permeate NaCl ≤430 mg/L, inlet CP ≤1.34, plant product ≥0.037 m³/s and SEC ≤2.75 kWh/m³. Among paths compliant in every season, recommend the one with the lowest total decision cost.</x:v>
      </x:c>
      <x:c r="F29" s="352" t="str">
        <x:v>In every season: membrane water ≥0.330 kg/s, permeate NaCl ≤430 mg/L, inlet CP ≤1.34, plant product ≥0.037 m³/s and SEC ≤2.75 kWh/m³. Among paths compliant in every season, recommend the one with the lowest total decision cost.</x:v>
      </x:c>
      <x:c r="G29" s="352" t="str">
        <x:v>In every season: membrane water ≥0.330 kg/s, permeate NaCl ≤430 mg/L, inlet CP ≤1.34, plant product ≥0.037 m³/s and SEC ≤2.75 kWh/m³. Among paths compliant in every season, recommend the one with the lowest total decision cost.</x:v>
      </x:c>
      <x:c r="H29" s="352" t="str">
        <x:v>In every season: membrane water ≥0.330 kg/s, permeate NaCl ≤430 mg/L, inlet CP ≤1.34, plant product ≥0.037 m³/s and SEC ≤2.75 kWh/m³. Among paths compliant in every season, recommend the one with the lowest total decision cost.</x:v>
      </x:c>
      <x:c r="I29" s="352" t="str">
        <x:v>In every season: membrane water ≥0.330 kg/s, permeate NaCl ≤430 mg/L, inlet CP ≤1.34, plant product ≥0.037 m³/s and SEC ≤2.75 kWh/m³. Among paths compliant in every season, recommend the one with the lowest total decision cost.</x:v>
      </x:c>
      <x:c r="J29" s="352" t="str">
        <x:v>In every season: membrane water ≥0.330 kg/s, permeate NaCl ≤430 mg/L, inlet CP ≤1.34, plant product ≥0.037 m³/s and SEC ≤2.75 kWh/m³. Among paths compliant in every season, recommend the one with the lowest total decision cost.</x:v>
      </x:c>
      <x:c r="K29" s="352" t="str">
        <x:v>In every season: membrane water ≥0.330 kg/s, permeate NaCl ≤430 mg/L, inlet CP ≤1.34, plant product ≥0.037 m³/s and SEC ≤2.75 kWh/m³. Among paths compliant in every season, recommend the one with the lowest total decision cost.</x:v>
      </x:c>
      <x:c r="L29" s="352" t="str">
        <x:v>In every season: membrane water ≥0.330 kg/s, permeate NaCl ≤430 mg/L, inlet CP ≤1.34, plant product ≥0.037 m³/s and SEC ≤2.75 kWh/m³. Among paths compliant in every season, recommend the one with the lowest total decision cost.</x:v>
      </x:c>
      <x:c r="M29" s="352" t="str">
        <x:v>In every season: membrane water ≥0.330 kg/s, permeate NaCl ≤430 mg/L, inlet CP ≤1.34, plant product ≥0.037 m³/s and SEC ≤2.75 kWh/m³. Among paths compliant in every season, recommend the one with the lowest total decision cost.</x:v>
      </x:c>
      <x:c r="N29" s="352" t="str">
        <x:v>In every season: membrane water ≥0.330 kg/s, permeate NaCl ≤430 mg/L, inlet CP ≤1.34, plant product ≥0.037 m³/s and SEC ≤2.75 kWh/m³. Among paths compliant in every season, recommend the one with the lowest total decision cost.</x:v>
      </x:c>
      <x:c r="O29" s="353" t="str">
        <x:v>In every season: membrane water ≥0.330 kg/s, permeate NaCl ≤430 mg/L, inlet CP ≤1.34, plant product ≥0.037 m³/s and SEC ≤2.75 kWh/m³. Among paths compliant in every season, recommend the one with the lowest total decision cost.</x:v>
      </x:c>
    </x:row>
    <x:row r="30">
      <x:c r="A30" s="160"/>
      <x:c r="B30" s="160"/>
      <x:c r="C30" s="160"/>
      <x:c r="D30" s="160"/>
      <x:c r="E30" s="160"/>
      <x:c r="F30" s="160"/>
      <x:c r="G30" s="160"/>
      <x:c r="H30" s="160"/>
      <x:c r="I30" s="160"/>
      <x:c r="J30" s="160"/>
      <x:c r="K30" s="160"/>
      <x:c r="L30" s="160"/>
      <x:c r="M30" s="160"/>
      <x:c r="N30" s="160"/>
      <x:c r="O30" s="160"/>
    </x:row>
    <x:row r="31" ht="22" customHeight="1">
      <x:c r="A31" s="280" t="str">
        <x:v>What the engineering answer must contain</x:v>
      </x:c>
      <x:c r="B31" s="280" t="str">
        <x:v>What the engineering answer must contain</x:v>
      </x:c>
      <x:c r="C31" s="280" t="str">
        <x:v>What the engineering answer must contain</x:v>
      </x:c>
      <x:c r="D31" s="280" t="str">
        <x:v>What the engineering answer must contain</x:v>
      </x:c>
      <x:c r="E31" s="280" t="str">
        <x:v>What the engineering answer must contain</x:v>
      </x:c>
      <x:c r="F31" s="280" t="str">
        <x:v>What the engineering answer must contain</x:v>
      </x:c>
      <x:c r="G31" s="280" t="str">
        <x:v>What the engineering answer must contain</x:v>
      </x:c>
      <x:c r="H31" s="280" t="str">
        <x:v>What the engineering answer must contain</x:v>
      </x:c>
      <x:c r="I31" s="280" t="str">
        <x:v>What the engineering answer must contain</x:v>
      </x:c>
      <x:c r="J31" s="280" t="str">
        <x:v>What the engineering answer must contain</x:v>
      </x:c>
      <x:c r="K31" s="280" t="str">
        <x:v>What the engineering answer must contain</x:v>
      </x:c>
      <x:c r="L31" s="280" t="str">
        <x:v>What the engineering answer must contain</x:v>
      </x:c>
      <x:c r="M31" s="280" t="str">
        <x:v>What the engineering answer must contain</x:v>
      </x:c>
      <x:c r="N31" s="280" t="str">
        <x:v>What the engineering answer must contain</x:v>
      </x:c>
      <x:c r="O31" s="280" t="str">
        <x:v>What the engineering answer must contain</x:v>
      </x:c>
    </x:row>
    <x:row r="32" ht="28" customHeight="1">
      <x:c r="A32" s="357" t="n">
        <x:v>1</x:v>
      </x:c>
      <x:c r="B32" s="360" t="str">
        <x:v>Develop several maintenance/renewal paths and state restored membrane parameters, pressure, area and annualized surcharge.</x:v>
      </x:c>
      <x:c r="C32" s="360" t="str">
        <x:v>Develop several maintenance/renewal paths and state restored membrane parameters, pressure, area and annualized surcharge.</x:v>
      </x:c>
      <x:c r="D32" s="360" t="str">
        <x:v>Develop several maintenance/renewal paths and state restored membrane parameters, pressure, area and annualized surcharge.</x:v>
      </x:c>
      <x:c r="E32" s="360" t="str">
        <x:v>Develop several maintenance/renewal paths and state restored membrane parameters, pressure, area and annualized surcharge.</x:v>
      </x:c>
      <x:c r="F32" s="360" t="str">
        <x:v>Develop several maintenance/renewal paths and state restored membrane parameters, pressure, area and annualized surcharge.</x:v>
      </x:c>
      <x:c r="G32" s="360" t="str">
        <x:v>Develop several maintenance/renewal paths and state restored membrane parameters, pressure, area and annualized surcharge.</x:v>
      </x:c>
      <x:c r="H32" s="360" t="str">
        <x:v>Develop several maintenance/renewal paths and state restored membrane parameters, pressure, area and annualized surcharge.</x:v>
      </x:c>
      <x:c r="I32" s="360" t="str">
        <x:v>Develop several maintenance/renewal paths and state restored membrane parameters, pressure, area and annualized surcharge.</x:v>
      </x:c>
      <x:c r="J32" s="360" t="str">
        <x:v>Develop several maintenance/renewal paths and state restored membrane parameters, pressure, area and annualized surcharge.</x:v>
      </x:c>
      <x:c r="K32" s="360" t="str">
        <x:v>Develop several maintenance/renewal paths and state restored membrane parameters, pressure, area and annualized surcharge.</x:v>
      </x:c>
      <x:c r="L32" s="360" t="str">
        <x:v>Develop several maintenance/renewal paths and state restored membrane parameters, pressure, area and annualized surcharge.</x:v>
      </x:c>
      <x:c r="M32" s="360" t="str">
        <x:v>Develop several maintenance/renewal paths and state restored membrane parameters, pressure, area and annualized surcharge.</x:v>
      </x:c>
      <x:c r="N32" s="360" t="str">
        <x:v>Develop several maintenance/renewal paths and state restored membrane parameters, pressure, area and annualized surcharge.</x:v>
      </x:c>
      <x:c r="O32" s="360" t="str">
        <x:v>Develop several maintenance/renewal paths and state restored membrane parameters, pressure, area and annualized surcharge.</x:v>
      </x:c>
    </x:row>
    <x:row r="33" ht="28" customHeight="1">
      <x:c r="A33" s="357" t="n">
        <x:v>2</x:v>
      </x:c>
      <x:c r="B33" s="360" t="str">
        <x:v>Check membrane output, quality and CP plus plant output and SEC in every season.</x:v>
      </x:c>
      <x:c r="C33" s="360" t="str">
        <x:v>Check membrane output, quality and CP plus plant output and SEC in every season.</x:v>
      </x:c>
      <x:c r="D33" s="360" t="str">
        <x:v>Check membrane output, quality and CP plus plant output and SEC in every season.</x:v>
      </x:c>
      <x:c r="E33" s="360" t="str">
        <x:v>Check membrane output, quality and CP plus plant output and SEC in every season.</x:v>
      </x:c>
      <x:c r="F33" s="360" t="str">
        <x:v>Check membrane output, quality and CP plus plant output and SEC in every season.</x:v>
      </x:c>
      <x:c r="G33" s="360" t="str">
        <x:v>Check membrane output, quality and CP plus plant output and SEC in every season.</x:v>
      </x:c>
      <x:c r="H33" s="360" t="str">
        <x:v>Check membrane output, quality and CP plus plant output and SEC in every season.</x:v>
      </x:c>
      <x:c r="I33" s="360" t="str">
        <x:v>Check membrane output, quality and CP plus plant output and SEC in every season.</x:v>
      </x:c>
      <x:c r="J33" s="360" t="str">
        <x:v>Check membrane output, quality and CP plus plant output and SEC in every season.</x:v>
      </x:c>
      <x:c r="K33" s="360" t="str">
        <x:v>Check membrane output, quality and CP plus plant output and SEC in every season.</x:v>
      </x:c>
      <x:c r="L33" s="360" t="str">
        <x:v>Check membrane output, quality and CP plus plant output and SEC in every season.</x:v>
      </x:c>
      <x:c r="M33" s="360" t="str">
        <x:v>Check membrane output, quality and CP plus plant output and SEC in every season.</x:v>
      </x:c>
      <x:c r="N33" s="360" t="str">
        <x:v>Check membrane output, quality and CP plus plant output and SEC in every season.</x:v>
      </x:c>
      <x:c r="O33" s="360" t="str">
        <x:v>Check membrane output, quality and CP plus plant output and SEC in every season.</x:v>
      </x:c>
    </x:row>
    <x:row r="34" ht="28" customHeight="1">
      <x:c r="A34" s="357" t="n">
        <x:v>3</x:v>
      </x:c>
      <x:c r="B34" s="360" t="str">
        <x:v>Identify low-cost but non-robust deferral or low-intensity interventions.</x:v>
      </x:c>
      <x:c r="C34" s="360" t="str">
        <x:v>Identify low-cost but non-robust deferral or low-intensity interventions.</x:v>
      </x:c>
      <x:c r="D34" s="360" t="str">
        <x:v>Identify low-cost but non-robust deferral or low-intensity interventions.</x:v>
      </x:c>
      <x:c r="E34" s="360" t="str">
        <x:v>Identify low-cost but non-robust deferral or low-intensity interventions.</x:v>
      </x:c>
      <x:c r="F34" s="360" t="str">
        <x:v>Identify low-cost but non-robust deferral or low-intensity interventions.</x:v>
      </x:c>
      <x:c r="G34" s="360" t="str">
        <x:v>Identify low-cost but non-robust deferral or low-intensity interventions.</x:v>
      </x:c>
      <x:c r="H34" s="360" t="str">
        <x:v>Identify low-cost but non-robust deferral or low-intensity interventions.</x:v>
      </x:c>
      <x:c r="I34" s="360" t="str">
        <x:v>Identify low-cost but non-robust deferral or low-intensity interventions.</x:v>
      </x:c>
      <x:c r="J34" s="360" t="str">
        <x:v>Identify low-cost but non-robust deferral or low-intensity interventions.</x:v>
      </x:c>
      <x:c r="K34" s="360" t="str">
        <x:v>Identify low-cost but non-robust deferral or low-intensity interventions.</x:v>
      </x:c>
      <x:c r="L34" s="360" t="str">
        <x:v>Identify low-cost but non-robust deferral or low-intensity interventions.</x:v>
      </x:c>
      <x:c r="M34" s="360" t="str">
        <x:v>Identify low-cost but non-robust deferral or low-intensity interventions.</x:v>
      </x:c>
      <x:c r="N34" s="360" t="str">
        <x:v>Identify low-cost but non-robust deferral or low-intensity interventions.</x:v>
      </x:c>
      <x:c r="O34" s="360" t="str">
        <x:v>Identify low-cost but non-robust deferral or low-intensity interventions.</x:v>
      </x:c>
    </x:row>
    <x:row r="35" ht="28" customHeight="1">
      <x:c r="A35" s="357" t="n">
        <x:v>4</x:v>
      </x:c>
      <x:c r="B35" s="360" t="str">
        <x:v>Calculate weighted LCOW, intervention surcharge and total decision cost for every feasible path.</x:v>
      </x:c>
      <x:c r="C35" s="360" t="str">
        <x:v>Calculate weighted LCOW, intervention surcharge and total decision cost for every feasible path.</x:v>
      </x:c>
      <x:c r="D35" s="360" t="str">
        <x:v>Calculate weighted LCOW, intervention surcharge and total decision cost for every feasible path.</x:v>
      </x:c>
      <x:c r="E35" s="360" t="str">
        <x:v>Calculate weighted LCOW, intervention surcharge and total decision cost for every feasible path.</x:v>
      </x:c>
      <x:c r="F35" s="360" t="str">
        <x:v>Calculate weighted LCOW, intervention surcharge and total decision cost for every feasible path.</x:v>
      </x:c>
      <x:c r="G35" s="360" t="str">
        <x:v>Calculate weighted LCOW, intervention surcharge and total decision cost for every feasible path.</x:v>
      </x:c>
      <x:c r="H35" s="360" t="str">
        <x:v>Calculate weighted LCOW, intervention surcharge and total decision cost for every feasible path.</x:v>
      </x:c>
      <x:c r="I35" s="360" t="str">
        <x:v>Calculate weighted LCOW, intervention surcharge and total decision cost for every feasible path.</x:v>
      </x:c>
      <x:c r="J35" s="360" t="str">
        <x:v>Calculate weighted LCOW, intervention surcharge and total decision cost for every feasible path.</x:v>
      </x:c>
      <x:c r="K35" s="360" t="str">
        <x:v>Calculate weighted LCOW, intervention surcharge and total decision cost for every feasible path.</x:v>
      </x:c>
      <x:c r="L35" s="360" t="str">
        <x:v>Calculate weighted LCOW, intervention surcharge and total decision cost for every feasible path.</x:v>
      </x:c>
      <x:c r="M35" s="360" t="str">
        <x:v>Calculate weighted LCOW, intervention surcharge and total decision cost for every feasible path.</x:v>
      </x:c>
      <x:c r="N35" s="360" t="str">
        <x:v>Calculate weighted LCOW, intervention surcharge and total decision cost for every feasible path.</x:v>
      </x:c>
      <x:c r="O35" s="360" t="str">
        <x:v>Calculate weighted LCOW, intervention surcharge and total decision cost for every feasible path.</x:v>
      </x:c>
    </x:row>
    <x:row r="36" ht="28" customHeight="1">
      <x:c r="A36" s="357" t="n">
        <x:v>5</x:v>
      </x:c>
      <x:c r="B36" s="360" t="str">
        <x:v>Recommend a path and explain the respective penalties of over-renewal and under-intervention.</x:v>
      </x:c>
      <x:c r="C36" s="360" t="str">
        <x:v>Recommend a path and explain the respective penalties of over-renewal and under-intervention.</x:v>
      </x:c>
      <x:c r="D36" s="360" t="str">
        <x:v>Recommend a path and explain the respective penalties of over-renewal and under-intervention.</x:v>
      </x:c>
      <x:c r="E36" s="360" t="str">
        <x:v>Recommend a path and explain the respective penalties of over-renewal and under-intervention.</x:v>
      </x:c>
      <x:c r="F36" s="360" t="str">
        <x:v>Recommend a path and explain the respective penalties of over-renewal and under-intervention.</x:v>
      </x:c>
      <x:c r="G36" s="360" t="str">
        <x:v>Recommend a path and explain the respective penalties of over-renewal and under-intervention.</x:v>
      </x:c>
      <x:c r="H36" s="360" t="str">
        <x:v>Recommend a path and explain the respective penalties of over-renewal and under-intervention.</x:v>
      </x:c>
      <x:c r="I36" s="360" t="str">
        <x:v>Recommend a path and explain the respective penalties of over-renewal and under-intervention.</x:v>
      </x:c>
      <x:c r="J36" s="360" t="str">
        <x:v>Recommend a path and explain the respective penalties of over-renewal and under-intervention.</x:v>
      </x:c>
      <x:c r="K36" s="360" t="str">
        <x:v>Recommend a path and explain the respective penalties of over-renewal and under-intervention.</x:v>
      </x:c>
      <x:c r="L36" s="360" t="str">
        <x:v>Recommend a path and explain the respective penalties of over-renewal and under-intervention.</x:v>
      </x:c>
      <x:c r="M36" s="360" t="str">
        <x:v>Recommend a path and explain the respective penalties of over-renewal and under-intervention.</x:v>
      </x:c>
      <x:c r="N36" s="360" t="str">
        <x:v>Recommend a path and explain the respective penalties of over-renewal and under-intervention.</x:v>
      </x:c>
      <x:c r="O36" s="360" t="str">
        <x:v>Recommend a path and explain the respective penalties of over-renewal and under-intervention.</x:v>
      </x:c>
    </x:row>
    <x:row r="37">
      <x:c r="A37" s="160"/>
      <x:c r="B37" s="160"/>
      <x:c r="C37" s="160"/>
      <x:c r="D37" s="160"/>
      <x:c r="E37" s="160"/>
      <x:c r="F37" s="160"/>
      <x:c r="G37" s="160"/>
      <x:c r="H37" s="160"/>
      <x:c r="I37" s="160"/>
      <x:c r="J37" s="160"/>
      <x:c r="K37" s="160"/>
      <x:c r="L37" s="160"/>
      <x:c r="M37" s="160"/>
      <x:c r="N37" s="160"/>
      <x:c r="O37" s="160"/>
    </x:row>
    <x:row r="38" ht="23" customHeight="1">
      <x:c r="A38" s="375" t="str">
        <x:v>Assessment principle: a design that fails one operating state is infeasible. State all assumptions and support the recommendation with worst-state evidence.</x:v>
      </x:c>
      <x:c r="B38" s="376" t="str">
        <x:v>Assessment principle: a design that fails one operating state is infeasible. State all assumptions and support the recommendation with worst-state evidence.</x:v>
      </x:c>
      <x:c r="C38" s="376" t="str">
        <x:v>Assessment principle: a design that fails one operating state is infeasible. State all assumptions and support the recommendation with worst-state evidence.</x:v>
      </x:c>
      <x:c r="D38" s="376" t="str">
        <x:v>Assessment principle: a design that fails one operating state is infeasible. State all assumptions and support the recommendation with worst-state evidence.</x:v>
      </x:c>
      <x:c r="E38" s="376" t="str">
        <x:v>Assessment principle: a design that fails one operating state is infeasible. State all assumptions and support the recommendation with worst-state evidence.</x:v>
      </x:c>
      <x:c r="F38" s="376" t="str">
        <x:v>Assessment principle: a design that fails one operating state is infeasible. State all assumptions and support the recommendation with worst-state evidence.</x:v>
      </x:c>
      <x:c r="G38" s="376" t="str">
        <x:v>Assessment principle: a design that fails one operating state is infeasible. State all assumptions and support the recommendation with worst-state evidence.</x:v>
      </x:c>
      <x:c r="H38" s="376" t="str">
        <x:v>Assessment principle: a design that fails one operating state is infeasible. State all assumptions and support the recommendation with worst-state evidence.</x:v>
      </x:c>
      <x:c r="I38" s="376" t="str">
        <x:v>Assessment principle: a design that fails one operating state is infeasible. State all assumptions and support the recommendation with worst-state evidence.</x:v>
      </x:c>
      <x:c r="J38" s="376" t="str">
        <x:v>Assessment principle: a design that fails one operating state is infeasible. State all assumptions and support the recommendation with worst-state evidence.</x:v>
      </x:c>
      <x:c r="K38" s="376" t="str">
        <x:v>Assessment principle: a design that fails one operating state is infeasible. State all assumptions and support the recommendation with worst-state evidence.</x:v>
      </x:c>
      <x:c r="L38" s="376" t="str">
        <x:v>Assessment principle: a design that fails one operating state is infeasible. State all assumptions and support the recommendation with worst-state evidence.</x:v>
      </x:c>
      <x:c r="M38" s="376" t="str">
        <x:v>Assessment principle: a design that fails one operating state is infeasible. State all assumptions and support the recommendation with worst-state evidence.</x:v>
      </x:c>
      <x:c r="N38" s="376" t="str">
        <x:v>Assessment principle: a design that fails one operating state is infeasible. State all assumptions and support the recommendation with worst-state evidence.</x:v>
      </x:c>
      <x:c r="O38" s="377" t="str">
        <x:v>Assessment principle: a design that fails one operating state is infeasible. State all assumptions and support the recommendation with worst-state evidence.</x:v>
      </x:c>
    </x:row>
    <x:row r="39" ht="23" customHeight="1">
      <x:c r="A39" s="378" t="str">
        <x:v>Assessment principle: a design that fails one operating state is infeasible. State all assumptions and support the recommendation with worst-state evidence.</x:v>
      </x:c>
      <x:c r="B39" s="379" t="str">
        <x:v>Assessment principle: a design that fails one operating state is infeasible. State all assumptions and support the recommendation with worst-state evidence.</x:v>
      </x:c>
      <x:c r="C39" s="379" t="str">
        <x:v>Assessment principle: a design that fails one operating state is infeasible. State all assumptions and support the recommendation with worst-state evidence.</x:v>
      </x:c>
      <x:c r="D39" s="379" t="str">
        <x:v>Assessment principle: a design that fails one operating state is infeasible. State all assumptions and support the recommendation with worst-state evidence.</x:v>
      </x:c>
      <x:c r="E39" s="379" t="str">
        <x:v>Assessment principle: a design that fails one operating state is infeasible. State all assumptions and support the recommendation with worst-state evidence.</x:v>
      </x:c>
      <x:c r="F39" s="379" t="str">
        <x:v>Assessment principle: a design that fails one operating state is infeasible. State all assumptions and support the recommendation with worst-state evidence.</x:v>
      </x:c>
      <x:c r="G39" s="379" t="str">
        <x:v>Assessment principle: a design that fails one operating state is infeasible. State all assumptions and support the recommendation with worst-state evidence.</x:v>
      </x:c>
      <x:c r="H39" s="379" t="str">
        <x:v>Assessment principle: a design that fails one operating state is infeasible. State all assumptions and support the recommendation with worst-state evidence.</x:v>
      </x:c>
      <x:c r="I39" s="379" t="str">
        <x:v>Assessment principle: a design that fails one operating state is infeasible. State all assumptions and support the recommendation with worst-state evidence.</x:v>
      </x:c>
      <x:c r="J39" s="379" t="str">
        <x:v>Assessment principle: a design that fails one operating state is infeasible. State all assumptions and support the recommendation with worst-state evidence.</x:v>
      </x:c>
      <x:c r="K39" s="379" t="str">
        <x:v>Assessment principle: a design that fails one operating state is infeasible. State all assumptions and support the recommendation with worst-state evidence.</x:v>
      </x:c>
      <x:c r="L39" s="379" t="str">
        <x:v>Assessment principle: a design that fails one operating state is infeasible. State all assumptions and support the recommendation with worst-state evidence.</x:v>
      </x:c>
      <x:c r="M39" s="379" t="str">
        <x:v>Assessment principle: a design that fails one operating state is infeasible. State all assumptions and support the recommendation with worst-state evidence.</x:v>
      </x:c>
      <x:c r="N39" s="379" t="str">
        <x:v>Assessment principle: a design that fails one operating state is infeasible. State all assumptions and support the recommendation with worst-state evidence.</x:v>
      </x:c>
      <x:c r="O39" s="380" t="str">
        <x:v>Assessment principle: a design that fails one operating state is infeasible. State all assumptions and support the recommendation with worst-state evidence.</x:v>
      </x:c>
    </x:row>
    <x:row r="40">
      <x:c r="A40" s="160"/>
      <x:c r="B40" s="160"/>
      <x:c r="C40" s="160"/>
      <x:c r="D40" s="160"/>
      <x:c r="E40" s="160"/>
      <x:c r="F40" s="160"/>
      <x:c r="G40" s="160"/>
      <x:c r="H40" s="160"/>
      <x:c r="I40" s="160"/>
      <x:c r="J40" s="160"/>
      <x:c r="K40" s="160"/>
      <x:c r="L40" s="160"/>
      <x:c r="M40" s="160"/>
      <x:c r="N40" s="160"/>
      <x:c r="O40" s="16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row r="61">
      <x:c r="A61"/>
      <x:c r="B61"/>
      <x:c r="C61"/>
      <x:c r="D61"/>
      <x:c r="E61"/>
      <x:c r="F61"/>
      <x:c r="G61"/>
      <x:c r="H61"/>
      <x:c r="I61"/>
      <x:c r="J61"/>
      <x:c r="K61"/>
      <x:c r="L61"/>
      <x:c r="M61"/>
      <x:c r="N61"/>
      <x:c r="O61"/>
    </x:row>
    <x:row r="62">
      <x:c r="A62"/>
      <x:c r="B62"/>
      <x:c r="C62"/>
      <x:c r="D62"/>
      <x:c r="E62"/>
      <x:c r="F62"/>
      <x:c r="G62"/>
      <x:c r="H62"/>
      <x:c r="I62"/>
      <x:c r="J62"/>
      <x:c r="K62"/>
      <x:c r="L62"/>
      <x:c r="M62"/>
      <x:c r="N62"/>
      <x:c r="O62"/>
    </x:row>
    <x:row r="63">
      <x:c r="A63"/>
      <x:c r="B63"/>
      <x:c r="C63"/>
      <x:c r="D63"/>
      <x:c r="E63"/>
      <x:c r="F63"/>
      <x:c r="G63"/>
      <x:c r="H63"/>
      <x:c r="I63"/>
      <x:c r="J63"/>
      <x:c r="K63"/>
      <x:c r="L63"/>
      <x:c r="M63"/>
      <x:c r="N63"/>
      <x:c r="O63"/>
    </x:row>
    <x:row r="64">
      <x:c r="A64"/>
      <x:c r="B64"/>
      <x:c r="C64"/>
      <x:c r="D64"/>
      <x:c r="E64"/>
      <x:c r="F64"/>
      <x:c r="G64"/>
      <x:c r="H64"/>
      <x:c r="I64"/>
      <x:c r="J64"/>
      <x:c r="K64"/>
      <x:c r="L64"/>
      <x:c r="M64"/>
      <x:c r="N64"/>
      <x:c r="O64"/>
    </x:row>
    <x:row r="65">
      <x:c r="A65"/>
      <x:c r="B65"/>
      <x:c r="C65"/>
      <x:c r="D65"/>
      <x:c r="E65"/>
      <x:c r="F65"/>
      <x:c r="G65"/>
      <x:c r="H65"/>
      <x:c r="I65"/>
      <x:c r="J65"/>
      <x:c r="K65"/>
      <x:c r="L65"/>
      <x:c r="M65"/>
      <x:c r="N65"/>
      <x:c r="O65"/>
    </x:row>
  </x:sheetData>
  <x:mergeCells>
    <x:mergeCell ref="A11:O11"/>
    <x:mergeCell ref="A17:O17"/>
    <x:mergeCell ref="B18:O18"/>
    <x:mergeCell ref="B19:O19"/>
    <x:mergeCell ref="B20:O20"/>
    <x:mergeCell ref="B21:O21"/>
    <x:mergeCell ref="B22:O22"/>
    <x:mergeCell ref="B23:O23"/>
    <x:mergeCell ref="A25:O25"/>
    <x:mergeCell ref="A26:O29"/>
    <x:mergeCell ref="A31:O31"/>
    <x:mergeCell ref="B32:O32"/>
    <x:mergeCell ref="B33:O33"/>
    <x:mergeCell ref="A1:O2"/>
    <x:mergeCell ref="A3:O3"/>
    <x:mergeCell ref="A5:O5"/>
    <x:mergeCell ref="A6:O9"/>
    <x:mergeCell ref="B34:O34"/>
    <x:mergeCell ref="B35:O35"/>
    <x:mergeCell ref="B36:O36"/>
    <x:mergeCell ref="A38:O3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0" hidden="0" customWidth="1"/>
    <x:col min="4" max="4" width="1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4" hidden="0" customWidth="1"/>
    <x:col min="14" max="14" width="18" hidden="0" customWidth="1"/>
    <x:col min="15" max="15" width="18" hidden="0" customWidth="1"/>
  </x:cols>
  <x:sheetData>
    <x:row r="1">
      <x:c r="A1" s="5" t="str">
        <x:v>Gold answer | D6_6c-H03</x:v>
      </x:c>
      <x:c r="B1" s="5"/>
      <x:c r="C1" s="5"/>
      <x:c r="D1" s="5"/>
      <x:c r="E1" s="5"/>
      <x:c r="F1" s="5"/>
      <x:c r="G1" s="5"/>
      <x:c r="H1" s="5"/>
      <x:c r="I1" s="5"/>
      <x:c r="J1" s="5"/>
      <x:c r="K1" s="5"/>
      <x:c r="L1" s="5"/>
      <x:c r="M1" s="5"/>
      <x:c r="N1" s="5"/>
      <x:c r="O1" s="5"/>
    </x:row>
    <x:row r="2">
      <x:c r="A2" s="5"/>
      <x:c r="B2" s="5"/>
      <x:c r="C2" s="5"/>
      <x:c r="D2" s="5"/>
      <x:c r="E2" s="5"/>
      <x:c r="F2" s="5"/>
      <x:c r="G2" s="5"/>
      <x:c r="H2" s="5"/>
      <x:c r="I2" s="5"/>
      <x:c r="J2" s="5"/>
      <x:c r="K2" s="5"/>
      <x:c r="L2" s="5"/>
      <x:c r="M2" s="5"/>
      <x:c r="N2" s="5"/>
      <x:c r="O2" s="5"/>
    </x:row>
    <x:row r="3">
      <x:c r="A3" s="8" t="str">
        <x:v>Validated 30-call trajectory and joint decision</x:v>
      </x:c>
      <x:c r="B3" s="8"/>
      <x:c r="C3" s="8"/>
      <x:c r="D3" s="8"/>
      <x:c r="E3" s="8"/>
      <x:c r="F3" s="8"/>
      <x:c r="G3" s="8"/>
      <x:c r="H3" s="8"/>
      <x:c r="I3" s="8"/>
      <x:c r="J3" s="8"/>
      <x:c r="K3" s="8"/>
      <x:c r="L3" s="8"/>
      <x:c r="M3" s="8"/>
      <x:c r="N3" s="8"/>
      <x:c r="O3" s="8"/>
    </x:row>
    <x:row r="4">
      <x:c r="A4" s="1"/>
      <x:c r="B4" s="1"/>
      <x:c r="C4" s="1"/>
      <x:c r="D4" s="1"/>
      <x:c r="E4" s="1"/>
      <x:c r="F4" s="1"/>
      <x:c r="G4" s="1"/>
      <x:c r="H4" s="1"/>
      <x:c r="I4" s="1"/>
      <x:c r="J4" s="1"/>
      <x:c r="K4" s="1"/>
      <x:c r="L4" s="1"/>
      <x:c r="M4" s="1"/>
      <x:c r="N4" s="1"/>
      <x:c r="O4" s="1"/>
    </x:row>
    <x:row r="5">
      <x:c r="A5" s="11" t="str">
        <x:v>Final engineering conclusion</x:v>
      </x:c>
      <x:c r="B5" s="11" t="str">
        <x:v>Final engineering conclusion</x:v>
      </x:c>
      <x:c r="C5" s="11" t="str">
        <x:v>Final engineering conclusion</x:v>
      </x:c>
      <x:c r="D5" s="11" t="str">
        <x:v>Final engineering conclusion</x:v>
      </x:c>
      <x:c r="E5" s="11" t="str">
        <x:v>Final engineering conclusion</x:v>
      </x:c>
      <x:c r="F5" s="11" t="str">
        <x:v>Final engineering conclusion</x:v>
      </x:c>
      <x:c r="G5" s="11" t="str">
        <x:v>Final engineering conclusion</x:v>
      </x:c>
      <x:c r="H5" s="11" t="str">
        <x:v>Final engineering conclusion</x:v>
      </x:c>
      <x:c r="I5" s="11" t="str">
        <x:v>Final engineering conclusion</x:v>
      </x:c>
      <x:c r="J5" s="11" t="str">
        <x:v>Final engineering conclusion</x:v>
      </x:c>
      <x:c r="K5" s="11" t="str">
        <x:v>Final engineering conclusion</x:v>
      </x:c>
      <x:c r="L5" s="11" t="str">
        <x:v>Final engineering conclusion</x:v>
      </x:c>
      <x:c r="M5" s="11" t="str">
        <x:v>Final engineering conclusion</x:v>
      </x:c>
      <x:c r="N5" s="11" t="str">
        <x:v>Final engineering conclusion</x:v>
      </x:c>
      <x:c r="O5" s="11" t="str">
        <x:v>Final engineering conclusion</x:v>
      </x:c>
    </x:row>
    <x:row r="6">
      <x:c r="A6" s="105" t="str">
        <x:v>Recommend C — Replace 40% in stages. Across all three states, worst membrane water is 0.3583 kg/s, maximum permeate NaCl is 418.5 mg/L, maximum CP is 1.329, minimum plant product is 0.039996 m³/s and maximum SEC is 2.701 kWh/m³. The decisive metric is adjusted water cost $1.211/m³ (weighted LCOW 1.091 plus 0.120 intervention surcharge).</x:v>
      </x:c>
      <x:c r="B6" s="106"/>
      <x:c r="C6" s="106"/>
      <x:c r="D6" s="106"/>
      <x:c r="E6" s="106"/>
      <x:c r="F6" s="106"/>
      <x:c r="G6" s="106"/>
      <x:c r="H6" s="106"/>
      <x:c r="I6" s="106"/>
      <x:c r="J6" s="106"/>
      <x:c r="K6" s="106"/>
      <x:c r="L6" s="106"/>
      <x:c r="M6" s="106"/>
      <x:c r="N6" s="106"/>
      <x:c r="O6" s="107"/>
    </x:row>
    <x:row r="7">
      <x:c r="A7" s="108"/>
      <x:c r="B7" s="109"/>
      <x:c r="C7" s="109"/>
      <x:c r="D7" s="109"/>
      <x:c r="E7" s="109"/>
      <x:c r="F7" s="109"/>
      <x:c r="G7" s="109"/>
      <x:c r="H7" s="109"/>
      <x:c r="I7" s="109"/>
      <x:c r="J7" s="109"/>
      <x:c r="K7" s="109"/>
      <x:c r="L7" s="109"/>
      <x:c r="M7" s="109"/>
      <x:c r="N7" s="109"/>
      <x:c r="O7" s="110"/>
    </x:row>
    <x:row r="8">
      <x:c r="A8" s="111"/>
      <x:c r="B8" s="112"/>
      <x:c r="C8" s="112"/>
      <x:c r="D8" s="112"/>
      <x:c r="E8" s="112"/>
      <x:c r="F8" s="112"/>
      <x:c r="G8" s="112"/>
      <x:c r="H8" s="112"/>
      <x:c r="I8" s="112"/>
      <x:c r="J8" s="112"/>
      <x:c r="K8" s="112"/>
      <x:c r="L8" s="112"/>
      <x:c r="M8" s="112"/>
      <x:c r="N8" s="112"/>
      <x:c r="O8" s="113"/>
    </x:row>
    <x:row r="9">
      <x:c r="A9" s="1"/>
      <x:c r="B9" s="1"/>
      <x:c r="C9" s="1"/>
      <x:c r="D9" s="1"/>
      <x:c r="E9" s="1"/>
      <x:c r="F9" s="1"/>
      <x:c r="G9" s="1"/>
      <x:c r="H9" s="1"/>
      <x:c r="I9" s="1"/>
      <x:c r="J9" s="1"/>
      <x:c r="K9" s="1"/>
      <x:c r="L9" s="1"/>
      <x:c r="M9" s="1"/>
      <x:c r="N9" s="1"/>
      <x:c r="O9" s="1"/>
    </x:row>
    <x:row r="10">
      <x:c r="A10" s="11" t="str">
        <x:v>Branch A — 15 independent simulate_ro calls</x:v>
      </x:c>
      <x:c r="B10" s="11" t="str">
        <x:v>Branch A — 15 independent simulate_ro calls</x:v>
      </x:c>
      <x:c r="C10" s="11" t="str">
        <x:v>Branch A — 15 independent simulate_ro calls</x:v>
      </x:c>
      <x:c r="D10" s="11" t="str">
        <x:v>Branch A — 15 independent simulate_ro calls</x:v>
      </x:c>
      <x:c r="E10" s="11" t="str">
        <x:v>Branch A — 15 independent simulate_ro calls</x:v>
      </x:c>
      <x:c r="F10" s="11" t="str">
        <x:v>Branch A — 15 independent simulate_ro calls</x:v>
      </x:c>
      <x:c r="G10" s="11" t="str">
        <x:v>Branch A — 15 independent simulate_ro calls</x:v>
      </x:c>
      <x:c r="H10" s="11" t="str">
        <x:v>Branch A — 15 independent simulate_ro calls</x:v>
      </x:c>
      <x:c r="I10" s="11" t="str">
        <x:v>Branch A — 15 independent simulate_ro calls</x:v>
      </x:c>
      <x:c r="J10" s="1"/>
      <x:c r="K10" s="1"/>
      <x:c r="L10" s="1"/>
      <x:c r="M10" s="1"/>
      <x:c r="N10" s="1"/>
      <x:c r="O10" s="1"/>
    </x:row>
    <x:row r="11">
      <x:c r="A11" s="44" t="str">
        <x:v>Call ID</x:v>
      </x:c>
      <x:c r="B11" s="44" t="str">
        <x:v>Strategy</x:v>
      </x:c>
      <x:c r="C11" s="44" t="str">
        <x:v>State</x:v>
      </x:c>
      <x:c r="D11" s="44" t="str">
        <x:v>Water kg/s</x:v>
      </x:c>
      <x:c r="E11" s="44" t="str">
        <x:v>NaCl mg/L</x:v>
      </x:c>
      <x:c r="F11" s="44" t="str">
        <x:v>Limit</x:v>
      </x:c>
      <x:c r="G11" s="44" t="str">
        <x:v>Inlet CP</x:v>
      </x:c>
      <x:c r="H11" s="44" t="str">
        <x:v>Recovery %</x:v>
      </x:c>
      <x:c r="I11" s="44" t="str">
        <x:v>Membrane</x:v>
      </x:c>
      <x:c r="J11" s="1"/>
      <x:c r="K11" s="1"/>
      <x:c r="L11" s="1"/>
      <x:c r="M11" s="1"/>
      <x:c r="N11" s="1"/>
      <x:c r="O11" s="1"/>
    </x:row>
    <x:row r="12">
      <x:c r="A12" s="48" t="str">
        <x:v>A-S1</x:v>
      </x:c>
      <x:c r="B12" s="48" t="str">
        <x:v>A</x:v>
      </x:c>
      <x:c r="C12" s="48" t="str">
        <x:v>Low-salinity season</x:v>
      </x:c>
      <x:c r="D12" s="50" t="n">
        <x:v>0.39865752348962824</x:v>
      </x:c>
      <x:c r="E12" s="50" t="n">
        <x:v>412.9397904710401</x:v>
      </x:c>
      <x:c r="F12" s="50" t="n">
        <x:v>430</x:v>
      </x:c>
      <x:c r="G12" s="50" t="n">
        <x:v>1.2730973211369807</x:v>
      </x:c>
      <x:c r="H12" s="50" t="n">
        <x:v>40.83908708422807</x:v>
      </x:c>
      <x:c r="I12" s="48" t="str">
        <x:f>IF(AND(D12&gt;=$O$47,E12&lt;=F12,G12&lt;=$O$48),"PASS","FAIL")</x:f>
        <x:v>PASS</x:v>
      </x:c>
      <x:c r="J12" s="1"/>
      <x:c r="K12" s="1"/>
      <x:c r="L12" s="1"/>
      <x:c r="M12" s="1"/>
      <x:c r="N12" s="1"/>
      <x:c r="O12" s="1"/>
    </x:row>
    <x:row r="13">
      <x:c r="A13" s="48" t="str">
        <x:v>A-S2</x:v>
      </x:c>
      <x:c r="B13" s="48" t="str">
        <x:v>A</x:v>
      </x:c>
      <x:c r="C13" s="48" t="str">
        <x:v>Normal season</x:v>
      </x:c>
      <x:c r="D13" s="50" t="n">
        <x:v>0.3697618848546317</x:v>
      </x:c>
      <x:c r="E13" s="50" t="n">
        <x:v>468.11056789820714</x:v>
      </x:c>
      <x:c r="F13" s="50" t="n">
        <x:v>430</x:v>
      </x:c>
      <x:c r="G13" s="50" t="n">
        <x:v>1.2522459311296836</x:v>
      </x:c>
      <x:c r="H13" s="50" t="n">
        <x:v>37.963769956051884</x:v>
      </x:c>
      <x:c r="I13" s="48" t="str">
        <x:f>IF(AND(D13&gt;=$O$47,E13&lt;=F13,G13&lt;=$O$48),"PASS","FAIL")</x:f>
        <x:v>FAIL</x:v>
      </x:c>
      <x:c r="J13" s="1"/>
      <x:c r="K13" s="1"/>
      <x:c r="L13" s="1"/>
      <x:c r="M13" s="1"/>
      <x:c r="N13" s="1"/>
      <x:c r="O13" s="1"/>
    </x:row>
    <x:row r="14">
      <x:c r="A14" s="48" t="str">
        <x:v>A-S3</x:v>
      </x:c>
      <x:c r="B14" s="48" t="str">
        <x:v>A</x:v>
      </x:c>
      <x:c r="C14" s="48" t="str">
        <x:v>High-salinity season</x:v>
      </x:c>
      <x:c r="D14" s="50" t="n">
        <x:v>0.3258289152850947</x:v>
      </x:c>
      <x:c r="E14" s="50" t="n">
        <x:v>544.0213152703268</x:v>
      </x:c>
      <x:c r="F14" s="50" t="n">
        <x:v>430</x:v>
      </x:c>
      <x:c r="G14" s="50" t="n">
        <x:v>1.220352650656392</x:v>
      </x:c>
      <x:c r="H14" s="50" t="n">
        <x:v>33.52802535776821</x:v>
      </x:c>
      <x:c r="I14" s="48" t="str">
        <x:f>IF(AND(D14&gt;=$O$47,E14&lt;=F14,G14&lt;=$O$48),"PASS","FAIL")</x:f>
        <x:v>FAIL</x:v>
      </x:c>
      <x:c r="J14" s="1"/>
      <x:c r="K14" s="1"/>
      <x:c r="L14" s="1"/>
      <x:c r="M14" s="1"/>
      <x:c r="N14" s="1"/>
      <x:c r="O14" s="1"/>
    </x:row>
    <x:row r="15">
      <x:c r="A15" s="48" t="str">
        <x:v>B-S1</x:v>
      </x:c>
      <x:c r="B15" s="48" t="str">
        <x:v>B</x:v>
      </x:c>
      <x:c r="C15" s="48" t="str">
        <x:v>Low-salinity season</x:v>
      </x:c>
      <x:c r="D15" s="50" t="n">
        <x:v>0.41334963403471947</x:v>
      </x:c>
      <x:c r="E15" s="50" t="n">
        <x:v>381.1708142617927</x:v>
      </x:c>
      <x:c r="F15" s="50" t="n">
        <x:v>430</x:v>
      </x:c>
      <x:c r="G15" s="50" t="n">
        <x:v>1.3009229040467296</x:v>
      </x:c>
      <x:c r="H15" s="50" t="n">
        <x:v>42.34384541613662</x:v>
      </x:c>
      <x:c r="I15" s="48" t="str">
        <x:f>IF(AND(D15&gt;=$O$47,E15&lt;=F15,G15&lt;=$O$48),"PASS","FAIL")</x:f>
        <x:v>PASS</x:v>
      </x:c>
      <x:c r="J15" s="1"/>
      <x:c r="K15" s="1"/>
      <x:c r="L15" s="1"/>
      <x:c r="M15" s="1"/>
      <x:c r="N15" s="1"/>
      <x:c r="O15" s="1"/>
    </x:row>
    <x:row r="16">
      <x:c r="A16" s="48" t="str">
        <x:v>B-S2</x:v>
      </x:c>
      <x:c r="B16" s="48" t="str">
        <x:v>B</x:v>
      </x:c>
      <x:c r="C16" s="48" t="str">
        <x:v>Normal season</x:v>
      </x:c>
      <x:c r="D16" s="50" t="n">
        <x:v>0.38196385252743786</x:v>
      </x:c>
      <x:c r="E16" s="50" t="n">
        <x:v>432.08960065020517</x:v>
      </x:c>
      <x:c r="F16" s="50" t="n">
        <x:v>430</x:v>
      </x:c>
      <x:c r="G16" s="50" t="n">
        <x:v>1.2760104124466116</x:v>
      </x:c>
      <x:c r="H16" s="50" t="n">
        <x:v>39.21621613183069</x:v>
      </x:c>
      <x:c r="I16" s="48" t="str">
        <x:f>IF(AND(D16&gt;=$O$47,E16&lt;=F16,G16&lt;=$O$48),"PASS","FAIL")</x:f>
        <x:v>FAIL</x:v>
      </x:c>
      <x:c r="J16" s="1"/>
      <x:c r="K16" s="1"/>
      <x:c r="L16" s="1"/>
      <x:c r="M16" s="1"/>
      <x:c r="N16" s="1"/>
      <x:c r="O16" s="1"/>
    </x:row>
    <x:row r="17">
      <x:c r="A17" s="48" t="str">
        <x:v>B-S3</x:v>
      </x:c>
      <x:c r="B17" s="48" t="str">
        <x:v>B</x:v>
      </x:c>
      <x:c r="C17" s="48" t="str">
        <x:v>High-salinity season</x:v>
      </x:c>
      <x:c r="D17" s="50" t="n">
        <x:v>0.3342404077209259</x:v>
      </x:c>
      <x:c r="E17" s="50" t="n">
        <x:v>503.06104549683903</x:v>
      </x:c>
      <x:c r="F17" s="50" t="n">
        <x:v>430</x:v>
      </x:c>
      <x:c r="G17" s="50" t="n">
        <x:v>1.2382975781399286</x:v>
      </x:c>
      <x:c r="H17" s="50" t="n">
        <x:v>34.393234316514175</x:v>
      </x:c>
      <x:c r="I17" s="48" t="str">
        <x:f>IF(AND(D17&gt;=$O$47,E17&lt;=F17,G17&lt;=$O$48),"PASS","FAIL")</x:f>
        <x:v>FAIL</x:v>
      </x:c>
      <x:c r="J17" s="1"/>
      <x:c r="K17" s="1"/>
      <x:c r="L17" s="1"/>
      <x:c r="M17" s="1"/>
      <x:c r="N17" s="1"/>
      <x:c r="O17" s="1"/>
    </x:row>
    <x:row r="18">
      <x:c r="A18" s="48" t="str">
        <x:v>C-S1</x:v>
      </x:c>
      <x:c r="B18" s="48" t="str">
        <x:v>C</x:v>
      </x:c>
      <x:c r="C18" s="48" t="str">
        <x:v>Low-salinity season</x:v>
      </x:c>
      <x:c r="D18" s="50" t="n">
        <x:v>0.4427129265600505</x:v>
      </x:c>
      <x:c r="E18" s="50" t="n">
        <x:v>320.03795835254834</x:v>
      </x:c>
      <x:c r="F18" s="50" t="n">
        <x:v>430</x:v>
      </x:c>
      <x:c r="G18" s="50" t="n">
        <x:v>1.329053077688669</x:v>
      </x:c>
      <x:c r="H18" s="50" t="n">
        <x:v>45.351175563478556</x:v>
      </x:c>
      <x:c r="I18" s="48" t="str">
        <x:f>IF(AND(D18&gt;=$O$47,E18&lt;=F18,G18&lt;=$O$48),"PASS","FAIL")</x:f>
        <x:v>PASS</x:v>
      </x:c>
      <x:c r="J18" s="1"/>
      <x:c r="K18" s="1"/>
      <x:c r="L18" s="1"/>
      <x:c r="M18" s="1"/>
      <x:c r="N18" s="1"/>
      <x:c r="O18" s="1"/>
    </x:row>
    <x:row r="19">
      <x:c r="A19" s="48" t="str">
        <x:v>C-S2</x:v>
      </x:c>
      <x:c r="B19" s="48" t="str">
        <x:v>C</x:v>
      </x:c>
      <x:c r="C19" s="48" t="str">
        <x:v>Normal season</x:v>
      </x:c>
      <x:c r="D19" s="50" t="n">
        <x:v>0.4092727287324066</x:v>
      </x:c>
      <x:c r="E19" s="50" t="n">
        <x:v>361.368150076448</x:v>
      </x:c>
      <x:c r="F19" s="50" t="n">
        <x:v>430</x:v>
      </x:c>
      <x:c r="G19" s="50" t="n">
        <x:v>1.3010509197602063</x:v>
      </x:c>
      <x:c r="H19" s="50" t="n">
        <x:v>42.0193018873757</x:v>
      </x:c>
      <x:c r="I19" s="48" t="str">
        <x:f>IF(AND(D19&gt;=$O$47,E19&lt;=F19,G19&lt;=$O$48),"PASS","FAIL")</x:f>
        <x:v>PASS</x:v>
      </x:c>
      <x:c r="J19" s="1"/>
      <x:c r="K19" s="1"/>
      <x:c r="L19" s="1"/>
      <x:c r="M19" s="1"/>
      <x:c r="N19" s="1"/>
      <x:c r="O19" s="1"/>
    </x:row>
    <x:row r="20">
      <x:c r="A20" s="48" t="str">
        <x:v>C-S3</x:v>
      </x:c>
      <x:c r="B20" s="48" t="str">
        <x:v>C</x:v>
      </x:c>
      <x:c r="C20" s="48" t="str">
        <x:v>High-salinity season</x:v>
      </x:c>
      <x:c r="D20" s="50" t="n">
        <x:v>0.3583210337318578</x:v>
      </x:c>
      <x:c r="E20" s="50" t="n">
        <x:v>418.5171391380635</x:v>
      </x:c>
      <x:c r="F20" s="50" t="n">
        <x:v>430</x:v>
      </x:c>
      <x:c r="G20" s="50" t="n">
        <x:v>1.2589382683006078</x:v>
      </x:c>
      <x:c r="H20" s="50" t="n">
        <x:v>36.8703722465407</x:v>
      </x:c>
      <x:c r="I20" s="48" t="str">
        <x:f>IF(AND(D20&gt;=$O$47,E20&lt;=F20,G20&lt;=$O$48),"PASS","FAIL")</x:f>
        <x:v>PASS</x:v>
      </x:c>
      <x:c r="J20" s="1"/>
      <x:c r="K20" s="1"/>
      <x:c r="L20" s="1"/>
      <x:c r="M20" s="1"/>
      <x:c r="N20" s="1"/>
      <x:c r="O20" s="1"/>
    </x:row>
    <x:row r="21">
      <x:c r="A21" s="48" t="str">
        <x:v>D-S1</x:v>
      </x:c>
      <x:c r="B21" s="48" t="str">
        <x:v>D</x:v>
      </x:c>
      <x:c r="C21" s="48" t="str">
        <x:v>Low-salinity season</x:v>
      </x:c>
      <x:c r="D21" s="50" t="n">
        <x:v>0.41880189051240657</x:v>
      </x:c>
      <x:c r="E21" s="50" t="n">
        <x:v>282.3382528805025</x:v>
      </x:c>
      <x:c r="F21" s="50" t="n">
        <x:v>430</x:v>
      </x:c>
      <x:c r="G21" s="50" t="n">
        <x:v>1.320697728438534</x:v>
      </x:c>
      <x:c r="H21" s="50" t="n">
        <x:v>42.90135794865577</x:v>
      </x:c>
      <x:c r="I21" s="48" t="str">
        <x:f>IF(AND(D21&gt;=$O$47,E21&lt;=F21,G21&lt;=$O$48),"PASS","FAIL")</x:f>
        <x:v>PASS</x:v>
      </x:c>
      <x:c r="J21" s="1"/>
      <x:c r="K21" s="1"/>
      <x:c r="L21" s="1"/>
      <x:c r="M21" s="1"/>
      <x:c r="N21" s="1"/>
      <x:c r="O21" s="1"/>
    </x:row>
    <x:row r="22">
      <x:c r="A22" s="48" t="str">
        <x:v>D-S2</x:v>
      </x:c>
      <x:c r="B22" s="48" t="str">
        <x:v>D</x:v>
      </x:c>
      <x:c r="C22" s="48" t="str">
        <x:v>Normal season</x:v>
      </x:c>
      <x:c r="D22" s="50" t="n">
        <x:v>0.3852224485299145</x:v>
      </x:c>
      <x:c r="E22" s="50" t="n">
        <x:v>320.6830128660469</x:v>
      </x:c>
      <x:c r="F22" s="50" t="n">
        <x:v>430</x:v>
      </x:c>
      <x:c r="G22" s="50" t="n">
        <x:v>1.2920462912331139</x:v>
      </x:c>
      <x:c r="H22" s="50" t="n">
        <x:v>39.54971509612766</x:v>
      </x:c>
      <x:c r="I22" s="48" t="str">
        <x:f>IF(AND(D22&gt;=$O$47,E22&lt;=F22,G22&lt;=$O$48),"PASS","FAIL")</x:f>
        <x:v>PASS</x:v>
      </x:c>
      <x:c r="J22" s="1"/>
      <x:c r="K22" s="1"/>
      <x:c r="L22" s="1"/>
      <x:c r="M22" s="1"/>
      <x:c r="N22" s="1"/>
      <x:c r="O22" s="1"/>
    </x:row>
    <x:row r="23">
      <x:c r="A23" s="48" t="str">
        <x:v>D-S3</x:v>
      </x:c>
      <x:c r="B23" s="48" t="str">
        <x:v>D</x:v>
      </x:c>
      <x:c r="C23" s="48" t="str">
        <x:v>High-salinity season</x:v>
      </x:c>
      <x:c r="D23" s="50" t="n">
        <x:v>0.3341102693104542</x:v>
      </x:c>
      <x:c r="E23" s="50" t="n">
        <x:v>375.2987807665713</x:v>
      </x:c>
      <x:c r="F23" s="50" t="n">
        <x:v>430</x:v>
      </x:c>
      <x:c r="G23" s="50" t="n">
        <x:v>1.2490525128885022</x:v>
      </x:c>
      <x:c r="H23" s="50" t="n">
        <x:v>34.378785017421535</x:v>
      </x:c>
      <x:c r="I23" s="48" t="str">
        <x:f>IF(AND(D23&gt;=$O$47,E23&lt;=F23,G23&lt;=$O$48),"PASS","FAIL")</x:f>
        <x:v>PASS</x:v>
      </x:c>
      <x:c r="J23" s="1"/>
      <x:c r="K23" s="1"/>
      <x:c r="L23" s="1"/>
      <x:c r="M23" s="1"/>
      <x:c r="N23" s="1"/>
      <x:c r="O23" s="1"/>
    </x:row>
    <x:row r="24">
      <x:c r="A24" s="48" t="str">
        <x:v>E-S1</x:v>
      </x:c>
      <x:c r="B24" s="48" t="str">
        <x:v>E</x:v>
      </x:c>
      <x:c r="C24" s="48" t="str">
        <x:v>Low-salinity season</x:v>
      </x:c>
      <x:c r="D24" s="50" t="n">
        <x:v>0.4283518489613213</x:v>
      </x:c>
      <x:c r="E24" s="50" t="n">
        <x:v>479.23020730474667</x:v>
      </x:c>
      <x:c r="F24" s="50" t="n">
        <x:v>430</x:v>
      </x:c>
      <x:c r="G24" s="50" t="n">
        <x:v>1.2744036406179937</x:v>
      </x:c>
      <x:c r="H24" s="50" t="n">
        <x:v>43.881720021233846</x:v>
      </x:c>
      <x:c r="I24" s="48" t="str">
        <x:f>IF(AND(D24&gt;=$O$47,E24&lt;=F24,G24&lt;=$O$48),"PASS","FAIL")</x:f>
        <x:v>FAIL</x:v>
      </x:c>
      <x:c r="J24" s="1"/>
      <x:c r="K24" s="1"/>
      <x:c r="L24" s="1"/>
      <x:c r="M24" s="1"/>
      <x:c r="N24" s="1"/>
      <x:c r="O24" s="1"/>
    </x:row>
    <x:row r="25">
      <x:c r="A25" s="48" t="str">
        <x:v>E-S2</x:v>
      </x:c>
      <x:c r="B25" s="48" t="str">
        <x:v>E</x:v>
      </x:c>
      <x:c r="C25" s="48" t="str">
        <x:v>Normal season</x:v>
      </x:c>
      <x:c r="D25" s="50" t="n">
        <x:v>0.3965233441223353</x:v>
      </x:c>
      <x:c r="E25" s="50" t="n">
        <x:v>542.1848200663151</x:v>
      </x:c>
      <x:c r="F25" s="50" t="n">
        <x:v>430</x:v>
      </x:c>
      <x:c r="G25" s="50" t="n">
        <x:v>1.2522961000401183</x:v>
      </x:c>
      <x:c r="H25" s="50" t="n">
        <x:v>40.71211871480572</x:v>
      </x:c>
      <x:c r="I25" s="48" t="str">
        <x:f>IF(AND(D25&gt;=$O$47,E25&lt;=F25,G25&lt;=$O$48),"PASS","FAIL")</x:f>
        <x:v>FAIL</x:v>
      </x:c>
      <x:c r="J25" s="1"/>
      <x:c r="K25" s="1"/>
      <x:c r="L25" s="1"/>
      <x:c r="M25" s="1"/>
      <x:c r="N25" s="1"/>
      <x:c r="O25" s="1"/>
    </x:row>
    <x:row r="26">
      <x:c r="A26" s="48" t="str">
        <x:v>E-S3</x:v>
      </x:c>
      <x:c r="B26" s="48" t="str">
        <x:v>E</x:v>
      </x:c>
      <x:c r="C26" s="48" t="str">
        <x:v>High-salinity season</x:v>
      </x:c>
      <x:c r="D26" s="50" t="n">
        <x:v>0.34803118982604536</x:v>
      </x:c>
      <x:c r="E26" s="50" t="n">
        <x:v>629.2220741979013</x:v>
      </x:c>
      <x:c r="F26" s="50" t="n">
        <x:v>430</x:v>
      </x:c>
      <x:c r="G26" s="50" t="n">
        <x:v>1.2186187463792433</x:v>
      </x:c>
      <x:c r="H26" s="50" t="n">
        <x:v>35.81339082715299</x:v>
      </x:c>
      <x:c r="I26" s="48" t="str">
        <x:f>IF(AND(D26&gt;=$O$47,E26&lt;=F26,G26&lt;=$O$48),"PASS","FAIL")</x:f>
        <x:v>FAIL</x:v>
      </x:c>
      <x:c r="J26" s="1"/>
      <x:c r="K26" s="1"/>
      <x:c r="L26" s="1"/>
      <x:c r="M26" s="1"/>
      <x:c r="N26" s="1"/>
      <x:c r="O26" s="1"/>
    </x:row>
    <x:row r="27">
      <x:c r="A27" s="1"/>
      <x:c r="B27" s="1"/>
      <x:c r="C27" s="1"/>
      <x:c r="D27" s="1"/>
      <x:c r="E27" s="1"/>
      <x:c r="F27" s="1"/>
      <x:c r="G27" s="1"/>
      <x:c r="H27" s="1"/>
      <x:c r="I27" s="1"/>
      <x:c r="J27" s="1"/>
      <x:c r="K27" s="1"/>
      <x:c r="L27" s="1"/>
      <x:c r="M27" s="1"/>
      <x:c r="N27" s="1"/>
      <x:c r="O27" s="1"/>
    </x:row>
    <x:row r="28">
      <x:c r="A28" s="11" t="str">
        <x:v>Branch B — 15 independent simulate_swro_system calls</x:v>
      </x:c>
      <x:c r="B28" s="11" t="str">
        <x:v>Branch B — 15 independent simulate_swro_system calls</x:v>
      </x:c>
      <x:c r="C28" s="11" t="str">
        <x:v>Branch B — 15 independent simulate_swro_system calls</x:v>
      </x:c>
      <x:c r="D28" s="11" t="str">
        <x:v>Branch B — 15 independent simulate_swro_system calls</x:v>
      </x:c>
      <x:c r="E28" s="11" t="str">
        <x:v>Branch B — 15 independent simulate_swro_system calls</x:v>
      </x:c>
      <x:c r="F28" s="11" t="str">
        <x:v>Branch B — 15 independent simulate_swro_system calls</x:v>
      </x:c>
      <x:c r="G28" s="11" t="str">
        <x:v>Branch B — 15 independent simulate_swro_system calls</x:v>
      </x:c>
      <x:c r="H28" s="11" t="str">
        <x:v>Branch B — 15 independent simulate_swro_system calls</x:v>
      </x:c>
      <x:c r="I28" s="11" t="str">
        <x:v>Branch B — 15 independent simulate_swro_system calls</x:v>
      </x:c>
      <x:c r="J28" s="11" t="str">
        <x:v>Branch B — 15 independent simulate_swro_system calls</x:v>
      </x:c>
      <x:c r="K28" s="11" t="str">
        <x:v>Branch B — 15 independent simulate_swro_system calls</x:v>
      </x:c>
      <x:c r="L28" s="11" t="str">
        <x:v>Branch B — 15 independent simulate_swro_system calls</x:v>
      </x:c>
      <x:c r="M28" s="11" t="str">
        <x:v>Branch B — 15 independent simulate_swro_system calls</x:v>
      </x:c>
      <x:c r="N28" s="1"/>
      <x:c r="O28" s="1"/>
    </x:row>
    <x:row r="29">
      <x:c r="A29" s="44" t="str">
        <x:v>Call ID</x:v>
      </x:c>
      <x:c r="B29" s="44" t="str">
        <x:v>Strategy</x:v>
      </x:c>
      <x:c r="C29" s="44" t="str">
        <x:v>State</x:v>
      </x:c>
      <x:c r="D29" s="44" t="str">
        <x:v>Product m³/s</x:v>
      </x:c>
      <x:c r="E29" s="44" t="str">
        <x:v>Product m³/d</x:v>
      </x:c>
      <x:c r="F29" s="44" t="str">
        <x:v>Target m³/s</x:v>
      </x:c>
      <x:c r="G29" s="44" t="str">
        <x:v>Margin</x:v>
      </x:c>
      <x:c r="H29" s="44" t="str">
        <x:v>SEC</x:v>
      </x:c>
      <x:c r="I29" s="44" t="str">
        <x:v>LCOW</x:v>
      </x:c>
      <x:c r="J29" s="44" t="str">
        <x:v>CAPEX $M</x:v>
      </x:c>
      <x:c r="K29" s="44" t="str">
        <x:v>Weight</x:v>
      </x:c>
      <x:c r="L29" s="44" t="str">
        <x:v>Grid CI</x:v>
      </x:c>
      <x:c r="M29" s="44" t="str">
        <x:v>Plant</x:v>
      </x:c>
      <x:c r="N29" s="1"/>
      <x:c r="O29" s="1"/>
    </x:row>
    <x:row r="30">
      <x:c r="A30" s="48" t="str">
        <x:v>A-S1</x:v>
      </x:c>
      <x:c r="B30" s="48" t="str">
        <x:v>A</x:v>
      </x:c>
      <x:c r="C30" s="48" t="str">
        <x:v>Low-salinity season</x:v>
      </x:c>
      <x:c r="D30" s="50" t="n">
        <x:v>0.042901422741128584</x:v>
      </x:c>
      <x:c r="E30" s="50" t="n">
        <x:f>D30*86400</x:f>
        <x:v>3706.68292483351</x:v>
      </x:c>
      <x:c r="F30" s="50" t="n">
        <x:v>0.037</x:v>
      </x:c>
      <x:c r="G30" s="50" t="n">
        <x:f>D30-F30</x:f>
        <x:v>0.0059014227411285855</x:v>
      </x:c>
      <x:c r="H30" s="50" t="n">
        <x:v>2.7553077652547584</x:v>
      </x:c>
      <x:c r="I30" s="50" t="n">
        <x:v>1.1293467605721579</x:v>
      </x:c>
      <x:c r="J30" s="50" t="n">
        <x:v>13.01449350814968</x:v>
      </x:c>
      <x:c r="K30" s="49" t="n">
        <x:v>0.4</x:v>
      </x:c>
      <x:c r="L30" s="48" t="n">
        <x:v>0</x:v>
      </x:c>
      <x:c r="M30" s="48" t="str">
        <x:f>IF(AND(G30&gt;=0,H30&lt;=$O$49),"PASS","FAIL")</x:f>
        <x:v>FAIL</x:v>
      </x:c>
      <x:c r="N30" s="1"/>
      <x:c r="O30" s="1"/>
    </x:row>
    <x:row r="31">
      <x:c r="A31" s="48" t="str">
        <x:v>A-S2</x:v>
      </x:c>
      <x:c r="B31" s="48" t="str">
        <x:v>A</x:v>
      </x:c>
      <x:c r="C31" s="48" t="str">
        <x:v>Normal season</x:v>
      </x:c>
      <x:c r="D31" s="50" t="n">
        <x:v>0.04020751548663856</x:v>
      </x:c>
      <x:c r="E31" s="50" t="n">
        <x:f>D31*86400</x:f>
        <x:v>3473.929338045572</x:v>
      </x:c>
      <x:c r="F31" s="50" t="n">
        <x:v>0.037</x:v>
      </x:c>
      <x:c r="G31" s="50" t="n">
        <x:f>D31-F31</x:f>
        <x:v>0.003207515486638564</x:v>
      </x:c>
      <x:c r="H31" s="50" t="n">
        <x:v>2.7710995551662845</x:v>
      </x:c>
      <x:c r="I31" s="50" t="n">
        <x:v>1.1834838862984982</x:v>
      </x:c>
      <x:c r="J31" s="50" t="n">
        <x:v>12.851734341985773</x:v>
      </x:c>
      <x:c r="K31" s="49" t="n">
        <x:v>0.4</x:v>
      </x:c>
      <x:c r="L31" s="48" t="n">
        <x:v>0</x:v>
      </x:c>
      <x:c r="M31" s="48" t="str">
        <x:f>IF(AND(G31&gt;=0,H31&lt;=$O$49),"PASS","FAIL")</x:f>
        <x:v>FAIL</x:v>
      </x:c>
      <x:c r="N31" s="1"/>
      <x:c r="O31" s="1"/>
    </x:row>
    <x:row r="32">
      <x:c r="A32" s="48" t="str">
        <x:v>A-S3</x:v>
      </x:c>
      <x:c r="B32" s="48" t="str">
        <x:v>A</x:v>
      </x:c>
      <x:c r="C32" s="48" t="str">
        <x:v>High-salinity season</x:v>
      </x:c>
      <x:c r="D32" s="50" t="n">
        <x:v>0.03615297083608772</x:v>
      </x:c>
      <x:c r="E32" s="50" t="n">
        <x:f>D32*86400</x:f>
        <x:v>3123.616680237979</x:v>
      </x:c>
      <x:c r="F32" s="50" t="n">
        <x:v>0.037</x:v>
      </x:c>
      <x:c r="G32" s="50" t="n">
        <x:f>D32-F32</x:f>
        <x:v>-0.0008470291639122787</x:v>
      </x:c>
      <x:c r="H32" s="50" t="n">
        <x:v>2.806270741726551</x:v>
      </x:c>
      <x:c r="I32" s="50" t="n">
        <x:v>1.2805906584549787</x:v>
      </x:c>
      <x:c r="J32" s="50" t="n">
        <x:v>12.605781543929544</x:v>
      </x:c>
      <x:c r="K32" s="49" t="n">
        <x:v>0.2</x:v>
      </x:c>
      <x:c r="L32" s="48" t="n">
        <x:v>0</x:v>
      </x:c>
      <x:c r="M32" s="48" t="str">
        <x:f>IF(AND(G32&gt;=0,H32&lt;=$O$49),"PASS","FAIL")</x:f>
        <x:v>FAIL</x:v>
      </x:c>
      <x:c r="N32" s="1"/>
      <x:c r="O32" s="1"/>
    </x:row>
    <x:row r="33">
      <x:c r="A33" s="48" t="str">
        <x:v>B-S1</x:v>
      </x:c>
      <x:c r="B33" s="48" t="str">
        <x:v>B</x:v>
      </x:c>
      <x:c r="C33" s="48" t="str">
        <x:v>Low-salinity season</x:v>
      </x:c>
      <x:c r="D33" s="50" t="n">
        <x:v>0.04448682309466738</x:v>
      </x:c>
      <x:c r="E33" s="50" t="n">
        <x:f>D33*86400</x:f>
        <x:v>3843.661515379262</x:v>
      </x:c>
      <x:c r="F33" s="50" t="n">
        <x:v>0.037</x:v>
      </x:c>
      <x:c r="G33" s="50" t="n">
        <x:f>D33-F33</x:f>
        <x:v>0.007486823094667382</x:v>
      </x:c>
      <x:c r="H33" s="50" t="n">
        <x:v>2.6715461643847265</x:v>
      </x:c>
      <x:c r="I33" s="50" t="n">
        <x:v>1.0928468967462586</x:v>
      </x:c>
      <x:c r="J33" s="50" t="n">
        <x:v>13.062006434252023</x:v>
      </x:c>
      <x:c r="K33" s="49" t="n">
        <x:v>0.4</x:v>
      </x:c>
      <x:c r="L33" s="48" t="n">
        <x:v>0</x:v>
      </x:c>
      <x:c r="M33" s="48" t="str">
        <x:f>IF(AND(G33&gt;=0,H33&lt;=$O$49),"PASS","FAIL")</x:f>
        <x:v>PASS</x:v>
      </x:c>
      <x:c r="N33" s="1"/>
      <x:c r="O33" s="1"/>
    </x:row>
    <x:row r="34">
      <x:c r="A34" s="48" t="str">
        <x:v>B-S2</x:v>
      </x:c>
      <x:c r="B34" s="48" t="str">
        <x:v>B</x:v>
      </x:c>
      <x:c r="C34" s="48" t="str">
        <x:v>Normal season</x:v>
      </x:c>
      <x:c r="D34" s="50" t="n">
        <x:v>0.04157208685645966</x:v>
      </x:c>
      <x:c r="E34" s="50" t="n">
        <x:f>D34*86400</x:f>
        <x:v>3591.8283043981146</x:v>
      </x:c>
      <x:c r="F34" s="50" t="n">
        <x:v>0.037</x:v>
      </x:c>
      <x:c r="G34" s="50" t="n">
        <x:f>D34-F34</x:f>
        <x:v>0.004572086856459663</x:v>
      </x:c>
      <x:c r="H34" s="50" t="n">
        <x:v>2.687043496697265</x:v>
      </x:c>
      <x:c r="I34" s="50" t="n">
        <x:v>1.1475429035108535</x:v>
      </x:c>
      <x:c r="J34" s="50" t="n">
        <x:v>12.890572733539095</x:v>
      </x:c>
      <x:c r="K34" s="49" t="n">
        <x:v>0.4</x:v>
      </x:c>
      <x:c r="L34" s="48" t="n">
        <x:v>0</x:v>
      </x:c>
      <x:c r="M34" s="48" t="str">
        <x:f>IF(AND(G34&gt;=0,H34&lt;=$O$49),"PASS","FAIL")</x:f>
        <x:v>PASS</x:v>
      </x:c>
      <x:c r="N34" s="1"/>
      <x:c r="O34" s="1"/>
    </x:row>
    <x:row r="35">
      <x:c r="A35" s="48" t="str">
        <x:v>B-S3</x:v>
      </x:c>
      <x:c r="B35" s="48" t="str">
        <x:v>B</x:v>
      </x:c>
      <x:c r="C35" s="48" t="str">
        <x:v>High-salinity season</x:v>
      </x:c>
      <x:c r="D35" s="50" t="n">
        <x:v>0.03718651907843938</x:v>
      </x:c>
      <x:c r="E35" s="50" t="n">
        <x:f>D35*86400</x:f>
        <x:v>3212.9152483771627</x:v>
      </x:c>
      <x:c r="F35" s="50" t="n">
        <x:v>0.037</x:v>
      </x:c>
      <x:c r="G35" s="50" t="n">
        <x:f>D35-F35</x:f>
        <x:v>0.00018651907843938303</x:v>
      </x:c>
      <x:c r="H35" s="50" t="n">
        <x:v>2.7217653354060376</x:v>
      </x:c>
      <x:c r="I35" s="50" t="n">
        <x:v>1.2463584788695932</x:v>
      </x:c>
      <x:c r="J35" s="50" t="n">
        <x:v>12.630968926845407</x:v>
      </x:c>
      <x:c r="K35" s="49" t="n">
        <x:v>0.2</x:v>
      </x:c>
      <x:c r="L35" s="48" t="n">
        <x:v>0</x:v>
      </x:c>
      <x:c r="M35" s="48" t="str">
        <x:f>IF(AND(G35&gt;=0,H35&lt;=$O$49),"PASS","FAIL")</x:f>
        <x:v>PASS</x:v>
      </x:c>
      <x:c r="N35" s="1"/>
      <x:c r="O35" s="1"/>
    </x:row>
    <x:row r="36">
      <x:c r="A36" s="48" t="str">
        <x:v>C-S1</x:v>
      </x:c>
      <x:c r="B36" s="48" t="str">
        <x:v>C</x:v>
      </x:c>
      <x:c r="C36" s="48" t="str">
        <x:v>Low-salinity season</x:v>
      </x:c>
      <x:c r="D36" s="50" t="n">
        <x:v>0.04779627118876611</x:v>
      </x:c>
      <x:c r="E36" s="50" t="n">
        <x:f>D36*86400</x:f>
        <x:v>4129.597830709392</x:v>
      </x:c>
      <x:c r="F36" s="50" t="n">
        <x:v>0.037</x:v>
      </x:c>
      <x:c r="G36" s="50" t="n">
        <x:f>D36-F36</x:f>
        <x:v>0.01079627118876611</x:v>
      </x:c>
      <x:c r="H36" s="50" t="n">
        <x:v>2.6542475417942155</x:v>
      </x:c>
      <x:c r="I36" s="50" t="n">
        <x:v>1.0422054912554817</x:v>
      </x:c>
      <x:c r="J36" s="50" t="n">
        <x:v>13.27985629251128</x:v>
      </x:c>
      <x:c r="K36" s="49" t="n">
        <x:v>0.4</x:v>
      </x:c>
      <x:c r="L36" s="48" t="n">
        <x:v>0</x:v>
      </x:c>
      <x:c r="M36" s="48" t="str">
        <x:f>IF(AND(G36&gt;=0,H36&lt;=$O$49),"PASS","FAIL")</x:f>
        <x:v>PASS</x:v>
      </x:c>
      <x:c r="N36" s="1"/>
      <x:c r="O36" s="1"/>
    </x:row>
    <x:row r="37">
      <x:c r="A37" s="48" t="str">
        <x:v>C-S2</x:v>
      </x:c>
      <x:c r="B37" s="48" t="str">
        <x:v>C</x:v>
      </x:c>
      <x:c r="C37" s="48" t="str">
        <x:v>Normal season</x:v>
      </x:c>
      <x:c r="D37" s="50" t="n">
        <x:v>0.044686241669488404</x:v>
      </x:c>
      <x:c r="E37" s="50" t="n">
        <x:f>D37*86400</x:f>
        <x:v>3860.891280243798</x:v>
      </x:c>
      <x:c r="F37" s="50" t="n">
        <x:v>0.037</x:v>
      </x:c>
      <x:c r="G37" s="50" t="n">
        <x:f>D37-F37</x:f>
        <x:v>0.007686241669488406</x:v>
      </x:c>
      <x:c r="H37" s="50" t="n">
        <x:v>2.6684460741468676</x:v>
      </x:c>
      <x:c r="I37" s="50" t="n">
        <x:v>1.0931965965231218</x:v>
      </x:c>
      <x:c r="J37" s="50" t="n">
        <x:v>13.10084331134365</x:v>
      </x:c>
      <x:c r="K37" s="49" t="n">
        <x:v>0.4</x:v>
      </x:c>
      <x:c r="L37" s="48" t="n">
        <x:v>0</x:v>
      </x:c>
      <x:c r="M37" s="48" t="str">
        <x:f>IF(AND(G37&gt;=0,H37&lt;=$O$49),"PASS","FAIL")</x:f>
        <x:v>PASS</x:v>
      </x:c>
      <x:c r="N37" s="1"/>
      <x:c r="O37" s="1"/>
    </x:row>
    <x:row r="38">
      <x:c r="A38" s="48" t="str">
        <x:v>C-S3</x:v>
      </x:c>
      <x:c r="B38" s="48" t="str">
        <x:v>C</x:v>
      </x:c>
      <x:c r="C38" s="48" t="str">
        <x:v>High-salinity season</x:v>
      </x:c>
      <x:c r="D38" s="50" t="n">
        <x:v>0.0399963774917307</x:v>
      </x:c>
      <x:c r="E38" s="50" t="n">
        <x:f>D38*86400</x:f>
        <x:v>3455.687015285532</x:v>
      </x:c>
      <x:c r="F38" s="50" t="n">
        <x:v>0.037</x:v>
      </x:c>
      <x:c r="G38" s="50" t="n">
        <x:f>D38-F38</x:f>
        <x:v>0.0029963774917306993</x:v>
      </x:c>
      <x:c r="H38" s="50" t="n">
        <x:v>2.70098037306215</x:v>
      </x:c>
      <x:c r="I38" s="50" t="n">
        <x:v>1.185474251672523</x:v>
      </x:c>
      <x:c r="J38" s="50" t="n">
        <x:v>12.829428973579182</x:v>
      </x:c>
      <x:c r="K38" s="49" t="n">
        <x:v>0.2</x:v>
      </x:c>
      <x:c r="L38" s="48" t="n">
        <x:v>0</x:v>
      </x:c>
      <x:c r="M38" s="48" t="str">
        <x:f>IF(AND(G38&gt;=0,H38&lt;=$O$49),"PASS","FAIL")</x:f>
        <x:v>PASS</x:v>
      </x:c>
      <x:c r="N38" s="1"/>
      <x:c r="O38" s="1"/>
    </x:row>
    <x:row r="39">
      <x:c r="A39" s="48" t="str">
        <x:v>D-S1</x:v>
      </x:c>
      <x:c r="B39" s="48" t="str">
        <x:v>D</x:v>
      </x:c>
      <x:c r="C39" s="48" t="str">
        <x:v>Low-salinity season</x:v>
      </x:c>
      <x:c r="D39" s="50" t="n">
        <x:v>0.045167326340623835</x:v>
      </x:c>
      <x:c r="E39" s="50" t="n">
        <x:f>D39*86400</x:f>
        <x:v>3902.4569958298994</x:v>
      </x:c>
      <x:c r="F39" s="50" t="n">
        <x:v>0.037</x:v>
      </x:c>
      <x:c r="G39" s="50" t="n">
        <x:f>D39-F39</x:f>
        <x:v>0.008167326340623837</x:v>
      </x:c>
      <x:c r="H39" s="50" t="n">
        <x:v>2.593969574175168</x:v>
      </x:c>
      <x:c r="I39" s="50" t="n">
        <x:v>1.0735866452278044</x:v>
      </x:c>
      <x:c r="J39" s="50" t="n">
        <x:v>13.055146673687013</x:v>
      </x:c>
      <x:c r="K39" s="49" t="n">
        <x:v>0.4</x:v>
      </x:c>
      <x:c r="L39" s="48" t="n">
        <x:v>0</x:v>
      </x:c>
      <x:c r="M39" s="48" t="str">
        <x:f>IF(AND(G39&gt;=0,H39&lt;=$O$49),"PASS","FAIL")</x:f>
        <x:v>PASS</x:v>
      </x:c>
      <x:c r="N39" s="1"/>
      <x:c r="O39" s="1"/>
    </x:row>
    <x:row r="40">
      <x:c r="A40" s="48" t="str">
        <x:v>D-S2</x:v>
      </x:c>
      <x:c r="B40" s="48" t="str">
        <x:v>D</x:v>
      </x:c>
      <x:c r="C40" s="48" t="str">
        <x:v>Normal season</x:v>
      </x:c>
      <x:c r="D40" s="50" t="n">
        <x:v>0.042063789918455725</x:v>
      </x:c>
      <x:c r="E40" s="50" t="n">
        <x:f>D40*86400</x:f>
        <x:v>3634.3114489545746</x:v>
      </x:c>
      <x:c r="F40" s="50" t="n">
        <x:v>0.037</x:v>
      </x:c>
      <x:c r="G40" s="50" t="n">
        <x:f>D40-F40</x:f>
        <x:v>0.005063789918455727</x:v>
      </x:c>
      <x:c r="H40" s="50" t="n">
        <x:v>2.609680300103505</x:v>
      </x:c>
      <x:c r="I40" s="50" t="n">
        <x:v>1.1302882904269809</x:v>
      </x:c>
      <x:c r="J40" s="50" t="n">
        <x:v>12.876384560212355</x:v>
      </x:c>
      <x:c r="K40" s="49" t="n">
        <x:v>0.4</x:v>
      </x:c>
      <x:c r="L40" s="48" t="n">
        <x:v>0</x:v>
      </x:c>
      <x:c r="M40" s="48" t="str">
        <x:f>IF(AND(G40&gt;=0,H40&lt;=$O$49),"PASS","FAIL")</x:f>
        <x:v>PASS</x:v>
      </x:c>
      <x:c r="N40" s="1"/>
      <x:c r="O40" s="1"/>
    </x:row>
    <x:row r="41">
      <x:c r="A41" s="48" t="str">
        <x:v>D-S3</x:v>
      </x:c>
      <x:c r="B41" s="48" t="str">
        <x:v>D</x:v>
      </x:c>
      <x:c r="C41" s="48" t="str">
        <x:v>High-salinity season</x:v>
      </x:c>
      <x:c r="D41" s="50" t="n">
        <x:v>0.037393331674694594</x:v>
      </x:c>
      <x:c r="E41" s="50" t="n">
        <x:f>D41*86400</x:f>
        <x:v>3230.783856693613</x:v>
      </x:c>
      <x:c r="F41" s="50" t="n">
        <x:v>0.037</x:v>
      </x:c>
      <x:c r="G41" s="50" t="n">
        <x:f>D41-F41</x:f>
        <x:v>0.00039333167469459557</x:v>
      </x:c>
      <x:c r="H41" s="50" t="n">
        <x:v>2.6448216674166507</x:v>
      </x:c>
      <x:c r="I41" s="50" t="n">
        <x:v>1.2336438390365274</x:v>
      </x:c>
      <x:c r="J41" s="50" t="n">
        <x:v>12.604802991974523</x:v>
      </x:c>
      <x:c r="K41" s="49" t="n">
        <x:v>0.2</x:v>
      </x:c>
      <x:c r="L41" s="48" t="n">
        <x:v>0</x:v>
      </x:c>
      <x:c r="M41" s="48" t="str">
        <x:f>IF(AND(G41&gt;=0,H41&lt;=$O$49),"PASS","FAIL")</x:f>
        <x:v>PASS</x:v>
      </x:c>
      <x:c r="N41" s="1"/>
      <x:c r="O41" s="1"/>
    </x:row>
    <x:row r="42">
      <x:c r="A42" s="48" t="str">
        <x:v>E-S1</x:v>
      </x:c>
      <x:c r="B42" s="48" t="str">
        <x:v>E</x:v>
      </x:c>
      <x:c r="C42" s="48" t="str">
        <x:v>Low-salinity season</x:v>
      </x:c>
      <x:c r="D42" s="50" t="n">
        <x:v>0.04697551052737461</x:v>
      </x:c>
      <x:c r="E42" s="50" t="n">
        <x:f>D42*86400</x:f>
        <x:v>4058.684109565166</x:v>
      </x:c>
      <x:c r="F42" s="50" t="n">
        <x:v>0.037</x:v>
      </x:c>
      <x:c r="G42" s="50" t="n">
        <x:f>D42-F42</x:f>
        <x:v>0.00997551052737461</x:v>
      </x:c>
      <x:c r="H42" s="50" t="n">
        <x:v>2.6595040981353</x:v>
      </x:c>
      <x:c r="I42" s="50" t="n">
        <x:v>1.0631132684085656</x:v>
      </x:c>
      <x:c r="J42" s="50" t="n">
        <x:v>13.294418453114584</x:v>
      </x:c>
      <x:c r="K42" s="49" t="n">
        <x:v>0.4</x:v>
      </x:c>
      <x:c r="L42" s="48" t="n">
        <x:v>0</x:v>
      </x:c>
      <x:c r="M42" s="48" t="str">
        <x:f>IF(AND(G42&gt;=0,H42&lt;=$O$49),"PASS","FAIL")</x:f>
        <x:v>PASS</x:v>
      </x:c>
      <x:c r="N42" s="1"/>
      <x:c r="O42" s="1"/>
    </x:row>
    <x:row r="43">
      <x:c r="A43" s="48" t="str">
        <x:v>E-S2</x:v>
      </x:c>
      <x:c r="B43" s="48" t="str">
        <x:v>E</x:v>
      </x:c>
      <x:c r="C43" s="48" t="str">
        <x:v>Normal season</x:v>
      </x:c>
      <x:c r="D43" s="50" t="n">
        <x:v>0.0439909486906194</x:v>
      </x:c>
      <x:c r="E43" s="50" t="n">
        <x:f>D43*86400</x:f>
        <x:v>3800.817966869516</x:v>
      </x:c>
      <x:c r="F43" s="50" t="n">
        <x:v>0.037</x:v>
      </x:c>
      <x:c r="G43" s="50" t="n">
        <x:f>D43-F43</x:f>
        <x:v>0.006990948690619399</x:v>
      </x:c>
      <x:c r="H43" s="50" t="n">
        <x:v>2.6738636999980305</x:v>
      </x:c>
      <x:c r="I43" s="50" t="n">
        <x:v>1.1142047453502788</x:v>
      </x:c>
      <x:c r="J43" s="50" t="n">
        <x:v>13.121848900851186</x:v>
      </x:c>
      <x:c r="K43" s="49" t="n">
        <x:v>0.4</x:v>
      </x:c>
      <x:c r="L43" s="48" t="n">
        <x:v>0</x:v>
      </x:c>
      <x:c r="M43" s="48" t="str">
        <x:f>IF(AND(G43&gt;=0,H43&lt;=$O$49),"PASS","FAIL")</x:f>
        <x:v>PASS</x:v>
      </x:c>
      <x:c r="N43" s="1"/>
      <x:c r="O43" s="1"/>
    </x:row>
    <x:row r="44">
      <x:c r="A44" s="48" t="str">
        <x:v>E-S3</x:v>
      </x:c>
      <x:c r="B44" s="48" t="str">
        <x:v>E</x:v>
      </x:c>
      <x:c r="C44" s="48" t="str">
        <x:v>High-salinity season</x:v>
      </x:c>
      <x:c r="D44" s="50" t="n">
        <x:v>0.03948242291177219</x:v>
      </x:c>
      <x:c r="E44" s="50" t="n">
        <x:f>D44*86400</x:f>
        <x:v>3411.2813395771173</x:v>
      </x:c>
      <x:c r="F44" s="50" t="n">
        <x:v>0.037</x:v>
      </x:c>
      <x:c r="G44" s="50" t="n">
        <x:f>D44-F44</x:f>
        <x:v>0.0024824229117721905</x:v>
      </x:c>
      <x:c r="H44" s="50" t="n">
        <x:v>2.7061385729621024</x:v>
      </x:c>
      <x:c r="I44" s="50" t="n">
        <x:v>1.2063925822949242</x:v>
      </x:c>
      <x:c r="J44" s="50" t="n">
        <x:v>12.859770976572095</x:v>
      </x:c>
      <x:c r="K44" s="49" t="n">
        <x:v>0.2</x:v>
      </x:c>
      <x:c r="L44" s="48" t="n">
        <x:v>0</x:v>
      </x:c>
      <x:c r="M44" s="48" t="str">
        <x:f>IF(AND(G44&gt;=0,H44&lt;=$O$49),"PASS","FAIL")</x:f>
        <x:v>PASS</x:v>
      </x:c>
      <x:c r="N44" s="1"/>
      <x:c r="O44" s="1"/>
    </x:row>
    <x:row r="45">
      <x:c r="A45" s="1"/>
      <x:c r="B45" s="1"/>
      <x:c r="C45" s="1"/>
      <x:c r="D45" s="1"/>
      <x:c r="E45" s="1"/>
      <x:c r="F45" s="1"/>
      <x:c r="G45" s="1"/>
      <x:c r="H45" s="1"/>
      <x:c r="I45" s="1"/>
      <x:c r="J45" s="1"/>
      <x:c r="K45" s="1"/>
      <x:c r="L45" s="1"/>
      <x:c r="M45" s="1"/>
      <x:c r="N45" s="1"/>
      <x:c r="O45" s="1"/>
    </x:row>
    <x:row r="46">
      <x:c r="A46" s="11" t="str">
        <x:v>Join, worst-case constraints and strategy ranking</x:v>
      </x:c>
      <x:c r="B46" s="11" t="str">
        <x:v>Join, worst-case constraints and strategy ranking</x:v>
      </x:c>
      <x:c r="C46" s="11" t="str">
        <x:v>Join, worst-case constraints and strategy ranking</x:v>
      </x:c>
      <x:c r="D46" s="11" t="str">
        <x:v>Join, worst-case constraints and strategy ranking</x:v>
      </x:c>
      <x:c r="E46" s="11" t="str">
        <x:v>Join, worst-case constraints and strategy ranking</x:v>
      </x:c>
      <x:c r="F46" s="11" t="str">
        <x:v>Join, worst-case constraints and strategy ranking</x:v>
      </x:c>
      <x:c r="G46" s="11" t="str">
        <x:v>Join, worst-case constraints and strategy ranking</x:v>
      </x:c>
      <x:c r="H46" s="11" t="str">
        <x:v>Join, worst-case constraints and strategy ranking</x:v>
      </x:c>
      <x:c r="I46" s="11" t="str">
        <x:v>Join, worst-case constraints and strategy ranking</x:v>
      </x:c>
      <x:c r="J46" s="11" t="str">
        <x:v>Join, worst-case constraints and strategy ranking</x:v>
      </x:c>
      <x:c r="K46" s="11" t="str">
        <x:v>Join, worst-case constraints and strategy ranking</x:v>
      </x:c>
      <x:c r="L46" s="11" t="str">
        <x:v>Join, worst-case constraints and strategy ranking</x:v>
      </x:c>
      <x:c r="M46" s="1"/>
      <x:c r="N46" s="44" t="str">
        <x:v>Visible criteria</x:v>
      </x:c>
      <x:c r="O46" s="44" t="str">
        <x:v>Visible criteria</x:v>
      </x:c>
    </x:row>
    <x:row r="47">
      <x:c r="A47" s="44" t="str">
        <x:v>Strategy</x:v>
      </x:c>
      <x:c r="B47" s="44" t="str">
        <x:v>Min water</x:v>
      </x:c>
      <x:c r="C47" s="44" t="str">
        <x:v>Max quality excess</x:v>
      </x:c>
      <x:c r="D47" s="44" t="str">
        <x:v>Max CP</x:v>
      </x:c>
      <x:c r="E47" s="44" t="str">
        <x:v>Min flow margin</x:v>
      </x:c>
      <x:c r="F47" s="44" t="str">
        <x:v>Max SEC</x:v>
      </x:c>
      <x:c r="G47" s="44" t="str">
        <x:v>Weighted SEC</x:v>
      </x:c>
      <x:c r="H47" s="44" t="str">
        <x:v>Weighted LCOW</x:v>
      </x:c>
      <x:c r="I47" s="44" t="str">
        <x:v>Decision metric</x:v>
      </x:c>
      <x:c r="J47" s="44" t="str">
        <x:v>Feasible</x:v>
      </x:c>
      <x:c r="K47" s="44" t="str">
        <x:v>Conclusion</x:v>
      </x:c>
      <x:c r="L47" s="44" t="str">
        <x:v>Adjustment</x:v>
      </x:c>
      <x:c r="M47" s="1"/>
      <x:c r="N47" s="48" t="str">
        <x:v>Min membrane water</x:v>
      </x:c>
      <x:c r="O47" s="50" t="n">
        <x:v>0.33</x:v>
      </x:c>
    </x:row>
    <x:row r="48">
      <x:c r="A48" s="48" t="str">
        <x:v>A</x:v>
      </x:c>
      <x:c r="B48" s="50" t="n">
        <x:f>MIN(D12,D13,D14)</x:f>
        <x:v>0.3258289152850947</x:v>
      </x:c>
      <x:c r="C48" s="50" t="n">
        <x:f>MAX(E12-F12,E13-F13,E14-F14)</x:f>
        <x:v>114.0213152703268</x:v>
      </x:c>
      <x:c r="D48" s="50" t="n">
        <x:f>MAX(G12,G13,G14)</x:f>
        <x:v>1.2730973211369807</x:v>
      </x:c>
      <x:c r="E48" s="50" t="n">
        <x:f>MIN(G30,G31,G32)</x:f>
        <x:v>-0.0008470291639122787</x:v>
      </x:c>
      <x:c r="F48" s="50" t="n">
        <x:f>MAX(H30,H31,H32)</x:f>
        <x:v>2.806270741726551</x:v>
      </x:c>
      <x:c r="G48" s="50" t="n">
        <x:f>K30*H30+K31*H31+K32*H32</x:f>
        <x:v>2.7718170765137273</x:v>
      </x:c>
      <x:c r="H48" s="50" t="n">
        <x:f>K30*I30+K31*I31+K32*I32</x:f>
        <x:v>1.1812503904392582</x:v>
      </x:c>
      <x:c r="I48" s="50" t="n">
        <x:f>H48+L48</x:f>
        <x:v>1.1812503904392582</x:v>
      </x:c>
      <x:c r="J48" s="48" t="str">
        <x:f>IF(AND(B48&gt;=$O$47,C48&lt;=0,D48&lt;=$O$48,E48&gt;=0,F48&lt;=$O$49),"PASS","FAIL")</x:f>
        <x:v>FAIL</x:v>
      </x:c>
      <x:c r="K48" s="48" t="str"/>
      <x:c r="L48" s="48" t="n">
        <x:v>0</x:v>
      </x:c>
      <x:c r="M48" s="1"/>
      <x:c r="N48" s="48" t="str">
        <x:v>Max inlet CP</x:v>
      </x:c>
      <x:c r="O48" s="50" t="n">
        <x:v>1.34</x:v>
      </x:c>
    </x:row>
    <x:row r="49">
      <x:c r="A49" s="48" t="str">
        <x:v>B</x:v>
      </x:c>
      <x:c r="B49" s="50" t="n">
        <x:f>MIN(D15,D16,D17)</x:f>
        <x:v>0.3342404077209259</x:v>
      </x:c>
      <x:c r="C49" s="50" t="n">
        <x:f>MAX(E15-F15,E16-F16,E17-F17)</x:f>
        <x:v>73.06104549683903</x:v>
      </x:c>
      <x:c r="D49" s="50" t="n">
        <x:f>MAX(G15,G16,G17)</x:f>
        <x:v>1.3009229040467296</x:v>
      </x:c>
      <x:c r="E49" s="50" t="n">
        <x:f>MIN(G33,G34,G35)</x:f>
        <x:v>0.00018651907843938303</x:v>
      </x:c>
      <x:c r="F49" s="50" t="n">
        <x:f>MAX(H33,H34,H35)</x:f>
        <x:v>2.7217653354060376</x:v>
      </x:c>
      <x:c r="G49" s="50" t="n">
        <x:f>K33*H33+K34*H34+K35*H35</x:f>
        <x:v>2.687788931514004</x:v>
      </x:c>
      <x:c r="H49" s="50" t="n">
        <x:f>K33*I33+K34*I34+K35*I35</x:f>
        <x:v>1.1454276158767636</x:v>
      </x:c>
      <x:c r="I49" s="50" t="n">
        <x:f>H49+L49</x:f>
        <x:v>1.2054276158767636</x:v>
      </x:c>
      <x:c r="J49" s="48" t="str">
        <x:f>IF(AND(B49&gt;=$O$47,C49&lt;=0,D49&lt;=$O$48,E49&gt;=0,F49&lt;=$O$49),"PASS","FAIL")</x:f>
        <x:v>FAIL</x:v>
      </x:c>
      <x:c r="K49" s="48" t="str"/>
      <x:c r="L49" s="48" t="n">
        <x:v>0.06</x:v>
      </x:c>
      <x:c r="M49" s="1"/>
      <x:c r="N49" s="48" t="str">
        <x:v>Max SEC</x:v>
      </x:c>
      <x:c r="O49" s="50" t="n">
        <x:v>2.75</x:v>
      </x:c>
    </x:row>
    <x:row r="50">
      <x:c r="A50" s="114" t="str">
        <x:v>C</x:v>
      </x:c>
      <x:c r="B50" s="115" t="n">
        <x:f>MIN(D18,D19,D20)</x:f>
        <x:v>0.3583210337318578</x:v>
      </x:c>
      <x:c r="C50" s="115" t="n">
        <x:f>MAX(E18-F18,E19-F19,E20-F20)</x:f>
        <x:v>-11.482860861936501</x:v>
      </x:c>
      <x:c r="D50" s="115" t="n">
        <x:f>MAX(G18,G19,G20)</x:f>
        <x:v>1.329053077688669</x:v>
      </x:c>
      <x:c r="E50" s="115" t="n">
        <x:f>MIN(G36,G37,G38)</x:f>
        <x:v>0.0029963774917306993</x:v>
      </x:c>
      <x:c r="F50" s="115" t="n">
        <x:f>MAX(H36,H37,H38)</x:f>
        <x:v>2.70098037306215</x:v>
      </x:c>
      <x:c r="G50" s="115" t="n">
        <x:f>K36*H36+K37*H37+K38*H38</x:f>
        <x:v>2.669273520988863</x:v>
      </x:c>
      <x:c r="H50" s="115" t="n">
        <x:f>K36*I36+K37*I37+K38*I38</x:f>
        <x:v>1.091255685445946</x:v>
      </x:c>
      <x:c r="I50" s="115" t="n">
        <x:f>H50+L50</x:f>
        <x:v>1.2112556854459462</x:v>
      </x:c>
      <x:c r="J50" s="114" t="str">
        <x:f>IF(AND(B50&gt;=$O$47,C50&lt;=0,D50&lt;=$O$48,E50&gt;=0,F50&lt;=$O$49),"PASS","FAIL")</x:f>
        <x:v>PASS</x:v>
      </x:c>
      <x:c r="K50" s="114" t="str">
        <x:v>RECOMMEND</x:v>
      </x:c>
      <x:c r="L50" s="114" t="n">
        <x:v>0.12</x:v>
      </x:c>
      <x:c r="M50" s="1"/>
      <x:c r="N50" s="48" t="str">
        <x:v>Quality/flow excess</x:v>
      </x:c>
      <x:c r="O50" s="48" t="str">
        <x:v>≤0 / ≥0</x:v>
      </x:c>
    </x:row>
    <x:row r="51">
      <x:c r="A51" s="48" t="str">
        <x:v>D</x:v>
      </x:c>
      <x:c r="B51" s="50" t="n">
        <x:f>MIN(D21,D22,D23)</x:f>
        <x:v>0.3341102693104542</x:v>
      </x:c>
      <x:c r="C51" s="50" t="n">
        <x:f>MAX(E21-F21,E22-F22,E23-F23)</x:f>
        <x:v>-54.701219233428674</x:v>
      </x:c>
      <x:c r="D51" s="50" t="n">
        <x:f>MAX(G21,G22,G23)</x:f>
        <x:v>1.320697728438534</x:v>
      </x:c>
      <x:c r="E51" s="50" t="n">
        <x:f>MIN(G39,G40,G41)</x:f>
        <x:v>0.00039333167469459557</x:v>
      </x:c>
      <x:c r="F51" s="50" t="n">
        <x:f>MAX(H39,H40,H41)</x:f>
        <x:v>2.6448216674166507</x:v>
      </x:c>
      <x:c r="G51" s="50" t="n">
        <x:f>K39*H39+K40*H40+K41*H41</x:f>
        <x:v>2.6104242831947992</x:v>
      </x:c>
      <x:c r="H51" s="50" t="n">
        <x:f>K39*I39+K40*I40+K41*I41</x:f>
        <x:v>1.1282787420692197</x:v>
      </x:c>
      <x:c r="I51" s="50" t="n">
        <x:f>H51+L51</x:f>
        <x:v>1.4082787420692198</x:v>
      </x:c>
      <x:c r="J51" s="48" t="str">
        <x:f>IF(AND(B51&gt;=$O$47,C51&lt;=0,D51&lt;=$O$48,E51&gt;=0,F51&lt;=$O$49),"PASS","FAIL")</x:f>
        <x:v>PASS</x:v>
      </x:c>
      <x:c r="K51" s="48" t="str"/>
      <x:c r="L51" s="48" t="n">
        <x:v>0.28</x:v>
      </x:c>
      <x:c r="M51" s="1"/>
      <x:c r="N51" s="1"/>
      <x:c r="O51" s="1"/>
    </x:row>
    <x:row r="52">
      <x:c r="A52" s="48" t="str">
        <x:v>E</x:v>
      </x:c>
      <x:c r="B52" s="50" t="n">
        <x:f>MIN(D24,D25,D26)</x:f>
        <x:v>0.34803118982604536</x:v>
      </x:c>
      <x:c r="C52" s="50" t="n">
        <x:f>MAX(E24-F24,E25-F25,E26-F26)</x:f>
        <x:v>199.2220741979013</x:v>
      </x:c>
      <x:c r="D52" s="50" t="n">
        <x:f>MAX(G24,G25,G26)</x:f>
        <x:v>1.2744036406179937</x:v>
      </x:c>
      <x:c r="E52" s="50" t="n">
        <x:f>MIN(G42,G43,G44)</x:f>
        <x:v>0.0024824229117721905</x:v>
      </x:c>
      <x:c r="F52" s="50" t="n">
        <x:f>MAX(H42,H43,H44)</x:f>
        <x:v>2.7061385729621024</x:v>
      </x:c>
      <x:c r="G52" s="50" t="n">
        <x:f>K42*H42+K43*H43+K44*H44</x:f>
        <x:v>2.6745748338457527</x:v>
      </x:c>
      <x:c r="H52" s="50" t="n">
        <x:f>K42*I42+K43*I43+K44*I44</x:f>
        <x:v>1.1122057219625225</x:v>
      </x:c>
      <x:c r="I52" s="50" t="n">
        <x:f>H52+L52</x:f>
        <x:v>1.2922057219625225</x:v>
      </x:c>
      <x:c r="J52" s="48" t="str">
        <x:f>IF(AND(B52&gt;=$O$47,C52&lt;=0,D52&lt;=$O$48,E52&gt;=0,F52&lt;=$O$49),"PASS","FAIL")</x:f>
        <x:v>FAIL</x:v>
      </x:c>
      <x:c r="K52" s="48" t="str"/>
      <x:c r="L52" s="48" t="n">
        <x:v>0.18</x:v>
      </x:c>
      <x:c r="M52" s="1"/>
      <x:c r="N52" s="1"/>
      <x:c r="O52" s="1"/>
    </x:row>
    <x:row r="53">
      <x:c r="A53" s="1"/>
      <x:c r="B53" s="1"/>
      <x:c r="C53" s="1"/>
      <x:c r="D53" s="1"/>
      <x:c r="E53" s="1"/>
      <x:c r="F53" s="1"/>
      <x:c r="G53" s="1"/>
      <x:c r="H53" s="1"/>
      <x:c r="I53" s="1"/>
      <x:c r="J53" s="1"/>
      <x:c r="K53" s="1"/>
      <x:c r="L53" s="1"/>
      <x:c r="M53" s="1"/>
      <x:c r="N53" s="1"/>
      <x:c r="O53" s="1"/>
    </x:row>
    <x:row r="54">
      <x:c r="A54" s="11" t="str">
        <x:v>Audit note</x:v>
      </x:c>
      <x:c r="B54" s="11" t="str">
        <x:v>Audit note</x:v>
      </x:c>
      <x:c r="C54" s="11" t="str">
        <x:v>Audit note</x:v>
      </x:c>
      <x:c r="D54" s="11" t="str">
        <x:v>Audit note</x:v>
      </x:c>
      <x:c r="E54" s="11" t="str">
        <x:v>Audit note</x:v>
      </x:c>
      <x:c r="F54" s="11" t="str">
        <x:v>Audit note</x:v>
      </x:c>
      <x:c r="G54" s="11" t="str">
        <x:v>Audit note</x:v>
      </x:c>
      <x:c r="H54" s="11" t="str">
        <x:v>Audit note</x:v>
      </x:c>
      <x:c r="I54" s="11" t="str">
        <x:v>Audit note</x:v>
      </x:c>
      <x:c r="J54" s="11" t="str">
        <x:v>Audit note</x:v>
      </x:c>
      <x:c r="K54" s="11" t="str">
        <x:v>Audit note</x:v>
      </x:c>
      <x:c r="L54" s="11" t="str">
        <x:v>Audit note</x:v>
      </x:c>
      <x:c r="M54" s="11" t="str">
        <x:v>Audit note</x:v>
      </x:c>
      <x:c r="N54" s="11" t="str">
        <x:v>Audit note</x:v>
      </x:c>
      <x:c r="O54" s="11" t="str">
        <x:v>Audit note</x:v>
      </x:c>
    </x:row>
    <x:row r="55">
      <x:c r="A55" s="137" t="str">
        <x:v>All 30 numeric call rows are direct outputs from the connected ROprocess simulators. Daily product, margins, weighted metrics and feasibility are workbook formulas. Candidate-state inputs are never passed from one simulator into the other; the branches join only by call ID.</x:v>
      </x:c>
      <x:c r="B55" s="138"/>
      <x:c r="C55" s="138"/>
      <x:c r="D55" s="138"/>
      <x:c r="E55" s="138"/>
      <x:c r="F55" s="138"/>
      <x:c r="G55" s="138"/>
      <x:c r="H55" s="138"/>
      <x:c r="I55" s="138"/>
      <x:c r="J55" s="138"/>
      <x:c r="K55" s="138"/>
      <x:c r="L55" s="138"/>
      <x:c r="M55" s="138"/>
      <x:c r="N55" s="138"/>
      <x:c r="O55" s="139"/>
    </x:row>
    <x:row r="56">
      <x:c r="A56" s="140"/>
      <x:c r="B56" s="141"/>
      <x:c r="C56" s="141"/>
      <x:c r="D56" s="141"/>
      <x:c r="E56" s="141"/>
      <x:c r="F56" s="141"/>
      <x:c r="G56" s="141"/>
      <x:c r="H56" s="141"/>
      <x:c r="I56" s="141"/>
      <x:c r="J56" s="141"/>
      <x:c r="K56" s="141"/>
      <x:c r="L56" s="141"/>
      <x:c r="M56" s="141"/>
      <x:c r="N56" s="141"/>
      <x:c r="O56" s="142"/>
    </x:row>
    <x:row r="57">
      <x:c r="A57" s="143"/>
      <x:c r="B57" s="144"/>
      <x:c r="C57" s="144"/>
      <x:c r="D57" s="144"/>
      <x:c r="E57" s="144"/>
      <x:c r="F57" s="144"/>
      <x:c r="G57" s="144"/>
      <x:c r="H57" s="144"/>
      <x:c r="I57" s="144"/>
      <x:c r="J57" s="144"/>
      <x:c r="K57" s="144"/>
      <x:c r="L57" s="144"/>
      <x:c r="M57" s="144"/>
      <x:c r="N57" s="144"/>
      <x:c r="O57" s="145"/>
    </x:row>
    <x:row r="58">
      <x:c r="A58" s="1"/>
      <x:c r="B58" s="1"/>
      <x:c r="C58" s="1"/>
      <x:c r="D58" s="1"/>
      <x:c r="E58" s="1"/>
      <x:c r="F58" s="1"/>
      <x:c r="G58" s="1"/>
      <x:c r="H58" s="1"/>
      <x:c r="I58" s="1"/>
      <x:c r="J58" s="1"/>
      <x:c r="K58" s="1"/>
      <x:c r="L58" s="1"/>
      <x:c r="M58" s="1"/>
      <x:c r="N58" s="1"/>
      <x:c r="O58" s="1"/>
    </x:row>
    <x:row r="59">
      <x:c r="A59" s="1"/>
      <x:c r="B59" s="1"/>
      <x:c r="C59" s="1"/>
      <x:c r="D59" s="1"/>
      <x:c r="E59" s="1"/>
      <x:c r="F59" s="1"/>
      <x:c r="G59" s="1"/>
      <x:c r="H59" s="1"/>
      <x:c r="I59" s="1"/>
      <x:c r="J59" s="1"/>
      <x:c r="K59" s="1"/>
      <x:c r="L59" s="1"/>
      <x:c r="M59" s="1"/>
      <x:c r="N59" s="1"/>
      <x:c r="O59" s="1"/>
    </x:row>
    <x:row r="60">
      <x:c r="A60" s="1"/>
      <x:c r="B60" s="1"/>
      <x:c r="C60" s="1"/>
      <x:c r="D60" s="1"/>
      <x:c r="E60" s="1"/>
      <x:c r="F60" s="1"/>
      <x:c r="G60" s="1"/>
      <x:c r="H60" s="1"/>
      <x:c r="I60" s="1"/>
      <x:c r="J60" s="1"/>
      <x:c r="K60" s="1"/>
      <x:c r="L60" s="1"/>
      <x:c r="M60" s="1"/>
      <x:c r="N60" s="1"/>
      <x:c r="O60" s="1"/>
    </x:row>
    <x:row r="61">
      <x:c r="A61" s="1"/>
      <x:c r="B61" s="1"/>
      <x:c r="C61" s="1"/>
      <x:c r="D61" s="1"/>
      <x:c r="E61" s="1"/>
      <x:c r="F61" s="1"/>
      <x:c r="G61" s="1"/>
      <x:c r="H61" s="1"/>
      <x:c r="I61" s="1"/>
      <x:c r="J61" s="1"/>
      <x:c r="K61" s="1"/>
      <x:c r="L61" s="1"/>
      <x:c r="M61" s="1"/>
      <x:c r="N61" s="1"/>
      <x:c r="O61" s="1"/>
    </x:row>
    <x:row r="62">
      <x:c r="A62" s="1"/>
      <x:c r="B62" s="1"/>
      <x:c r="C62" s="1"/>
      <x:c r="D62" s="1"/>
      <x:c r="E62" s="1"/>
      <x:c r="F62" s="1"/>
      <x:c r="G62" s="1"/>
      <x:c r="H62" s="1"/>
      <x:c r="I62" s="1"/>
      <x:c r="J62" s="1"/>
      <x:c r="K62" s="1"/>
      <x:c r="L62" s="1"/>
      <x:c r="M62" s="1"/>
      <x:c r="N62" s="1"/>
      <x:c r="O62" s="1"/>
    </x:row>
    <x:row r="63">
      <x:c r="A63" s="1"/>
      <x:c r="B63" s="1"/>
      <x:c r="C63" s="1"/>
      <x:c r="D63" s="1"/>
      <x:c r="E63" s="1"/>
      <x:c r="F63" s="1"/>
      <x:c r="G63" s="1"/>
      <x:c r="H63" s="1"/>
      <x:c r="I63" s="1"/>
      <x:c r="J63" s="1"/>
      <x:c r="K63" s="1"/>
      <x:c r="L63" s="1"/>
      <x:c r="M63" s="1"/>
      <x:c r="N63" s="1"/>
      <x:c r="O63" s="1"/>
    </x:row>
    <x:row r="64">
      <x:c r="A64" s="1"/>
      <x:c r="B64" s="1"/>
      <x:c r="C64" s="1"/>
      <x:c r="D64" s="1"/>
      <x:c r="E64" s="1"/>
      <x:c r="F64" s="1"/>
      <x:c r="G64" s="1"/>
      <x:c r="H64" s="1"/>
      <x:c r="I64" s="1"/>
      <x:c r="J64" s="1"/>
      <x:c r="K64" s="1"/>
      <x:c r="L64" s="1"/>
      <x:c r="M64" s="1"/>
      <x:c r="N64" s="1"/>
      <x:c r="O64" s="1"/>
    </x:row>
    <x:row r="65">
      <x:c r="A65" s="1"/>
      <x:c r="B65" s="1"/>
      <x:c r="C65" s="1"/>
      <x:c r="D65" s="1"/>
      <x:c r="E65" s="1"/>
      <x:c r="F65" s="1"/>
      <x:c r="G65" s="1"/>
      <x:c r="H65" s="1"/>
      <x:c r="I65" s="1"/>
      <x:c r="J65" s="1"/>
      <x:c r="K65" s="1"/>
      <x:c r="L65" s="1"/>
      <x:c r="M65" s="1"/>
      <x:c r="N65" s="1"/>
      <x:c r="O65" s="1"/>
    </x:row>
  </x:sheetData>
  <x:mergeCells>
    <x:mergeCell ref="A1:O2"/>
    <x:mergeCell ref="A3:O3"/>
    <x:mergeCell ref="A5:O5"/>
    <x:mergeCell ref="A6:O8"/>
    <x:mergeCell ref="A10:I10"/>
    <x:mergeCell ref="A28:M28"/>
    <x:mergeCell ref="A46:L46"/>
    <x:mergeCell ref="N46:O46"/>
    <x:mergeCell ref="A54:O54"/>
    <x:mergeCell ref="A55:O5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0" hidden="0" customWidth="1"/>
    <x:col min="4" max="4" width="1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4" hidden="0" customWidth="1"/>
    <x:col min="14" max="14" width="18" hidden="0" customWidth="1"/>
    <x:col min="15" max="15" width="18" hidden="0" customWidth="1"/>
  </x:cols>
  <x:sheetData>
    <x:row r="1">
      <x:c r="A1" s="5" t="str">
        <x:v>Trajectory rubric | D6_6c-H03</x:v>
      </x:c>
      <x:c r="B1" s="5"/>
      <x:c r="C1" s="5"/>
      <x:c r="D1" s="5"/>
      <x:c r="E1" s="5"/>
      <x:c r="F1" s="5"/>
      <x:c r="G1" s="5"/>
      <x:c r="H1" s="5"/>
      <x:c r="I1" s="5"/>
      <x:c r="J1" s="5"/>
      <x:c r="K1" s="5"/>
      <x:c r="L1" s="5"/>
      <x:c r="M1" s="5"/>
      <x:c r="N1" s="5"/>
      <x:c r="O1" s="5"/>
    </x:row>
    <x:row r="2">
      <x:c r="A2" s="5"/>
      <x:c r="B2" s="5"/>
      <x:c r="C2" s="5"/>
      <x:c r="D2" s="5"/>
      <x:c r="E2" s="5"/>
      <x:c r="F2" s="5"/>
      <x:c r="G2" s="5"/>
      <x:c r="H2" s="5"/>
      <x:c r="I2" s="5"/>
      <x:c r="J2" s="5"/>
      <x:c r="K2" s="5"/>
      <x:c r="L2" s="5"/>
      <x:c r="M2" s="5"/>
      <x:c r="N2" s="5"/>
      <x:c r="O2" s="5"/>
    </x:row>
    <x:row r="3">
      <x:c r="A3" s="8" t="str">
        <x:v>100-point rubric for a 30-call parallel trajectory</x:v>
      </x:c>
      <x:c r="B3" s="8"/>
      <x:c r="C3" s="8"/>
      <x:c r="D3" s="8"/>
      <x:c r="E3" s="8"/>
      <x:c r="F3" s="8"/>
      <x:c r="G3" s="8"/>
      <x:c r="H3" s="8"/>
      <x:c r="I3" s="8"/>
      <x:c r="J3" s="8"/>
      <x:c r="K3" s="8"/>
      <x:c r="L3" s="8"/>
      <x:c r="M3" s="8"/>
      <x:c r="N3" s="8"/>
      <x:c r="O3" s="8"/>
    </x:row>
    <x:row r="4">
      <x:c r="A4" s="1"/>
      <x:c r="B4" s="1"/>
      <x:c r="C4" s="1"/>
      <x:c r="D4" s="1"/>
      <x:c r="E4" s="1"/>
      <x:c r="F4" s="1"/>
      <x:c r="G4" s="1"/>
      <x:c r="H4" s="1"/>
      <x:c r="I4" s="1"/>
      <x:c r="J4" s="1"/>
      <x:c r="K4" s="1"/>
      <x:c r="L4" s="1"/>
      <x:c r="M4" s="1"/>
      <x:c r="N4" s="1"/>
      <x:c r="O4" s="1"/>
    </x:row>
    <x:row r="5">
      <x:c r="A5" s="11" t="str">
        <x:v>Scoring rubric</x:v>
      </x:c>
      <x:c r="B5" s="11" t="str">
        <x:v>Scoring rubric</x:v>
      </x:c>
      <x:c r="C5" s="11" t="str">
        <x:v>Scoring rubric</x:v>
      </x:c>
      <x:c r="D5" s="11" t="str">
        <x:v>Scoring rubric</x:v>
      </x:c>
      <x:c r="E5" s="11" t="str">
        <x:v>Scoring rubric</x:v>
      </x:c>
      <x:c r="F5" s="11" t="str">
        <x:v>Scoring rubric</x:v>
      </x:c>
      <x:c r="G5" s="11" t="str">
        <x:v>Scoring rubric</x:v>
      </x:c>
      <x:c r="H5" s="11" t="str">
        <x:v>Scoring rubric</x:v>
      </x:c>
      <x:c r="I5" s="11" t="str">
        <x:v>Scoring rubric</x:v>
      </x:c>
      <x:c r="J5" s="11" t="str">
        <x:v>Scoring rubric</x:v>
      </x:c>
      <x:c r="K5" s="11" t="str">
        <x:v>Scoring rubric</x:v>
      </x:c>
      <x:c r="L5" s="11" t="str">
        <x:v>Scoring rubric</x:v>
      </x:c>
      <x:c r="M5" s="11" t="str">
        <x:v>Scoring rubric</x:v>
      </x:c>
      <x:c r="N5" s="11" t="str">
        <x:v>Scoring rubric</x:v>
      </x:c>
      <x:c r="O5" s="11" t="str">
        <x:v>Scoring rubric</x:v>
      </x:c>
    </x:row>
    <x:row r="6">
      <x:c r="A6" s="44" t="str">
        <x:v>Dimension</x:v>
      </x:c>
      <x:c r="B6" s="44" t="str">
        <x:v>Points</x:v>
      </x:c>
      <x:c r="C6" s="44" t="str">
        <x:v>Full-credit evidence</x:v>
      </x:c>
      <x:c r="D6" s="44" t="str">
        <x:v>Partial credit</x:v>
      </x:c>
      <x:c r="E6" s="44" t="str">
        <x:v>Critical error</x:v>
      </x:c>
      <x:c r="F6" s="44" t="str"/>
      <x:c r="G6" s="44" t="str"/>
      <x:c r="H6" s="44" t="str"/>
      <x:c r="I6" s="44" t="str"/>
      <x:c r="J6" s="44" t="str"/>
      <x:c r="K6" s="44" t="str"/>
      <x:c r="L6" s="44" t="str"/>
      <x:c r="M6" s="44" t="str"/>
      <x:c r="N6" s="44" t="str"/>
      <x:c r="O6" s="44" t="str"/>
    </x:row>
    <x:row r="7" ht="52" customHeight="1">
      <x:c r="A7" s="48" t="str">
        <x:v>Call-matrix fidelity</x:v>
      </x:c>
      <x:c r="B7" s="48" t="n">
        <x:v>15</x:v>
      </x:c>
      <x:c r="C7" s="48" t="str">
        <x:v>Defines all 15 candidate-state rows with consistent units and IDs.</x:v>
      </x:c>
      <x:c r="D7" s="48" t="str">
        <x:v>One minor input mismatch.</x:v>
      </x:c>
      <x:c r="E7" s="48" t="str">
        <x:v>Missing states or silent parameter drift.</x:v>
      </x:c>
      <x:c r="F7" s="48" t="str"/>
      <x:c r="G7" s="48" t="str"/>
      <x:c r="H7" s="48" t="str"/>
      <x:c r="I7" s="48" t="str"/>
      <x:c r="J7" s="48" t="str"/>
      <x:c r="K7" s="48" t="str"/>
      <x:c r="L7" s="48" t="str"/>
      <x:c r="M7" s="48" t="str"/>
      <x:c r="N7" s="48" t="str"/>
      <x:c r="O7" s="48" t="str"/>
    </x:row>
    <x:row r="8" ht="52" customHeight="1">
      <x:c r="A8" s="48" t="str">
        <x:v>simulate_ro branch</x:v>
      </x:c>
      <x:c r="B8" s="48" t="n">
        <x:v>20</x:v>
      </x:c>
      <x:c r="C8" s="48" t="str">
        <x:v>Completes 15 membrane calls and reports water, NaCl, CP and recovery.</x:v>
      </x:c>
      <x:c r="D8" s="48" t="str">
        <x:v>One or two transcription errors.</x:v>
      </x:c>
      <x:c r="E8" s="48" t="str">
        <x:v>Uses membrane results to invent plant energy.</x:v>
      </x:c>
      <x:c r="F8" s="48" t="str"/>
      <x:c r="G8" s="48" t="str"/>
      <x:c r="H8" s="48" t="str"/>
      <x:c r="I8" s="48" t="str"/>
      <x:c r="J8" s="48" t="str"/>
      <x:c r="K8" s="48" t="str"/>
      <x:c r="L8" s="48" t="str"/>
      <x:c r="M8" s="48" t="str"/>
      <x:c r="N8" s="48" t="str"/>
      <x:c r="O8" s="48" t="str"/>
    </x:row>
    <x:row r="9" ht="52" customHeight="1">
      <x:c r="A9" s="48" t="str">
        <x:v>simulate_swro_system branch</x:v>
      </x:c>
      <x:c r="B9" s="48" t="n">
        <x:v>20</x:v>
      </x:c>
      <x:c r="C9" s="48" t="str">
        <x:v>Completes 15 plant calls and reports product, SEC, LCOW and CAPEX.</x:v>
      </x:c>
      <x:c r="D9" s="48" t="str">
        <x:v>One or two transcription errors.</x:v>
      </x:c>
      <x:c r="E9" s="48" t="str">
        <x:v>Omits a state or uses the wrong ERD.</x:v>
      </x:c>
      <x:c r="F9" s="48" t="str"/>
      <x:c r="G9" s="48" t="str"/>
      <x:c r="H9" s="48" t="str"/>
      <x:c r="I9" s="48" t="str"/>
      <x:c r="J9" s="48" t="str"/>
      <x:c r="K9" s="48" t="str"/>
      <x:c r="L9" s="48" t="str"/>
      <x:c r="M9" s="48" t="str"/>
      <x:c r="N9" s="48" t="str"/>
      <x:c r="O9" s="48" t="str"/>
    </x:row>
    <x:row r="10" ht="52" customHeight="1">
      <x:c r="A10" s="48" t="str">
        <x:v>Join and robust feasibility</x:v>
      </x:c>
      <x:c r="B10" s="48" t="n">
        <x:v>25</x:v>
      </x:c>
      <x:c r="C10" s="48" t="str">
        <x:v>Joins by call ID, applies every state-specific constraint, and computes worst-case metrics.</x:v>
      </x:c>
      <x:c r="D10" s="48" t="str">
        <x:v>One non-decisive omission.</x:v>
      </x:c>
      <x:c r="E10" s="48" t="str">
        <x:v>Averages away a failed state or mixes strategies.</x:v>
      </x:c>
      <x:c r="F10" s="48" t="str"/>
      <x:c r="G10" s="48" t="str"/>
      <x:c r="H10" s="48" t="str"/>
      <x:c r="I10" s="48" t="str"/>
      <x:c r="J10" s="48" t="str"/>
      <x:c r="K10" s="48" t="str"/>
      <x:c r="L10" s="48" t="str"/>
      <x:c r="M10" s="48" t="str"/>
      <x:c r="N10" s="48" t="str"/>
      <x:c r="O10" s="48" t="str"/>
    </x:row>
    <x:row r="11" ht="52" customHeight="1">
      <x:c r="A11" s="48" t="str">
        <x:v>Decision and explanation</x:v>
      </x:c>
      <x:c r="B11" s="48" t="n">
        <x:v>20</x:v>
      </x:c>
      <x:c r="C11" s="48" t="str">
        <x:v>Selects C, cites decisive metrics and explains at least three rejected strategies.</x:v>
      </x:c>
      <x:c r="D11" s="48" t="str">
        <x:v>Correct winner with limited explanation.</x:v>
      </x:c>
      <x:c r="E11" s="48" t="str">
        <x:v>Wrong winner or ranking before feasibility filtering.</x:v>
      </x:c>
      <x:c r="F11" s="48" t="str"/>
      <x:c r="G11" s="48" t="str"/>
      <x:c r="H11" s="48" t="str"/>
      <x:c r="I11" s="48" t="str"/>
      <x:c r="J11" s="48" t="str"/>
      <x:c r="K11" s="48" t="str"/>
      <x:c r="L11" s="48" t="str"/>
      <x:c r="M11" s="48" t="str"/>
      <x:c r="N11" s="48" t="str"/>
      <x:c r="O11" s="48" t="str"/>
    </x:row>
    <x:row r="12">
      <x:c r="A12" s="1"/>
      <x:c r="B12" s="1"/>
      <x:c r="C12" s="1"/>
      <x:c r="D12" s="1"/>
      <x:c r="E12" s="1"/>
      <x:c r="F12" s="1"/>
      <x:c r="G12" s="1"/>
      <x:c r="H12" s="1"/>
      <x:c r="I12" s="1"/>
      <x:c r="J12" s="1"/>
      <x:c r="K12" s="1"/>
      <x:c r="L12" s="1"/>
      <x:c r="M12" s="1"/>
      <x:c r="N12" s="1"/>
      <x:c r="O12" s="1"/>
    </x:row>
    <x:row r="13">
      <x:c r="A13" s="154" t="str">
        <x:v>Critical cap: an answer without evidence from both simulator families cannot score above 50, even if the final strategy is guessed correctly.</x:v>
      </x:c>
      <x:c r="B13" s="155"/>
      <x:c r="C13" s="155"/>
      <x:c r="D13" s="155"/>
      <x:c r="E13" s="155"/>
      <x:c r="F13" s="155"/>
      <x:c r="G13" s="155"/>
      <x:c r="H13" s="155"/>
      <x:c r="I13" s="155"/>
      <x:c r="J13" s="155"/>
      <x:c r="K13" s="155"/>
      <x:c r="L13" s="155"/>
      <x:c r="M13" s="155"/>
      <x:c r="N13" s="155"/>
      <x:c r="O13" s="156"/>
    </x:row>
    <x:row r="14">
      <x:c r="A14" s="157"/>
      <x:c r="B14" s="158"/>
      <x:c r="C14" s="158"/>
      <x:c r="D14" s="158"/>
      <x:c r="E14" s="158"/>
      <x:c r="F14" s="158"/>
      <x:c r="G14" s="158"/>
      <x:c r="H14" s="158"/>
      <x:c r="I14" s="158"/>
      <x:c r="J14" s="158"/>
      <x:c r="K14" s="158"/>
      <x:c r="L14" s="158"/>
      <x:c r="M14" s="158"/>
      <x:c r="N14" s="158"/>
      <x:c r="O14" s="159"/>
    </x:row>
    <x:row r="15">
      <x:c r="A15" s="1"/>
      <x:c r="B15" s="1"/>
      <x:c r="C15" s="1"/>
      <x:c r="D15" s="1"/>
      <x:c r="E15" s="1"/>
      <x:c r="F15" s="1"/>
      <x:c r="G15" s="1"/>
      <x:c r="H15" s="1"/>
      <x:c r="I15" s="1"/>
      <x:c r="J15" s="1"/>
      <x:c r="K15" s="1"/>
      <x:c r="L15" s="1"/>
      <x:c r="M15" s="1"/>
      <x:c r="N15" s="1"/>
      <x:c r="O15" s="1"/>
    </x:row>
    <x:row r="16">
      <x:c r="A16" s="1"/>
      <x:c r="B16" s="1"/>
      <x:c r="C16" s="1"/>
      <x:c r="D16" s="1"/>
      <x:c r="E16" s="1"/>
      <x:c r="F16" s="1"/>
      <x:c r="G16" s="1"/>
      <x:c r="H16" s="1"/>
      <x:c r="I16" s="1"/>
      <x:c r="J16" s="1"/>
      <x:c r="K16" s="1"/>
      <x:c r="L16" s="1"/>
      <x:c r="M16" s="1"/>
      <x:c r="N16" s="1"/>
      <x:c r="O16" s="1"/>
    </x:row>
    <x:row r="17">
      <x:c r="A17" s="1"/>
      <x:c r="B17" s="1"/>
      <x:c r="C17" s="1"/>
      <x:c r="D17" s="1"/>
      <x:c r="E17" s="1"/>
      <x:c r="F17" s="1"/>
      <x:c r="G17" s="1"/>
      <x:c r="H17" s="1"/>
      <x:c r="I17" s="1"/>
      <x:c r="J17" s="1"/>
      <x:c r="K17" s="1"/>
      <x:c r="L17" s="1"/>
      <x:c r="M17" s="1"/>
      <x:c r="N17" s="1"/>
      <x:c r="O17" s="1"/>
    </x:row>
    <x:row r="18">
      <x:c r="A18" s="1"/>
      <x:c r="B18" s="1"/>
      <x:c r="C18" s="1"/>
      <x:c r="D18" s="1"/>
      <x:c r="E18" s="1"/>
      <x:c r="F18" s="1"/>
      <x:c r="G18" s="1"/>
      <x:c r="H18" s="1"/>
      <x:c r="I18" s="1"/>
      <x:c r="J18" s="1"/>
      <x:c r="K18" s="1"/>
      <x:c r="L18" s="1"/>
      <x:c r="M18" s="1"/>
      <x:c r="N18" s="1"/>
      <x:c r="O18" s="1"/>
    </x:row>
    <x:row r="19">
      <x:c r="A19" s="1"/>
      <x:c r="B19" s="1"/>
      <x:c r="C19" s="1"/>
      <x:c r="D19" s="1"/>
      <x:c r="E19" s="1"/>
      <x:c r="F19" s="1"/>
      <x:c r="G19" s="1"/>
      <x:c r="H19" s="1"/>
      <x:c r="I19" s="1"/>
      <x:c r="J19" s="1"/>
      <x:c r="K19" s="1"/>
      <x:c r="L19" s="1"/>
      <x:c r="M19" s="1"/>
      <x:c r="N19" s="1"/>
      <x:c r="O19" s="1"/>
    </x:row>
    <x:row r="20">
      <x:c r="A20" s="1"/>
      <x:c r="B20" s="1"/>
      <x:c r="C20" s="1"/>
      <x:c r="D20" s="1"/>
      <x:c r="E20" s="1"/>
      <x:c r="F20" s="1"/>
      <x:c r="G20" s="1"/>
      <x:c r="H20" s="1"/>
      <x:c r="I20" s="1"/>
      <x:c r="J20" s="1"/>
      <x:c r="K20" s="1"/>
      <x:c r="L20" s="1"/>
      <x:c r="M20" s="1"/>
      <x:c r="N20" s="1"/>
      <x:c r="O20" s="1"/>
    </x:row>
    <x:row r="21">
      <x:c r="A21" s="1"/>
      <x:c r="B21" s="1"/>
      <x:c r="C21" s="1"/>
      <x:c r="D21" s="1"/>
      <x:c r="E21" s="1"/>
      <x:c r="F21" s="1"/>
      <x:c r="G21" s="1"/>
      <x:c r="H21" s="1"/>
      <x:c r="I21" s="1"/>
      <x:c r="J21" s="1"/>
      <x:c r="K21" s="1"/>
      <x:c r="L21" s="1"/>
      <x:c r="M21" s="1"/>
      <x:c r="N21" s="1"/>
      <x:c r="O21" s="1"/>
    </x:row>
    <x:row r="22">
      <x:c r="A22" s="1"/>
      <x:c r="B22" s="1"/>
      <x:c r="C22" s="1"/>
      <x:c r="D22" s="1"/>
      <x:c r="E22" s="1"/>
      <x:c r="F22" s="1"/>
      <x:c r="G22" s="1"/>
      <x:c r="H22" s="1"/>
      <x:c r="I22" s="1"/>
      <x:c r="J22" s="1"/>
      <x:c r="K22" s="1"/>
      <x:c r="L22" s="1"/>
      <x:c r="M22" s="1"/>
      <x:c r="N22" s="1"/>
      <x:c r="O22" s="1"/>
    </x:row>
    <x:row r="23">
      <x:c r="A23" s="1"/>
      <x:c r="B23" s="1"/>
      <x:c r="C23" s="1"/>
      <x:c r="D23" s="1"/>
      <x:c r="E23" s="1"/>
      <x:c r="F23" s="1"/>
      <x:c r="G23" s="1"/>
      <x:c r="H23" s="1"/>
      <x:c r="I23" s="1"/>
      <x:c r="J23" s="1"/>
      <x:c r="K23" s="1"/>
      <x:c r="L23" s="1"/>
      <x:c r="M23" s="1"/>
      <x:c r="N23" s="1"/>
      <x:c r="O23" s="1"/>
    </x:row>
    <x:row r="24">
      <x:c r="A24" s="1"/>
      <x:c r="B24" s="1"/>
      <x:c r="C24" s="1"/>
      <x:c r="D24" s="1"/>
      <x:c r="E24" s="1"/>
      <x:c r="F24" s="1"/>
      <x:c r="G24" s="1"/>
      <x:c r="H24" s="1"/>
      <x:c r="I24" s="1"/>
      <x:c r="J24" s="1"/>
      <x:c r="K24" s="1"/>
      <x:c r="L24" s="1"/>
      <x:c r="M24" s="1"/>
      <x:c r="N24" s="1"/>
      <x:c r="O24" s="1"/>
    </x:row>
    <x:row r="25">
      <x:c r="A25" s="1"/>
      <x:c r="B25" s="1"/>
      <x:c r="C25" s="1"/>
      <x:c r="D25" s="1"/>
      <x:c r="E25" s="1"/>
      <x:c r="F25" s="1"/>
      <x:c r="G25" s="1"/>
      <x:c r="H25" s="1"/>
      <x:c r="I25" s="1"/>
      <x:c r="J25" s="1"/>
      <x:c r="K25" s="1"/>
      <x:c r="L25" s="1"/>
      <x:c r="M25" s="1"/>
      <x:c r="N25" s="1"/>
      <x:c r="O25" s="1"/>
    </x:row>
    <x:row r="26">
      <x:c r="A26" s="1"/>
      <x:c r="B26" s="1"/>
      <x:c r="C26" s="1"/>
      <x:c r="D26" s="1"/>
      <x:c r="E26" s="1"/>
      <x:c r="F26" s="1"/>
      <x:c r="G26" s="1"/>
      <x:c r="H26" s="1"/>
      <x:c r="I26" s="1"/>
      <x:c r="J26" s="1"/>
      <x:c r="K26" s="1"/>
      <x:c r="L26" s="1"/>
      <x:c r="M26" s="1"/>
      <x:c r="N26" s="1"/>
      <x:c r="O26" s="1"/>
    </x:row>
    <x:row r="27">
      <x:c r="A27" s="1"/>
      <x:c r="B27" s="1"/>
      <x:c r="C27" s="1"/>
      <x:c r="D27" s="1"/>
      <x:c r="E27" s="1"/>
      <x:c r="F27" s="1"/>
      <x:c r="G27" s="1"/>
      <x:c r="H27" s="1"/>
      <x:c r="I27" s="1"/>
      <x:c r="J27" s="1"/>
      <x:c r="K27" s="1"/>
      <x:c r="L27" s="1"/>
      <x:c r="M27" s="1"/>
      <x:c r="N27" s="1"/>
      <x:c r="O27" s="1"/>
    </x:row>
    <x:row r="28">
      <x:c r="A28" s="1"/>
      <x:c r="B28" s="1"/>
      <x:c r="C28" s="1"/>
      <x:c r="D28" s="1"/>
      <x:c r="E28" s="1"/>
      <x:c r="F28" s="1"/>
      <x:c r="G28" s="1"/>
      <x:c r="H28" s="1"/>
      <x:c r="I28" s="1"/>
      <x:c r="J28" s="1"/>
      <x:c r="K28" s="1"/>
      <x:c r="L28" s="1"/>
      <x:c r="M28" s="1"/>
      <x:c r="N28" s="1"/>
      <x:c r="O28" s="1"/>
    </x:row>
    <x:row r="29">
      <x:c r="A29" s="1"/>
      <x:c r="B29" s="1"/>
      <x:c r="C29" s="1"/>
      <x:c r="D29" s="1"/>
      <x:c r="E29" s="1"/>
      <x:c r="F29" s="1"/>
      <x:c r="G29" s="1"/>
      <x:c r="H29" s="1"/>
      <x:c r="I29" s="1"/>
      <x:c r="J29" s="1"/>
      <x:c r="K29" s="1"/>
      <x:c r="L29" s="1"/>
      <x:c r="M29" s="1"/>
      <x:c r="N29" s="1"/>
      <x:c r="O29" s="1"/>
    </x:row>
    <x:row r="30">
      <x:c r="A30" s="1"/>
      <x:c r="B30" s="1"/>
      <x:c r="C30" s="1"/>
      <x:c r="D30" s="1"/>
      <x:c r="E30" s="1"/>
      <x:c r="F30" s="1"/>
      <x:c r="G30" s="1"/>
      <x:c r="H30" s="1"/>
      <x:c r="I30" s="1"/>
      <x:c r="J30" s="1"/>
      <x:c r="K30" s="1"/>
      <x:c r="L30" s="1"/>
      <x:c r="M30" s="1"/>
      <x:c r="N30" s="1"/>
      <x:c r="O30" s="1"/>
    </x:row>
    <x:row r="31">
      <x:c r="A31" s="1"/>
      <x:c r="B31" s="1"/>
      <x:c r="C31" s="1"/>
      <x:c r="D31" s="1"/>
      <x:c r="E31" s="1"/>
      <x:c r="F31" s="1"/>
      <x:c r="G31" s="1"/>
      <x:c r="H31" s="1"/>
      <x:c r="I31" s="1"/>
      <x:c r="J31" s="1"/>
      <x:c r="K31" s="1"/>
      <x:c r="L31" s="1"/>
      <x:c r="M31" s="1"/>
      <x:c r="N31" s="1"/>
      <x:c r="O31" s="1"/>
    </x:row>
    <x:row r="32">
      <x:c r="A32" s="1"/>
      <x:c r="B32" s="1"/>
      <x:c r="C32" s="1"/>
      <x:c r="D32" s="1"/>
      <x:c r="E32" s="1"/>
      <x:c r="F32" s="1"/>
      <x:c r="G32" s="1"/>
      <x:c r="H32" s="1"/>
      <x:c r="I32" s="1"/>
      <x:c r="J32" s="1"/>
      <x:c r="K32" s="1"/>
      <x:c r="L32" s="1"/>
      <x:c r="M32" s="1"/>
      <x:c r="N32" s="1"/>
      <x:c r="O32" s="1"/>
    </x:row>
    <x:row r="33">
      <x:c r="A33" s="1"/>
      <x:c r="B33" s="1"/>
      <x:c r="C33" s="1"/>
      <x:c r="D33" s="1"/>
      <x:c r="E33" s="1"/>
      <x:c r="F33" s="1"/>
      <x:c r="G33" s="1"/>
      <x:c r="H33" s="1"/>
      <x:c r="I33" s="1"/>
      <x:c r="J33" s="1"/>
      <x:c r="K33" s="1"/>
      <x:c r="L33" s="1"/>
      <x:c r="M33" s="1"/>
      <x:c r="N33" s="1"/>
      <x:c r="O33" s="1"/>
    </x:row>
    <x:row r="34">
      <x:c r="A34" s="1"/>
      <x:c r="B34" s="1"/>
      <x:c r="C34" s="1"/>
      <x:c r="D34" s="1"/>
      <x:c r="E34" s="1"/>
      <x:c r="F34" s="1"/>
      <x:c r="G34" s="1"/>
      <x:c r="H34" s="1"/>
      <x:c r="I34" s="1"/>
      <x:c r="J34" s="1"/>
      <x:c r="K34" s="1"/>
      <x:c r="L34" s="1"/>
      <x:c r="M34" s="1"/>
      <x:c r="N34" s="1"/>
      <x:c r="O34" s="1"/>
    </x:row>
    <x:row r="35">
      <x:c r="A35" s="1"/>
      <x:c r="B35" s="1"/>
      <x:c r="C35" s="1"/>
      <x:c r="D35" s="1"/>
      <x:c r="E35" s="1"/>
      <x:c r="F35" s="1"/>
      <x:c r="G35" s="1"/>
      <x:c r="H35" s="1"/>
      <x:c r="I35" s="1"/>
      <x:c r="J35" s="1"/>
      <x:c r="K35" s="1"/>
      <x:c r="L35" s="1"/>
      <x:c r="M35" s="1"/>
      <x:c r="N35" s="1"/>
      <x:c r="O35" s="1"/>
    </x:row>
    <x:row r="36">
      <x:c r="A36" s="1"/>
      <x:c r="B36" s="1"/>
      <x:c r="C36" s="1"/>
      <x:c r="D36" s="1"/>
      <x:c r="E36" s="1"/>
      <x:c r="F36" s="1"/>
      <x:c r="G36" s="1"/>
      <x:c r="H36" s="1"/>
      <x:c r="I36" s="1"/>
      <x:c r="J36" s="1"/>
      <x:c r="K36" s="1"/>
      <x:c r="L36" s="1"/>
      <x:c r="M36" s="1"/>
      <x:c r="N36" s="1"/>
      <x:c r="O36" s="1"/>
    </x:row>
    <x:row r="37">
      <x:c r="A37" s="1"/>
      <x:c r="B37" s="1"/>
      <x:c r="C37" s="1"/>
      <x:c r="D37" s="1"/>
      <x:c r="E37" s="1"/>
      <x:c r="F37" s="1"/>
      <x:c r="G37" s="1"/>
      <x:c r="H37" s="1"/>
      <x:c r="I37" s="1"/>
      <x:c r="J37" s="1"/>
      <x:c r="K37" s="1"/>
      <x:c r="L37" s="1"/>
      <x:c r="M37" s="1"/>
      <x:c r="N37" s="1"/>
      <x:c r="O37" s="1"/>
    </x:row>
    <x:row r="38">
      <x:c r="A38" s="1"/>
      <x:c r="B38" s="1"/>
      <x:c r="C38" s="1"/>
      <x:c r="D38" s="1"/>
      <x:c r="E38" s="1"/>
      <x:c r="F38" s="1"/>
      <x:c r="G38" s="1"/>
      <x:c r="H38" s="1"/>
      <x:c r="I38" s="1"/>
      <x:c r="J38" s="1"/>
      <x:c r="K38" s="1"/>
      <x:c r="L38" s="1"/>
      <x:c r="M38" s="1"/>
      <x:c r="N38" s="1"/>
      <x:c r="O38" s="1"/>
    </x:row>
    <x:row r="39">
      <x:c r="A39" s="1"/>
      <x:c r="B39" s="1"/>
      <x:c r="C39" s="1"/>
      <x:c r="D39" s="1"/>
      <x:c r="E39" s="1"/>
      <x:c r="F39" s="1"/>
      <x:c r="G39" s="1"/>
      <x:c r="H39" s="1"/>
      <x:c r="I39" s="1"/>
      <x:c r="J39" s="1"/>
      <x:c r="K39" s="1"/>
      <x:c r="L39" s="1"/>
      <x:c r="M39" s="1"/>
      <x:c r="N39" s="1"/>
      <x:c r="O39" s="1"/>
    </x:row>
    <x:row r="40">
      <x:c r="A40" s="1"/>
      <x:c r="B40" s="1"/>
      <x:c r="C40" s="1"/>
      <x:c r="D40" s="1"/>
      <x:c r="E40" s="1"/>
      <x:c r="F40" s="1"/>
      <x:c r="G40" s="1"/>
      <x:c r="H40" s="1"/>
      <x:c r="I40" s="1"/>
      <x:c r="J40" s="1"/>
      <x:c r="K40" s="1"/>
      <x:c r="L40" s="1"/>
      <x:c r="M40" s="1"/>
      <x:c r="N40" s="1"/>
      <x:c r="O40" s="1"/>
    </x:row>
    <x:row r="41">
      <x:c r="A41" s="1"/>
      <x:c r="B41" s="1"/>
      <x:c r="C41" s="1"/>
      <x:c r="D41" s="1"/>
      <x:c r="E41" s="1"/>
      <x:c r="F41" s="1"/>
      <x:c r="G41" s="1"/>
      <x:c r="H41" s="1"/>
      <x:c r="I41" s="1"/>
      <x:c r="J41" s="1"/>
      <x:c r="K41" s="1"/>
      <x:c r="L41" s="1"/>
      <x:c r="M41" s="1"/>
      <x:c r="N41" s="1"/>
      <x:c r="O41" s="1"/>
    </x:row>
    <x:row r="42">
      <x:c r="A42" s="1"/>
      <x:c r="B42" s="1"/>
      <x:c r="C42" s="1"/>
      <x:c r="D42" s="1"/>
      <x:c r="E42" s="1"/>
      <x:c r="F42" s="1"/>
      <x:c r="G42" s="1"/>
      <x:c r="H42" s="1"/>
      <x:c r="I42" s="1"/>
      <x:c r="J42" s="1"/>
      <x:c r="K42" s="1"/>
      <x:c r="L42" s="1"/>
      <x:c r="M42" s="1"/>
      <x:c r="N42" s="1"/>
      <x:c r="O42" s="1"/>
    </x:row>
    <x:row r="43">
      <x:c r="A43" s="1"/>
      <x:c r="B43" s="1"/>
      <x:c r="C43" s="1"/>
      <x:c r="D43" s="1"/>
      <x:c r="E43" s="1"/>
      <x:c r="F43" s="1"/>
      <x:c r="G43" s="1"/>
      <x:c r="H43" s="1"/>
      <x:c r="I43" s="1"/>
      <x:c r="J43" s="1"/>
      <x:c r="K43" s="1"/>
      <x:c r="L43" s="1"/>
      <x:c r="M43" s="1"/>
      <x:c r="N43" s="1"/>
      <x:c r="O43" s="1"/>
    </x:row>
    <x:row r="44">
      <x:c r="A44" s="1"/>
      <x:c r="B44" s="1"/>
      <x:c r="C44" s="1"/>
      <x:c r="D44" s="1"/>
      <x:c r="E44" s="1"/>
      <x:c r="F44" s="1"/>
      <x:c r="G44" s="1"/>
      <x:c r="H44" s="1"/>
      <x:c r="I44" s="1"/>
      <x:c r="J44" s="1"/>
      <x:c r="K44" s="1"/>
      <x:c r="L44" s="1"/>
      <x:c r="M44" s="1"/>
      <x:c r="N44" s="1"/>
      <x:c r="O44" s="1"/>
    </x:row>
    <x:row r="45">
      <x:c r="A45" s="1"/>
      <x:c r="B45" s="1"/>
      <x:c r="C45" s="1"/>
      <x:c r="D45" s="1"/>
      <x:c r="E45" s="1"/>
      <x:c r="F45" s="1"/>
      <x:c r="G45" s="1"/>
      <x:c r="H45" s="1"/>
      <x:c r="I45" s="1"/>
      <x:c r="J45" s="1"/>
      <x:c r="K45" s="1"/>
      <x:c r="L45" s="1"/>
      <x:c r="M45" s="1"/>
      <x:c r="N45" s="1"/>
      <x:c r="O45" s="1"/>
    </x:row>
    <x:row r="46">
      <x:c r="A46" s="1"/>
      <x:c r="B46" s="1"/>
      <x:c r="C46" s="1"/>
      <x:c r="D46" s="1"/>
      <x:c r="E46" s="1"/>
      <x:c r="F46" s="1"/>
      <x:c r="G46" s="1"/>
      <x:c r="H46" s="1"/>
      <x:c r="I46" s="1"/>
      <x:c r="J46" s="1"/>
      <x:c r="K46" s="1"/>
      <x:c r="L46" s="1"/>
      <x:c r="M46" s="1"/>
      <x:c r="N46" s="1"/>
      <x:c r="O46" s="1"/>
    </x:row>
    <x:row r="47">
      <x:c r="A47" s="1"/>
      <x:c r="B47" s="1"/>
      <x:c r="C47" s="1"/>
      <x:c r="D47" s="1"/>
      <x:c r="E47" s="1"/>
      <x:c r="F47" s="1"/>
      <x:c r="G47" s="1"/>
      <x:c r="H47" s="1"/>
      <x:c r="I47" s="1"/>
      <x:c r="J47" s="1"/>
      <x:c r="K47" s="1"/>
      <x:c r="L47" s="1"/>
      <x:c r="M47" s="1"/>
      <x:c r="N47" s="1"/>
      <x:c r="O47" s="1"/>
    </x:row>
    <x:row r="48">
      <x:c r="A48" s="1"/>
      <x:c r="B48" s="1"/>
      <x:c r="C48" s="1"/>
      <x:c r="D48" s="1"/>
      <x:c r="E48" s="1"/>
      <x:c r="F48" s="1"/>
      <x:c r="G48" s="1"/>
      <x:c r="H48" s="1"/>
      <x:c r="I48" s="1"/>
      <x:c r="J48" s="1"/>
      <x:c r="K48" s="1"/>
      <x:c r="L48" s="1"/>
      <x:c r="M48" s="1"/>
      <x:c r="N48" s="1"/>
      <x:c r="O48" s="1"/>
    </x:row>
    <x:row r="49">
      <x:c r="A49" s="1"/>
      <x:c r="B49" s="1"/>
      <x:c r="C49" s="1"/>
      <x:c r="D49" s="1"/>
      <x:c r="E49" s="1"/>
      <x:c r="F49" s="1"/>
      <x:c r="G49" s="1"/>
      <x:c r="H49" s="1"/>
      <x:c r="I49" s="1"/>
      <x:c r="J49" s="1"/>
      <x:c r="K49" s="1"/>
      <x:c r="L49" s="1"/>
      <x:c r="M49" s="1"/>
      <x:c r="N49" s="1"/>
      <x:c r="O49" s="1"/>
    </x:row>
    <x:row r="50">
      <x:c r="A50" s="1"/>
      <x:c r="B50" s="1"/>
      <x:c r="C50" s="1"/>
      <x:c r="D50" s="1"/>
      <x:c r="E50" s="1"/>
      <x:c r="F50" s="1"/>
      <x:c r="G50" s="1"/>
      <x:c r="H50" s="1"/>
      <x:c r="I50" s="1"/>
      <x:c r="J50" s="1"/>
      <x:c r="K50" s="1"/>
      <x:c r="L50" s="1"/>
      <x:c r="M50" s="1"/>
      <x:c r="N50" s="1"/>
      <x:c r="O50" s="1"/>
    </x:row>
    <x:row r="51">
      <x:c r="A51" s="1"/>
      <x:c r="B51" s="1"/>
      <x:c r="C51" s="1"/>
      <x:c r="D51" s="1"/>
      <x:c r="E51" s="1"/>
      <x:c r="F51" s="1"/>
      <x:c r="G51" s="1"/>
      <x:c r="H51" s="1"/>
      <x:c r="I51" s="1"/>
      <x:c r="J51" s="1"/>
      <x:c r="K51" s="1"/>
      <x:c r="L51" s="1"/>
      <x:c r="M51" s="1"/>
      <x:c r="N51" s="1"/>
      <x:c r="O51" s="1"/>
    </x:row>
    <x:row r="52">
      <x:c r="A52" s="1"/>
      <x:c r="B52" s="1"/>
      <x:c r="C52" s="1"/>
      <x:c r="D52" s="1"/>
      <x:c r="E52" s="1"/>
      <x:c r="F52" s="1"/>
      <x:c r="G52" s="1"/>
      <x:c r="H52" s="1"/>
      <x:c r="I52" s="1"/>
      <x:c r="J52" s="1"/>
      <x:c r="K52" s="1"/>
      <x:c r="L52" s="1"/>
      <x:c r="M52" s="1"/>
      <x:c r="N52" s="1"/>
      <x:c r="O52" s="1"/>
    </x:row>
    <x:row r="53">
      <x:c r="A53" s="1"/>
      <x:c r="B53" s="1"/>
      <x:c r="C53" s="1"/>
      <x:c r="D53" s="1"/>
      <x:c r="E53" s="1"/>
      <x:c r="F53" s="1"/>
      <x:c r="G53" s="1"/>
      <x:c r="H53" s="1"/>
      <x:c r="I53" s="1"/>
      <x:c r="J53" s="1"/>
      <x:c r="K53" s="1"/>
      <x:c r="L53" s="1"/>
      <x:c r="M53" s="1"/>
      <x:c r="N53" s="1"/>
      <x:c r="O53" s="1"/>
    </x:row>
    <x:row r="54">
      <x:c r="A54" s="1"/>
      <x:c r="B54" s="1"/>
      <x:c r="C54" s="1"/>
      <x:c r="D54" s="1"/>
      <x:c r="E54" s="1"/>
      <x:c r="F54" s="1"/>
      <x:c r="G54" s="1"/>
      <x:c r="H54" s="1"/>
      <x:c r="I54" s="1"/>
      <x:c r="J54" s="1"/>
      <x:c r="K54" s="1"/>
      <x:c r="L54" s="1"/>
      <x:c r="M54" s="1"/>
      <x:c r="N54" s="1"/>
      <x:c r="O54" s="1"/>
    </x:row>
    <x:row r="55">
      <x:c r="A55" s="1"/>
      <x:c r="B55" s="1"/>
      <x:c r="C55" s="1"/>
      <x:c r="D55" s="1"/>
      <x:c r="E55" s="1"/>
      <x:c r="F55" s="1"/>
      <x:c r="G55" s="1"/>
      <x:c r="H55" s="1"/>
      <x:c r="I55" s="1"/>
      <x:c r="J55" s="1"/>
      <x:c r="K55" s="1"/>
      <x:c r="L55" s="1"/>
      <x:c r="M55" s="1"/>
      <x:c r="N55" s="1"/>
      <x:c r="O55" s="1"/>
    </x:row>
    <x:row r="56">
      <x:c r="A56" s="1"/>
      <x:c r="B56" s="1"/>
      <x:c r="C56" s="1"/>
      <x:c r="D56" s="1"/>
      <x:c r="E56" s="1"/>
      <x:c r="F56" s="1"/>
      <x:c r="G56" s="1"/>
      <x:c r="H56" s="1"/>
      <x:c r="I56" s="1"/>
      <x:c r="J56" s="1"/>
      <x:c r="K56" s="1"/>
      <x:c r="L56" s="1"/>
      <x:c r="M56" s="1"/>
      <x:c r="N56" s="1"/>
      <x:c r="O56" s="1"/>
    </x:row>
    <x:row r="57">
      <x:c r="A57" s="1"/>
      <x:c r="B57" s="1"/>
      <x:c r="C57" s="1"/>
      <x:c r="D57" s="1"/>
      <x:c r="E57" s="1"/>
      <x:c r="F57" s="1"/>
      <x:c r="G57" s="1"/>
      <x:c r="H57" s="1"/>
      <x:c r="I57" s="1"/>
      <x:c r="J57" s="1"/>
      <x:c r="K57" s="1"/>
      <x:c r="L57" s="1"/>
      <x:c r="M57" s="1"/>
      <x:c r="N57" s="1"/>
      <x:c r="O57" s="1"/>
    </x:row>
    <x:row r="58">
      <x:c r="A58" s="1"/>
      <x:c r="B58" s="1"/>
      <x:c r="C58" s="1"/>
      <x:c r="D58" s="1"/>
      <x:c r="E58" s="1"/>
      <x:c r="F58" s="1"/>
      <x:c r="G58" s="1"/>
      <x:c r="H58" s="1"/>
      <x:c r="I58" s="1"/>
      <x:c r="J58" s="1"/>
      <x:c r="K58" s="1"/>
      <x:c r="L58" s="1"/>
      <x:c r="M58" s="1"/>
      <x:c r="N58" s="1"/>
      <x:c r="O58" s="1"/>
    </x:row>
    <x:row r="59">
      <x:c r="A59" s="1"/>
      <x:c r="B59" s="1"/>
      <x:c r="C59" s="1"/>
      <x:c r="D59" s="1"/>
      <x:c r="E59" s="1"/>
      <x:c r="F59" s="1"/>
      <x:c r="G59" s="1"/>
      <x:c r="H59" s="1"/>
      <x:c r="I59" s="1"/>
      <x:c r="J59" s="1"/>
      <x:c r="K59" s="1"/>
      <x:c r="L59" s="1"/>
      <x:c r="M59" s="1"/>
      <x:c r="N59" s="1"/>
      <x:c r="O59" s="1"/>
    </x:row>
    <x:row r="60">
      <x:c r="A60" s="1"/>
      <x:c r="B60" s="1"/>
      <x:c r="C60" s="1"/>
      <x:c r="D60" s="1"/>
      <x:c r="E60" s="1"/>
      <x:c r="F60" s="1"/>
      <x:c r="G60" s="1"/>
      <x:c r="H60" s="1"/>
      <x:c r="I60" s="1"/>
      <x:c r="J60" s="1"/>
      <x:c r="K60" s="1"/>
      <x:c r="L60" s="1"/>
      <x:c r="M60" s="1"/>
      <x:c r="N60" s="1"/>
      <x:c r="O60" s="1"/>
    </x:row>
    <x:row r="61">
      <x:c r="A61" s="1"/>
      <x:c r="B61" s="1"/>
      <x:c r="C61" s="1"/>
      <x:c r="D61" s="1"/>
      <x:c r="E61" s="1"/>
      <x:c r="F61" s="1"/>
      <x:c r="G61" s="1"/>
      <x:c r="H61" s="1"/>
      <x:c r="I61" s="1"/>
      <x:c r="J61" s="1"/>
      <x:c r="K61" s="1"/>
      <x:c r="L61" s="1"/>
      <x:c r="M61" s="1"/>
      <x:c r="N61" s="1"/>
      <x:c r="O61" s="1"/>
    </x:row>
    <x:row r="62">
      <x:c r="A62" s="1"/>
      <x:c r="B62" s="1"/>
      <x:c r="C62" s="1"/>
      <x:c r="D62" s="1"/>
      <x:c r="E62" s="1"/>
      <x:c r="F62" s="1"/>
      <x:c r="G62" s="1"/>
      <x:c r="H62" s="1"/>
      <x:c r="I62" s="1"/>
      <x:c r="J62" s="1"/>
      <x:c r="K62" s="1"/>
      <x:c r="L62" s="1"/>
      <x:c r="M62" s="1"/>
      <x:c r="N62" s="1"/>
      <x:c r="O62" s="1"/>
    </x:row>
    <x:row r="63">
      <x:c r="A63" s="1"/>
      <x:c r="B63" s="1"/>
      <x:c r="C63" s="1"/>
      <x:c r="D63" s="1"/>
      <x:c r="E63" s="1"/>
      <x:c r="F63" s="1"/>
      <x:c r="G63" s="1"/>
      <x:c r="H63" s="1"/>
      <x:c r="I63" s="1"/>
      <x:c r="J63" s="1"/>
      <x:c r="K63" s="1"/>
      <x:c r="L63" s="1"/>
      <x:c r="M63" s="1"/>
      <x:c r="N63" s="1"/>
      <x:c r="O63" s="1"/>
    </x:row>
    <x:row r="64">
      <x:c r="A64" s="1"/>
      <x:c r="B64" s="1"/>
      <x:c r="C64" s="1"/>
      <x:c r="D64" s="1"/>
      <x:c r="E64" s="1"/>
      <x:c r="F64" s="1"/>
      <x:c r="G64" s="1"/>
      <x:c r="H64" s="1"/>
      <x:c r="I64" s="1"/>
      <x:c r="J64" s="1"/>
      <x:c r="K64" s="1"/>
      <x:c r="L64" s="1"/>
      <x:c r="M64" s="1"/>
      <x:c r="N64" s="1"/>
      <x:c r="O64" s="1"/>
    </x:row>
    <x:row r="65">
      <x:c r="A65" s="1"/>
      <x:c r="B65" s="1"/>
      <x:c r="C65" s="1"/>
      <x:c r="D65" s="1"/>
      <x:c r="E65" s="1"/>
      <x:c r="F65" s="1"/>
      <x:c r="G65" s="1"/>
      <x:c r="H65" s="1"/>
      <x:c r="I65" s="1"/>
      <x:c r="J65" s="1"/>
      <x:c r="K65" s="1"/>
      <x:c r="L65" s="1"/>
      <x:c r="M65" s="1"/>
      <x:c r="N65" s="1"/>
      <x:c r="O65" s="1"/>
    </x:row>
  </x:sheetData>
  <x:mergeCells>
    <x:mergeCell ref="A1:O2"/>
    <x:mergeCell ref="A3:O3"/>
    <x:mergeCell ref="A5:O5"/>
    <x:mergeCell ref="E6:O6"/>
    <x:mergeCell ref="E7:O7"/>
    <x:mergeCell ref="E8:O8"/>
    <x:mergeCell ref="E9:O9"/>
    <x:mergeCell ref="E10:O10"/>
    <x:mergeCell ref="E11:O11"/>
    <x:mergeCell ref="A13:O1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0" hidden="0" customWidth="1"/>
    <x:col min="4" max="4" width="1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4" hidden="0" customWidth="1"/>
    <x:col min="14" max="14" width="18" hidden="0" customWidth="1"/>
    <x:col min="15" max="15" width="18" hidden="0" customWidth="1"/>
  </x:cols>
  <x:sheetData>
    <x:row r="1">
      <x:c r="A1" s="5" t="str">
        <x:v>Tool efficiency | D6_6c-H03</x:v>
      </x:c>
      <x:c r="B1" s="5"/>
      <x:c r="C1" s="5"/>
      <x:c r="D1" s="5"/>
      <x:c r="E1" s="5"/>
      <x:c r="F1" s="5"/>
      <x:c r="G1" s="5"/>
      <x:c r="H1" s="5"/>
      <x:c r="I1" s="5"/>
      <x:c r="J1" s="5"/>
      <x:c r="K1" s="5"/>
      <x:c r="L1" s="5"/>
      <x:c r="M1" s="5"/>
      <x:c r="N1" s="5"/>
      <x:c r="O1" s="5"/>
    </x:row>
    <x:row r="2">
      <x:c r="A2" s="5"/>
      <x:c r="B2" s="5"/>
      <x:c r="C2" s="5"/>
      <x:c r="D2" s="5"/>
      <x:c r="E2" s="5"/>
      <x:c r="F2" s="5"/>
      <x:c r="G2" s="5"/>
      <x:c r="H2" s="5"/>
      <x:c r="I2" s="5"/>
      <x:c r="J2" s="5"/>
      <x:c r="K2" s="5"/>
      <x:c r="L2" s="5"/>
      <x:c r="M2" s="5"/>
      <x:c r="N2" s="5"/>
      <x:c r="O2" s="5"/>
    </x:row>
    <x:row r="3">
      <x:c r="A3" s="8" t="str">
        <x:v>Reference path for mandatory parallel multi-call simulation</x:v>
      </x:c>
      <x:c r="B3" s="8"/>
      <x:c r="C3" s="8"/>
      <x:c r="D3" s="8"/>
      <x:c r="E3" s="8"/>
      <x:c r="F3" s="8"/>
      <x:c r="G3" s="8"/>
      <x:c r="H3" s="8"/>
      <x:c r="I3" s="8"/>
      <x:c r="J3" s="8"/>
      <x:c r="K3" s="8"/>
      <x:c r="L3" s="8"/>
      <x:c r="M3" s="8"/>
      <x:c r="N3" s="8"/>
      <x:c r="O3" s="8"/>
    </x:row>
    <x:row r="4">
      <x:c r="A4" s="1"/>
      <x:c r="B4" s="1"/>
      <x:c r="C4" s="1"/>
      <x:c r="D4" s="1"/>
      <x:c r="E4" s="1"/>
      <x:c r="F4" s="1"/>
      <x:c r="G4" s="1"/>
      <x:c r="H4" s="1"/>
      <x:c r="I4" s="1"/>
      <x:c r="J4" s="1"/>
      <x:c r="K4" s="1"/>
      <x:c r="L4" s="1"/>
      <x:c r="M4" s="1"/>
      <x:c r="N4" s="1"/>
      <x:c r="O4" s="1"/>
    </x:row>
    <x:row r="5">
      <x:c r="A5" s="11" t="str">
        <x:v>Preferred trajectory</x:v>
      </x:c>
      <x:c r="B5" s="11" t="str">
        <x:v>Preferred trajectory</x:v>
      </x:c>
      <x:c r="C5" s="11" t="str">
        <x:v>Preferred trajectory</x:v>
      </x:c>
      <x:c r="D5" s="11" t="str">
        <x:v>Preferred trajectory</x:v>
      </x:c>
      <x:c r="E5" s="11" t="str">
        <x:v>Preferred trajectory</x:v>
      </x:c>
      <x:c r="F5" s="11" t="str">
        <x:v>Preferred trajectory</x:v>
      </x:c>
      <x:c r="G5" s="11" t="str">
        <x:v>Preferred trajectory</x:v>
      </x:c>
      <x:c r="H5" s="11" t="str">
        <x:v>Preferred trajectory</x:v>
      </x:c>
      <x:c r="I5" s="11" t="str">
        <x:v>Preferred trajectory</x:v>
      </x:c>
      <x:c r="J5" s="11" t="str">
        <x:v>Preferred trajectory</x:v>
      </x:c>
      <x:c r="K5" s="11" t="str">
        <x:v>Preferred trajectory</x:v>
      </x:c>
      <x:c r="L5" s="11" t="str">
        <x:v>Preferred trajectory</x:v>
      </x:c>
      <x:c r="M5" s="11" t="str">
        <x:v>Preferred trajectory</x:v>
      </x:c>
      <x:c r="N5" s="11" t="str">
        <x:v>Preferred trajectory</x:v>
      </x:c>
      <x:c r="O5" s="11" t="str">
        <x:v>Preferred trajectory</x:v>
      </x:c>
    </x:row>
    <x:row r="6">
      <x:c r="A6" s="44" t="str">
        <x:v>Step</x:v>
      </x:c>
      <x:c r="B6" s="44" t="str">
        <x:v>Branch</x:v>
      </x:c>
      <x:c r="C6" s="44" t="str">
        <x:v>Action</x:v>
      </x:c>
      <x:c r="D6" s="44" t="str">
        <x:v>Calls</x:v>
      </x:c>
      <x:c r="E6" s="44" t="str">
        <x:v>Efficiency reason</x:v>
      </x:c>
      <x:c r="F6" s="44" t="str">
        <x:v>Failure mode</x:v>
      </x:c>
      <x:c r="G6" s="44" t="str"/>
      <x:c r="H6" s="44" t="str"/>
      <x:c r="I6" s="44" t="str"/>
      <x:c r="J6" s="44" t="str"/>
      <x:c r="K6" s="44" t="str"/>
      <x:c r="L6" s="44" t="str"/>
      <x:c r="M6" s="44" t="str"/>
      <x:c r="N6" s="44" t="str"/>
      <x:c r="O6" s="44" t="str"/>
    </x:row>
    <x:row r="7" ht="48" customHeight="1">
      <x:c r="A7" s="48" t="n">
        <x:v>1</x:v>
      </x:c>
      <x:c r="B7" s="48" t="str">
        <x:v>Shared</x:v>
      </x:c>
      <x:c r="C7" s="48" t="str">
        <x:v>Create and lock 15 candidate-state input rows.</x:v>
      </x:c>
      <x:c r="D7" s="48" t="n">
        <x:v>0</x:v>
      </x:c>
      <x:c r="E7" s="48" t="str">
        <x:v>Prevents drift between simulator branches.</x:v>
      </x:c>
      <x:c r="F7" s="48" t="str">
        <x:v>Changing a package after one branch runs.</x:v>
      </x:c>
      <x:c r="G7" s="48" t="str"/>
      <x:c r="H7" s="48" t="str"/>
      <x:c r="I7" s="48" t="str"/>
      <x:c r="J7" s="48" t="str"/>
      <x:c r="K7" s="48" t="str"/>
      <x:c r="L7" s="48" t="str"/>
      <x:c r="M7" s="48" t="str"/>
      <x:c r="N7" s="48" t="str"/>
      <x:c r="O7" s="48" t="str"/>
    </x:row>
    <x:row r="8" ht="48" customHeight="1">
      <x:c r="A8" s="48" t="n">
        <x:v>2</x:v>
      </x:c>
      <x:c r="B8" s="48" t="str">
        <x:v>A</x:v>
      </x:c>
      <x:c r="C8" s="48" t="str">
        <x:v>Dispatch 15 independent simulate_ro calls and retain IDs.</x:v>
      </x:c>
      <x:c r="D8" s="48" t="n">
        <x:v>15</x:v>
      </x:c>
      <x:c r="E8" s="48" t="str">
        <x:v>No artificial serial dependency.</x:v>
      </x:c>
      <x:c r="F8" s="48" t="str">
        <x:v>Using one representative state for all rows.</x:v>
      </x:c>
      <x:c r="G8" s="48" t="str"/>
      <x:c r="H8" s="48" t="str"/>
      <x:c r="I8" s="48" t="str"/>
      <x:c r="J8" s="48" t="str"/>
      <x:c r="K8" s="48" t="str"/>
      <x:c r="L8" s="48" t="str"/>
      <x:c r="M8" s="48" t="str"/>
      <x:c r="N8" s="48" t="str"/>
      <x:c r="O8" s="48" t="str"/>
    </x:row>
    <x:row r="9" ht="48" customHeight="1">
      <x:c r="A9" s="48" t="n">
        <x:v>3</x:v>
      </x:c>
      <x:c r="B9" s="48" t="str">
        <x:v>B</x:v>
      </x:c>
      <x:c r="C9" s="48" t="str">
        <x:v>Dispatch 15 independent simulate_swro_system calls with the same IDs.</x:v>
      </x:c>
      <x:c r="D9" s="48" t="n">
        <x:v>15</x:v>
      </x:c>
      <x:c r="E9" s="48" t="str">
        <x:v>Energy and cost come from the whole-plant model.</x:v>
      </x:c>
      <x:c r="F9" s="48" t="str">
        <x:v>Inferring SEC or LCOW from membrane flux.</x:v>
      </x:c>
      <x:c r="G9" s="48" t="str"/>
      <x:c r="H9" s="48" t="str"/>
      <x:c r="I9" s="48" t="str"/>
      <x:c r="J9" s="48" t="str"/>
      <x:c r="K9" s="48" t="str"/>
      <x:c r="L9" s="48" t="str"/>
      <x:c r="M9" s="48" t="str"/>
      <x:c r="N9" s="48" t="str"/>
      <x:c r="O9" s="48" t="str"/>
    </x:row>
    <x:row r="10" ht="48" customHeight="1">
      <x:c r="A10" s="48" t="n">
        <x:v>4</x:v>
      </x:c>
      <x:c r="B10" s="48" t="str">
        <x:v>Join</x:v>
      </x:c>
      <x:c r="C10" s="48" t="str">
        <x:v>Join only after both branches finish; calculate margins and worst cases.</x:v>
      </x:c>
      <x:c r="D10" s="48" t="n">
        <x:v>0</x:v>
      </x:c>
      <x:c r="E10" s="48" t="str">
        <x:v>Preserves package lineage and robustness.</x:v>
      </x:c>
      <x:c r="F10" s="48" t="str">
        <x:v>Mixing states or averaging away failures.</x:v>
      </x:c>
      <x:c r="G10" s="48" t="str"/>
      <x:c r="H10" s="48" t="str"/>
      <x:c r="I10" s="48" t="str"/>
      <x:c r="J10" s="48" t="str"/>
      <x:c r="K10" s="48" t="str"/>
      <x:c r="L10" s="48" t="str"/>
      <x:c r="M10" s="48" t="str"/>
      <x:c r="N10" s="48" t="str"/>
      <x:c r="O10" s="48" t="str"/>
    </x:row>
    <x:row r="11" ht="48" customHeight="1">
      <x:c r="A11" s="48" t="n">
        <x:v>5</x:v>
      </x:c>
      <x:c r="B11" s="48" t="str">
        <x:v>Decision</x:v>
      </x:c>
      <x:c r="C11" s="48" t="str">
        <x:v>Filter infeasible strategies, calculate the required weighted metric and explain rejections.</x:v>
      </x:c>
      <x:c r="D11" s="48" t="n">
        <x:v>0</x:v>
      </x:c>
      <x:c r="E11" s="48" t="str">
        <x:v>Produces an auditable recommendation.</x:v>
      </x:c>
      <x:c r="F11" s="48" t="str">
        <x:v>Ranking before applying hard constraints.</x:v>
      </x:c>
      <x:c r="G11" s="48" t="str"/>
      <x:c r="H11" s="48" t="str"/>
      <x:c r="I11" s="48" t="str"/>
      <x:c r="J11" s="48" t="str"/>
      <x:c r="K11" s="48" t="str"/>
      <x:c r="L11" s="48" t="str"/>
      <x:c r="M11" s="48" t="str"/>
      <x:c r="N11" s="48" t="str"/>
      <x:c r="O11" s="48" t="str"/>
    </x:row>
    <x:row r="12">
      <x:c r="A12" s="1"/>
      <x:c r="B12" s="1"/>
      <x:c r="C12" s="1"/>
      <x:c r="D12" s="1"/>
      <x:c r="E12" s="1"/>
      <x:c r="F12" s="1"/>
      <x:c r="G12" s="1"/>
      <x:c r="H12" s="1"/>
      <x:c r="I12" s="1"/>
      <x:c r="J12" s="1"/>
      <x:c r="K12" s="1"/>
      <x:c r="L12" s="1"/>
      <x:c r="M12" s="1"/>
      <x:c r="N12" s="1"/>
      <x:c r="O12" s="1"/>
    </x:row>
    <x:row r="13">
      <x:c r="A13" s="11" t="str">
        <x:v>Call budget and prohibition</x:v>
      </x:c>
      <x:c r="B13" s="11" t="str">
        <x:v>Call budget and prohibition</x:v>
      </x:c>
      <x:c r="C13" s="11" t="str">
        <x:v>Call budget and prohibition</x:v>
      </x:c>
      <x:c r="D13" s="11" t="str">
        <x:v>Call budget and prohibition</x:v>
      </x:c>
      <x:c r="E13" s="11" t="str">
        <x:v>Call budget and prohibition</x:v>
      </x:c>
      <x:c r="F13" s="11" t="str">
        <x:v>Call budget and prohibition</x:v>
      </x:c>
      <x:c r="G13" s="11" t="str">
        <x:v>Call budget and prohibition</x:v>
      </x:c>
      <x:c r="H13" s="11" t="str">
        <x:v>Call budget and prohibition</x:v>
      </x:c>
      <x:c r="I13" s="11" t="str">
        <x:v>Call budget and prohibition</x:v>
      </x:c>
      <x:c r="J13" s="11" t="str">
        <x:v>Call budget and prohibition</x:v>
      </x:c>
      <x:c r="K13" s="11" t="str">
        <x:v>Call budget and prohibition</x:v>
      </x:c>
      <x:c r="L13" s="11" t="str">
        <x:v>Call budget and prohibition</x:v>
      </x:c>
      <x:c r="M13" s="11" t="str">
        <x:v>Call budget and prohibition</x:v>
      </x:c>
      <x:c r="N13" s="11" t="str">
        <x:v>Call budget and prohibition</x:v>
      </x:c>
      <x:c r="O13" s="11" t="str">
        <x:v>Call budget and prohibition</x:v>
      </x:c>
    </x:row>
    <x:row r="14">
      <x:c r="A14" s="137" t="str">
        <x:v>Formal budget: 15 simulate_ro + 15 simulate_swro_system = 30 required calls per benchmark. The two 15-call batches may run concurrently. No call may be skipped merely because another state looks similar; equilibrate_feed is unnecessary because these tasks contain no mineral-speciation constraint.</x:v>
      </x:c>
      <x:c r="B14" s="138"/>
      <x:c r="C14" s="138"/>
      <x:c r="D14" s="138"/>
      <x:c r="E14" s="138"/>
      <x:c r="F14" s="138"/>
      <x:c r="G14" s="138"/>
      <x:c r="H14" s="138"/>
      <x:c r="I14" s="138"/>
      <x:c r="J14" s="138"/>
      <x:c r="K14" s="138"/>
      <x:c r="L14" s="138"/>
      <x:c r="M14" s="138"/>
      <x:c r="N14" s="138"/>
      <x:c r="O14" s="139"/>
    </x:row>
    <x:row r="15">
      <x:c r="A15" s="140"/>
      <x:c r="B15" s="141"/>
      <x:c r="C15" s="141"/>
      <x:c r="D15" s="141"/>
      <x:c r="E15" s="141"/>
      <x:c r="F15" s="141"/>
      <x:c r="G15" s="141"/>
      <x:c r="H15" s="141"/>
      <x:c r="I15" s="141"/>
      <x:c r="J15" s="141"/>
      <x:c r="K15" s="141"/>
      <x:c r="L15" s="141"/>
      <x:c r="M15" s="141"/>
      <x:c r="N15" s="141"/>
      <x:c r="O15" s="142"/>
    </x:row>
    <x:row r="16">
      <x:c r="A16" s="140"/>
      <x:c r="B16" s="141"/>
      <x:c r="C16" s="141"/>
      <x:c r="D16" s="141"/>
      <x:c r="E16" s="141"/>
      <x:c r="F16" s="141"/>
      <x:c r="G16" s="141"/>
      <x:c r="H16" s="141"/>
      <x:c r="I16" s="141"/>
      <x:c r="J16" s="141"/>
      <x:c r="K16" s="141"/>
      <x:c r="L16" s="141"/>
      <x:c r="M16" s="141"/>
      <x:c r="N16" s="141"/>
      <x:c r="O16" s="142"/>
    </x:row>
    <x:row r="17">
      <x:c r="A17" s="143"/>
      <x:c r="B17" s="144"/>
      <x:c r="C17" s="144"/>
      <x:c r="D17" s="144"/>
      <x:c r="E17" s="144"/>
      <x:c r="F17" s="144"/>
      <x:c r="G17" s="144"/>
      <x:c r="H17" s="144"/>
      <x:c r="I17" s="144"/>
      <x:c r="J17" s="144"/>
      <x:c r="K17" s="144"/>
      <x:c r="L17" s="144"/>
      <x:c r="M17" s="144"/>
      <x:c r="N17" s="144"/>
      <x:c r="O17" s="145"/>
    </x:row>
    <x:row r="18">
      <x:c r="A18" s="1"/>
      <x:c r="B18" s="1"/>
      <x:c r="C18" s="1"/>
      <x:c r="D18" s="1"/>
      <x:c r="E18" s="1"/>
      <x:c r="F18" s="1"/>
      <x:c r="G18" s="1"/>
      <x:c r="H18" s="1"/>
      <x:c r="I18" s="1"/>
      <x:c r="J18" s="1"/>
      <x:c r="K18" s="1"/>
      <x:c r="L18" s="1"/>
      <x:c r="M18" s="1"/>
      <x:c r="N18" s="1"/>
      <x:c r="O18" s="1"/>
    </x:row>
    <x:row r="19">
      <x:c r="A19" s="1"/>
      <x:c r="B19" s="1"/>
      <x:c r="C19" s="1"/>
      <x:c r="D19" s="1"/>
      <x:c r="E19" s="1"/>
      <x:c r="F19" s="1"/>
      <x:c r="G19" s="1"/>
      <x:c r="H19" s="1"/>
      <x:c r="I19" s="1"/>
      <x:c r="J19" s="1"/>
      <x:c r="K19" s="1"/>
      <x:c r="L19" s="1"/>
      <x:c r="M19" s="1"/>
      <x:c r="N19" s="1"/>
      <x:c r="O19" s="1"/>
    </x:row>
    <x:row r="20">
      <x:c r="A20" s="1"/>
      <x:c r="B20" s="1"/>
      <x:c r="C20" s="1"/>
      <x:c r="D20" s="1"/>
      <x:c r="E20" s="1"/>
      <x:c r="F20" s="1"/>
      <x:c r="G20" s="1"/>
      <x:c r="H20" s="1"/>
      <x:c r="I20" s="1"/>
      <x:c r="J20" s="1"/>
      <x:c r="K20" s="1"/>
      <x:c r="L20" s="1"/>
      <x:c r="M20" s="1"/>
      <x:c r="N20" s="1"/>
      <x:c r="O20" s="1"/>
    </x:row>
    <x:row r="21">
      <x:c r="A21" s="1"/>
      <x:c r="B21" s="1"/>
      <x:c r="C21" s="1"/>
      <x:c r="D21" s="1"/>
      <x:c r="E21" s="1"/>
      <x:c r="F21" s="1"/>
      <x:c r="G21" s="1"/>
      <x:c r="H21" s="1"/>
      <x:c r="I21" s="1"/>
      <x:c r="J21" s="1"/>
      <x:c r="K21" s="1"/>
      <x:c r="L21" s="1"/>
      <x:c r="M21" s="1"/>
      <x:c r="N21" s="1"/>
      <x:c r="O21" s="1"/>
    </x:row>
    <x:row r="22">
      <x:c r="A22" s="1"/>
      <x:c r="B22" s="1"/>
      <x:c r="C22" s="1"/>
      <x:c r="D22" s="1"/>
      <x:c r="E22" s="1"/>
      <x:c r="F22" s="1"/>
      <x:c r="G22" s="1"/>
      <x:c r="H22" s="1"/>
      <x:c r="I22" s="1"/>
      <x:c r="J22" s="1"/>
      <x:c r="K22" s="1"/>
      <x:c r="L22" s="1"/>
      <x:c r="M22" s="1"/>
      <x:c r="N22" s="1"/>
      <x:c r="O22" s="1"/>
    </x:row>
    <x:row r="23">
      <x:c r="A23" s="1"/>
      <x:c r="B23" s="1"/>
      <x:c r="C23" s="1"/>
      <x:c r="D23" s="1"/>
      <x:c r="E23" s="1"/>
      <x:c r="F23" s="1"/>
      <x:c r="G23" s="1"/>
      <x:c r="H23" s="1"/>
      <x:c r="I23" s="1"/>
      <x:c r="J23" s="1"/>
      <x:c r="K23" s="1"/>
      <x:c r="L23" s="1"/>
      <x:c r="M23" s="1"/>
      <x:c r="N23" s="1"/>
      <x:c r="O23" s="1"/>
    </x:row>
    <x:row r="24">
      <x:c r="A24" s="1"/>
      <x:c r="B24" s="1"/>
      <x:c r="C24" s="1"/>
      <x:c r="D24" s="1"/>
      <x:c r="E24" s="1"/>
      <x:c r="F24" s="1"/>
      <x:c r="G24" s="1"/>
      <x:c r="H24" s="1"/>
      <x:c r="I24" s="1"/>
      <x:c r="J24" s="1"/>
      <x:c r="K24" s="1"/>
      <x:c r="L24" s="1"/>
      <x:c r="M24" s="1"/>
      <x:c r="N24" s="1"/>
      <x:c r="O24" s="1"/>
    </x:row>
    <x:row r="25">
      <x:c r="A25" s="1"/>
      <x:c r="B25" s="1"/>
      <x:c r="C25" s="1"/>
      <x:c r="D25" s="1"/>
      <x:c r="E25" s="1"/>
      <x:c r="F25" s="1"/>
      <x:c r="G25" s="1"/>
      <x:c r="H25" s="1"/>
      <x:c r="I25" s="1"/>
      <x:c r="J25" s="1"/>
      <x:c r="K25" s="1"/>
      <x:c r="L25" s="1"/>
      <x:c r="M25" s="1"/>
      <x:c r="N25" s="1"/>
      <x:c r="O25" s="1"/>
    </x:row>
    <x:row r="26">
      <x:c r="A26" s="1"/>
      <x:c r="B26" s="1"/>
      <x:c r="C26" s="1"/>
      <x:c r="D26" s="1"/>
      <x:c r="E26" s="1"/>
      <x:c r="F26" s="1"/>
      <x:c r="G26" s="1"/>
      <x:c r="H26" s="1"/>
      <x:c r="I26" s="1"/>
      <x:c r="J26" s="1"/>
      <x:c r="K26" s="1"/>
      <x:c r="L26" s="1"/>
      <x:c r="M26" s="1"/>
      <x:c r="N26" s="1"/>
      <x:c r="O26" s="1"/>
    </x:row>
    <x:row r="27">
      <x:c r="A27" s="1"/>
      <x:c r="B27" s="1"/>
      <x:c r="C27" s="1"/>
      <x:c r="D27" s="1"/>
      <x:c r="E27" s="1"/>
      <x:c r="F27" s="1"/>
      <x:c r="G27" s="1"/>
      <x:c r="H27" s="1"/>
      <x:c r="I27" s="1"/>
      <x:c r="J27" s="1"/>
      <x:c r="K27" s="1"/>
      <x:c r="L27" s="1"/>
      <x:c r="M27" s="1"/>
      <x:c r="N27" s="1"/>
      <x:c r="O27" s="1"/>
    </x:row>
    <x:row r="28">
      <x:c r="A28" s="1"/>
      <x:c r="B28" s="1"/>
      <x:c r="C28" s="1"/>
      <x:c r="D28" s="1"/>
      <x:c r="E28" s="1"/>
      <x:c r="F28" s="1"/>
      <x:c r="G28" s="1"/>
      <x:c r="H28" s="1"/>
      <x:c r="I28" s="1"/>
      <x:c r="J28" s="1"/>
      <x:c r="K28" s="1"/>
      <x:c r="L28" s="1"/>
      <x:c r="M28" s="1"/>
      <x:c r="N28" s="1"/>
      <x:c r="O28" s="1"/>
    </x:row>
    <x:row r="29">
      <x:c r="A29" s="1"/>
      <x:c r="B29" s="1"/>
      <x:c r="C29" s="1"/>
      <x:c r="D29" s="1"/>
      <x:c r="E29" s="1"/>
      <x:c r="F29" s="1"/>
      <x:c r="G29" s="1"/>
      <x:c r="H29" s="1"/>
      <x:c r="I29" s="1"/>
      <x:c r="J29" s="1"/>
      <x:c r="K29" s="1"/>
      <x:c r="L29" s="1"/>
      <x:c r="M29" s="1"/>
      <x:c r="N29" s="1"/>
      <x:c r="O29" s="1"/>
    </x:row>
    <x:row r="30">
      <x:c r="A30" s="1"/>
      <x:c r="B30" s="1"/>
      <x:c r="C30" s="1"/>
      <x:c r="D30" s="1"/>
      <x:c r="E30" s="1"/>
      <x:c r="F30" s="1"/>
      <x:c r="G30" s="1"/>
      <x:c r="H30" s="1"/>
      <x:c r="I30" s="1"/>
      <x:c r="J30" s="1"/>
      <x:c r="K30" s="1"/>
      <x:c r="L30" s="1"/>
      <x:c r="M30" s="1"/>
      <x:c r="N30" s="1"/>
      <x:c r="O30" s="1"/>
    </x:row>
    <x:row r="31">
      <x:c r="A31" s="1"/>
      <x:c r="B31" s="1"/>
      <x:c r="C31" s="1"/>
      <x:c r="D31" s="1"/>
      <x:c r="E31" s="1"/>
      <x:c r="F31" s="1"/>
      <x:c r="G31" s="1"/>
      <x:c r="H31" s="1"/>
      <x:c r="I31" s="1"/>
      <x:c r="J31" s="1"/>
      <x:c r="K31" s="1"/>
      <x:c r="L31" s="1"/>
      <x:c r="M31" s="1"/>
      <x:c r="N31" s="1"/>
      <x:c r="O31" s="1"/>
    </x:row>
    <x:row r="32">
      <x:c r="A32" s="1"/>
      <x:c r="B32" s="1"/>
      <x:c r="C32" s="1"/>
      <x:c r="D32" s="1"/>
      <x:c r="E32" s="1"/>
      <x:c r="F32" s="1"/>
      <x:c r="G32" s="1"/>
      <x:c r="H32" s="1"/>
      <x:c r="I32" s="1"/>
      <x:c r="J32" s="1"/>
      <x:c r="K32" s="1"/>
      <x:c r="L32" s="1"/>
      <x:c r="M32" s="1"/>
      <x:c r="N32" s="1"/>
      <x:c r="O32" s="1"/>
    </x:row>
    <x:row r="33">
      <x:c r="A33" s="1"/>
      <x:c r="B33" s="1"/>
      <x:c r="C33" s="1"/>
      <x:c r="D33" s="1"/>
      <x:c r="E33" s="1"/>
      <x:c r="F33" s="1"/>
      <x:c r="G33" s="1"/>
      <x:c r="H33" s="1"/>
      <x:c r="I33" s="1"/>
      <x:c r="J33" s="1"/>
      <x:c r="K33" s="1"/>
      <x:c r="L33" s="1"/>
      <x:c r="M33" s="1"/>
      <x:c r="N33" s="1"/>
      <x:c r="O33" s="1"/>
    </x:row>
    <x:row r="34">
      <x:c r="A34" s="1"/>
      <x:c r="B34" s="1"/>
      <x:c r="C34" s="1"/>
      <x:c r="D34" s="1"/>
      <x:c r="E34" s="1"/>
      <x:c r="F34" s="1"/>
      <x:c r="G34" s="1"/>
      <x:c r="H34" s="1"/>
      <x:c r="I34" s="1"/>
      <x:c r="J34" s="1"/>
      <x:c r="K34" s="1"/>
      <x:c r="L34" s="1"/>
      <x:c r="M34" s="1"/>
      <x:c r="N34" s="1"/>
      <x:c r="O34" s="1"/>
    </x:row>
    <x:row r="35">
      <x:c r="A35" s="1"/>
      <x:c r="B35" s="1"/>
      <x:c r="C35" s="1"/>
      <x:c r="D35" s="1"/>
      <x:c r="E35" s="1"/>
      <x:c r="F35" s="1"/>
      <x:c r="G35" s="1"/>
      <x:c r="H35" s="1"/>
      <x:c r="I35" s="1"/>
      <x:c r="J35" s="1"/>
      <x:c r="K35" s="1"/>
      <x:c r="L35" s="1"/>
      <x:c r="M35" s="1"/>
      <x:c r="N35" s="1"/>
      <x:c r="O35" s="1"/>
    </x:row>
    <x:row r="36">
      <x:c r="A36" s="1"/>
      <x:c r="B36" s="1"/>
      <x:c r="C36" s="1"/>
      <x:c r="D36" s="1"/>
      <x:c r="E36" s="1"/>
      <x:c r="F36" s="1"/>
      <x:c r="G36" s="1"/>
      <x:c r="H36" s="1"/>
      <x:c r="I36" s="1"/>
      <x:c r="J36" s="1"/>
      <x:c r="K36" s="1"/>
      <x:c r="L36" s="1"/>
      <x:c r="M36" s="1"/>
      <x:c r="N36" s="1"/>
      <x:c r="O36" s="1"/>
    </x:row>
    <x:row r="37">
      <x:c r="A37" s="1"/>
      <x:c r="B37" s="1"/>
      <x:c r="C37" s="1"/>
      <x:c r="D37" s="1"/>
      <x:c r="E37" s="1"/>
      <x:c r="F37" s="1"/>
      <x:c r="G37" s="1"/>
      <x:c r="H37" s="1"/>
      <x:c r="I37" s="1"/>
      <x:c r="J37" s="1"/>
      <x:c r="K37" s="1"/>
      <x:c r="L37" s="1"/>
      <x:c r="M37" s="1"/>
      <x:c r="N37" s="1"/>
      <x:c r="O37" s="1"/>
    </x:row>
    <x:row r="38">
      <x:c r="A38" s="1"/>
      <x:c r="B38" s="1"/>
      <x:c r="C38" s="1"/>
      <x:c r="D38" s="1"/>
      <x:c r="E38" s="1"/>
      <x:c r="F38" s="1"/>
      <x:c r="G38" s="1"/>
      <x:c r="H38" s="1"/>
      <x:c r="I38" s="1"/>
      <x:c r="J38" s="1"/>
      <x:c r="K38" s="1"/>
      <x:c r="L38" s="1"/>
      <x:c r="M38" s="1"/>
      <x:c r="N38" s="1"/>
      <x:c r="O38" s="1"/>
    </x:row>
    <x:row r="39">
      <x:c r="A39" s="1"/>
      <x:c r="B39" s="1"/>
      <x:c r="C39" s="1"/>
      <x:c r="D39" s="1"/>
      <x:c r="E39" s="1"/>
      <x:c r="F39" s="1"/>
      <x:c r="G39" s="1"/>
      <x:c r="H39" s="1"/>
      <x:c r="I39" s="1"/>
      <x:c r="J39" s="1"/>
      <x:c r="K39" s="1"/>
      <x:c r="L39" s="1"/>
      <x:c r="M39" s="1"/>
      <x:c r="N39" s="1"/>
      <x:c r="O39" s="1"/>
    </x:row>
    <x:row r="40">
      <x:c r="A40" s="1"/>
      <x:c r="B40" s="1"/>
      <x:c r="C40" s="1"/>
      <x:c r="D40" s="1"/>
      <x:c r="E40" s="1"/>
      <x:c r="F40" s="1"/>
      <x:c r="G40" s="1"/>
      <x:c r="H40" s="1"/>
      <x:c r="I40" s="1"/>
      <x:c r="J40" s="1"/>
      <x:c r="K40" s="1"/>
      <x:c r="L40" s="1"/>
      <x:c r="M40" s="1"/>
      <x:c r="N40" s="1"/>
      <x:c r="O40" s="1"/>
    </x:row>
    <x:row r="41">
      <x:c r="A41" s="1"/>
      <x:c r="B41" s="1"/>
      <x:c r="C41" s="1"/>
      <x:c r="D41" s="1"/>
      <x:c r="E41" s="1"/>
      <x:c r="F41" s="1"/>
      <x:c r="G41" s="1"/>
      <x:c r="H41" s="1"/>
      <x:c r="I41" s="1"/>
      <x:c r="J41" s="1"/>
      <x:c r="K41" s="1"/>
      <x:c r="L41" s="1"/>
      <x:c r="M41" s="1"/>
      <x:c r="N41" s="1"/>
      <x:c r="O41" s="1"/>
    </x:row>
    <x:row r="42">
      <x:c r="A42" s="1"/>
      <x:c r="B42" s="1"/>
      <x:c r="C42" s="1"/>
      <x:c r="D42" s="1"/>
      <x:c r="E42" s="1"/>
      <x:c r="F42" s="1"/>
      <x:c r="G42" s="1"/>
      <x:c r="H42" s="1"/>
      <x:c r="I42" s="1"/>
      <x:c r="J42" s="1"/>
      <x:c r="K42" s="1"/>
      <x:c r="L42" s="1"/>
      <x:c r="M42" s="1"/>
      <x:c r="N42" s="1"/>
      <x:c r="O42" s="1"/>
    </x:row>
    <x:row r="43">
      <x:c r="A43" s="1"/>
      <x:c r="B43" s="1"/>
      <x:c r="C43" s="1"/>
      <x:c r="D43" s="1"/>
      <x:c r="E43" s="1"/>
      <x:c r="F43" s="1"/>
      <x:c r="G43" s="1"/>
      <x:c r="H43" s="1"/>
      <x:c r="I43" s="1"/>
      <x:c r="J43" s="1"/>
      <x:c r="K43" s="1"/>
      <x:c r="L43" s="1"/>
      <x:c r="M43" s="1"/>
      <x:c r="N43" s="1"/>
      <x:c r="O43" s="1"/>
    </x:row>
    <x:row r="44">
      <x:c r="A44" s="1"/>
      <x:c r="B44" s="1"/>
      <x:c r="C44" s="1"/>
      <x:c r="D44" s="1"/>
      <x:c r="E44" s="1"/>
      <x:c r="F44" s="1"/>
      <x:c r="G44" s="1"/>
      <x:c r="H44" s="1"/>
      <x:c r="I44" s="1"/>
      <x:c r="J44" s="1"/>
      <x:c r="K44" s="1"/>
      <x:c r="L44" s="1"/>
      <x:c r="M44" s="1"/>
      <x:c r="N44" s="1"/>
      <x:c r="O44" s="1"/>
    </x:row>
    <x:row r="45">
      <x:c r="A45" s="1"/>
      <x:c r="B45" s="1"/>
      <x:c r="C45" s="1"/>
      <x:c r="D45" s="1"/>
      <x:c r="E45" s="1"/>
      <x:c r="F45" s="1"/>
      <x:c r="G45" s="1"/>
      <x:c r="H45" s="1"/>
      <x:c r="I45" s="1"/>
      <x:c r="J45" s="1"/>
      <x:c r="K45" s="1"/>
      <x:c r="L45" s="1"/>
      <x:c r="M45" s="1"/>
      <x:c r="N45" s="1"/>
      <x:c r="O45" s="1"/>
    </x:row>
    <x:row r="46">
      <x:c r="A46" s="1"/>
      <x:c r="B46" s="1"/>
      <x:c r="C46" s="1"/>
      <x:c r="D46" s="1"/>
      <x:c r="E46" s="1"/>
      <x:c r="F46" s="1"/>
      <x:c r="G46" s="1"/>
      <x:c r="H46" s="1"/>
      <x:c r="I46" s="1"/>
      <x:c r="J46" s="1"/>
      <x:c r="K46" s="1"/>
      <x:c r="L46" s="1"/>
      <x:c r="M46" s="1"/>
      <x:c r="N46" s="1"/>
      <x:c r="O46" s="1"/>
    </x:row>
    <x:row r="47">
      <x:c r="A47" s="1"/>
      <x:c r="B47" s="1"/>
      <x:c r="C47" s="1"/>
      <x:c r="D47" s="1"/>
      <x:c r="E47" s="1"/>
      <x:c r="F47" s="1"/>
      <x:c r="G47" s="1"/>
      <x:c r="H47" s="1"/>
      <x:c r="I47" s="1"/>
      <x:c r="J47" s="1"/>
      <x:c r="K47" s="1"/>
      <x:c r="L47" s="1"/>
      <x:c r="M47" s="1"/>
      <x:c r="N47" s="1"/>
      <x:c r="O47" s="1"/>
    </x:row>
    <x:row r="48">
      <x:c r="A48" s="1"/>
      <x:c r="B48" s="1"/>
      <x:c r="C48" s="1"/>
      <x:c r="D48" s="1"/>
      <x:c r="E48" s="1"/>
      <x:c r="F48" s="1"/>
      <x:c r="G48" s="1"/>
      <x:c r="H48" s="1"/>
      <x:c r="I48" s="1"/>
      <x:c r="J48" s="1"/>
      <x:c r="K48" s="1"/>
      <x:c r="L48" s="1"/>
      <x:c r="M48" s="1"/>
      <x:c r="N48" s="1"/>
      <x:c r="O48" s="1"/>
    </x:row>
    <x:row r="49">
      <x:c r="A49" s="1"/>
      <x:c r="B49" s="1"/>
      <x:c r="C49" s="1"/>
      <x:c r="D49" s="1"/>
      <x:c r="E49" s="1"/>
      <x:c r="F49" s="1"/>
      <x:c r="G49" s="1"/>
      <x:c r="H49" s="1"/>
      <x:c r="I49" s="1"/>
      <x:c r="J49" s="1"/>
      <x:c r="K49" s="1"/>
      <x:c r="L49" s="1"/>
      <x:c r="M49" s="1"/>
      <x:c r="N49" s="1"/>
      <x:c r="O49" s="1"/>
    </x:row>
    <x:row r="50">
      <x:c r="A50" s="1"/>
      <x:c r="B50" s="1"/>
      <x:c r="C50" s="1"/>
      <x:c r="D50" s="1"/>
      <x:c r="E50" s="1"/>
      <x:c r="F50" s="1"/>
      <x:c r="G50" s="1"/>
      <x:c r="H50" s="1"/>
      <x:c r="I50" s="1"/>
      <x:c r="J50" s="1"/>
      <x:c r="K50" s="1"/>
      <x:c r="L50" s="1"/>
      <x:c r="M50" s="1"/>
      <x:c r="N50" s="1"/>
      <x:c r="O50" s="1"/>
    </x:row>
    <x:row r="51">
      <x:c r="A51" s="1"/>
      <x:c r="B51" s="1"/>
      <x:c r="C51" s="1"/>
      <x:c r="D51" s="1"/>
      <x:c r="E51" s="1"/>
      <x:c r="F51" s="1"/>
      <x:c r="G51" s="1"/>
      <x:c r="H51" s="1"/>
      <x:c r="I51" s="1"/>
      <x:c r="J51" s="1"/>
      <x:c r="K51" s="1"/>
      <x:c r="L51" s="1"/>
      <x:c r="M51" s="1"/>
      <x:c r="N51" s="1"/>
      <x:c r="O51" s="1"/>
    </x:row>
    <x:row r="52">
      <x:c r="A52" s="1"/>
      <x:c r="B52" s="1"/>
      <x:c r="C52" s="1"/>
      <x:c r="D52" s="1"/>
      <x:c r="E52" s="1"/>
      <x:c r="F52" s="1"/>
      <x:c r="G52" s="1"/>
      <x:c r="H52" s="1"/>
      <x:c r="I52" s="1"/>
      <x:c r="J52" s="1"/>
      <x:c r="K52" s="1"/>
      <x:c r="L52" s="1"/>
      <x:c r="M52" s="1"/>
      <x:c r="N52" s="1"/>
      <x:c r="O52" s="1"/>
    </x:row>
    <x:row r="53">
      <x:c r="A53" s="1"/>
      <x:c r="B53" s="1"/>
      <x:c r="C53" s="1"/>
      <x:c r="D53" s="1"/>
      <x:c r="E53" s="1"/>
      <x:c r="F53" s="1"/>
      <x:c r="G53" s="1"/>
      <x:c r="H53" s="1"/>
      <x:c r="I53" s="1"/>
      <x:c r="J53" s="1"/>
      <x:c r="K53" s="1"/>
      <x:c r="L53" s="1"/>
      <x:c r="M53" s="1"/>
      <x:c r="N53" s="1"/>
      <x:c r="O53" s="1"/>
    </x:row>
    <x:row r="54">
      <x:c r="A54" s="1"/>
      <x:c r="B54" s="1"/>
      <x:c r="C54" s="1"/>
      <x:c r="D54" s="1"/>
      <x:c r="E54" s="1"/>
      <x:c r="F54" s="1"/>
      <x:c r="G54" s="1"/>
      <x:c r="H54" s="1"/>
      <x:c r="I54" s="1"/>
      <x:c r="J54" s="1"/>
      <x:c r="K54" s="1"/>
      <x:c r="L54" s="1"/>
      <x:c r="M54" s="1"/>
      <x:c r="N54" s="1"/>
      <x:c r="O54" s="1"/>
    </x:row>
    <x:row r="55">
      <x:c r="A55" s="1"/>
      <x:c r="B55" s="1"/>
      <x:c r="C55" s="1"/>
      <x:c r="D55" s="1"/>
      <x:c r="E55" s="1"/>
      <x:c r="F55" s="1"/>
      <x:c r="G55" s="1"/>
      <x:c r="H55" s="1"/>
      <x:c r="I55" s="1"/>
      <x:c r="J55" s="1"/>
      <x:c r="K55" s="1"/>
      <x:c r="L55" s="1"/>
      <x:c r="M55" s="1"/>
      <x:c r="N55" s="1"/>
      <x:c r="O55" s="1"/>
    </x:row>
    <x:row r="56">
      <x:c r="A56" s="1"/>
      <x:c r="B56" s="1"/>
      <x:c r="C56" s="1"/>
      <x:c r="D56" s="1"/>
      <x:c r="E56" s="1"/>
      <x:c r="F56" s="1"/>
      <x:c r="G56" s="1"/>
      <x:c r="H56" s="1"/>
      <x:c r="I56" s="1"/>
      <x:c r="J56" s="1"/>
      <x:c r="K56" s="1"/>
      <x:c r="L56" s="1"/>
      <x:c r="M56" s="1"/>
      <x:c r="N56" s="1"/>
      <x:c r="O56" s="1"/>
    </x:row>
    <x:row r="57">
      <x:c r="A57" s="1"/>
      <x:c r="B57" s="1"/>
      <x:c r="C57" s="1"/>
      <x:c r="D57" s="1"/>
      <x:c r="E57" s="1"/>
      <x:c r="F57" s="1"/>
      <x:c r="G57" s="1"/>
      <x:c r="H57" s="1"/>
      <x:c r="I57" s="1"/>
      <x:c r="J57" s="1"/>
      <x:c r="K57" s="1"/>
      <x:c r="L57" s="1"/>
      <x:c r="M57" s="1"/>
      <x:c r="N57" s="1"/>
      <x:c r="O57" s="1"/>
    </x:row>
    <x:row r="58">
      <x:c r="A58" s="1"/>
      <x:c r="B58" s="1"/>
      <x:c r="C58" s="1"/>
      <x:c r="D58" s="1"/>
      <x:c r="E58" s="1"/>
      <x:c r="F58" s="1"/>
      <x:c r="G58" s="1"/>
      <x:c r="H58" s="1"/>
      <x:c r="I58" s="1"/>
      <x:c r="J58" s="1"/>
      <x:c r="K58" s="1"/>
      <x:c r="L58" s="1"/>
      <x:c r="M58" s="1"/>
      <x:c r="N58" s="1"/>
      <x:c r="O58" s="1"/>
    </x:row>
    <x:row r="59">
      <x:c r="A59" s="1"/>
      <x:c r="B59" s="1"/>
      <x:c r="C59" s="1"/>
      <x:c r="D59" s="1"/>
      <x:c r="E59" s="1"/>
      <x:c r="F59" s="1"/>
      <x:c r="G59" s="1"/>
      <x:c r="H59" s="1"/>
      <x:c r="I59" s="1"/>
      <x:c r="J59" s="1"/>
      <x:c r="K59" s="1"/>
      <x:c r="L59" s="1"/>
      <x:c r="M59" s="1"/>
      <x:c r="N59" s="1"/>
      <x:c r="O59" s="1"/>
    </x:row>
    <x:row r="60">
      <x:c r="A60" s="1"/>
      <x:c r="B60" s="1"/>
      <x:c r="C60" s="1"/>
      <x:c r="D60" s="1"/>
      <x:c r="E60" s="1"/>
      <x:c r="F60" s="1"/>
      <x:c r="G60" s="1"/>
      <x:c r="H60" s="1"/>
      <x:c r="I60" s="1"/>
      <x:c r="J60" s="1"/>
      <x:c r="K60" s="1"/>
      <x:c r="L60" s="1"/>
      <x:c r="M60" s="1"/>
      <x:c r="N60" s="1"/>
      <x:c r="O60" s="1"/>
    </x:row>
    <x:row r="61">
      <x:c r="A61" s="1"/>
      <x:c r="B61" s="1"/>
      <x:c r="C61" s="1"/>
      <x:c r="D61" s="1"/>
      <x:c r="E61" s="1"/>
      <x:c r="F61" s="1"/>
      <x:c r="G61" s="1"/>
      <x:c r="H61" s="1"/>
      <x:c r="I61" s="1"/>
      <x:c r="J61" s="1"/>
      <x:c r="K61" s="1"/>
      <x:c r="L61" s="1"/>
      <x:c r="M61" s="1"/>
      <x:c r="N61" s="1"/>
      <x:c r="O61" s="1"/>
    </x:row>
    <x:row r="62">
      <x:c r="A62" s="1"/>
      <x:c r="B62" s="1"/>
      <x:c r="C62" s="1"/>
      <x:c r="D62" s="1"/>
      <x:c r="E62" s="1"/>
      <x:c r="F62" s="1"/>
      <x:c r="G62" s="1"/>
      <x:c r="H62" s="1"/>
      <x:c r="I62" s="1"/>
      <x:c r="J62" s="1"/>
      <x:c r="K62" s="1"/>
      <x:c r="L62" s="1"/>
      <x:c r="M62" s="1"/>
      <x:c r="N62" s="1"/>
      <x:c r="O62" s="1"/>
    </x:row>
    <x:row r="63">
      <x:c r="A63" s="1"/>
      <x:c r="B63" s="1"/>
      <x:c r="C63" s="1"/>
      <x:c r="D63" s="1"/>
      <x:c r="E63" s="1"/>
      <x:c r="F63" s="1"/>
      <x:c r="G63" s="1"/>
      <x:c r="H63" s="1"/>
      <x:c r="I63" s="1"/>
      <x:c r="J63" s="1"/>
      <x:c r="K63" s="1"/>
      <x:c r="L63" s="1"/>
      <x:c r="M63" s="1"/>
      <x:c r="N63" s="1"/>
      <x:c r="O63" s="1"/>
    </x:row>
    <x:row r="64">
      <x:c r="A64" s="1"/>
      <x:c r="B64" s="1"/>
      <x:c r="C64" s="1"/>
      <x:c r="D64" s="1"/>
      <x:c r="E64" s="1"/>
      <x:c r="F64" s="1"/>
      <x:c r="G64" s="1"/>
      <x:c r="H64" s="1"/>
      <x:c r="I64" s="1"/>
      <x:c r="J64" s="1"/>
      <x:c r="K64" s="1"/>
      <x:c r="L64" s="1"/>
      <x:c r="M64" s="1"/>
      <x:c r="N64" s="1"/>
      <x:c r="O64" s="1"/>
    </x:row>
    <x:row r="65">
      <x:c r="A65" s="1"/>
      <x:c r="B65" s="1"/>
      <x:c r="C65" s="1"/>
      <x:c r="D65" s="1"/>
      <x:c r="E65" s="1"/>
      <x:c r="F65" s="1"/>
      <x:c r="G65" s="1"/>
      <x:c r="H65" s="1"/>
      <x:c r="I65" s="1"/>
      <x:c r="J65" s="1"/>
      <x:c r="K65" s="1"/>
      <x:c r="L65" s="1"/>
      <x:c r="M65" s="1"/>
      <x:c r="N65" s="1"/>
      <x:c r="O65" s="1"/>
    </x:row>
  </x:sheetData>
  <x:mergeCells>
    <x:mergeCell ref="A1:O2"/>
    <x:mergeCell ref="A3:O3"/>
    <x:mergeCell ref="A5:O5"/>
    <x:mergeCell ref="F6:O6"/>
    <x:mergeCell ref="F7:O7"/>
    <x:mergeCell ref="F8:O8"/>
    <x:mergeCell ref="F9:O9"/>
    <x:mergeCell ref="F10:O10"/>
    <x:mergeCell ref="F11:O11"/>
    <x:mergeCell ref="A13:O13"/>
    <x:mergeCell ref="A14:O17"/>
  </x:mergeCells>
  <x:pageMargins left="0.7" right="0.7" top="0.75" bottom="0.75" header="0.3" footer="0.3"/>
</x:worksheet>
</file>