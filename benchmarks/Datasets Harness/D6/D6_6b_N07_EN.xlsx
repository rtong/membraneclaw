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ddcfd80cb4b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8d1a0559a83f4cdd"/>
    <x:sheet xmlns:r="http://schemas.openxmlformats.org/officeDocument/2006/relationships" name="Gold_Answer_A" sheetId="2" r:id="R7a01bf3a2b62460b"/>
    <x:sheet xmlns:r="http://schemas.openxmlformats.org/officeDocument/2006/relationships" name="Trajectory_Rubric" sheetId="3" r:id="Rd2534f85e430404f"/>
    <x:sheet xmlns:r="http://schemas.openxmlformats.org/officeDocument/2006/relationships" name="Tool_Efficiency" sheetId="4" r:id="R063c71ddece146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8">
    <x:font>
      <x:sz val="11"/>
      <x:name val="Carlito"/>
    </x:font>
    <x:font>
      <x:sz val="9"/>
      <x:color rgb="FF1F2937"/>
      <x:name val="Aptos"/>
    </x:font>
    <x:font>
      <x:b/>
      <x:sz val="18"/>
      <x:color rgb="FFFFFFFF"/>
      <x:name val="Aptos"/>
    </x:font>
    <x:font>
      <x:sz val="10"/>
      <x:color rgb="FF1F2937"/>
      <x:name val="Aptos"/>
    </x:font>
    <x:font>
      <x:b/>
      <x:sz val="11"/>
      <x:color rgb="FFFFFFFF"/>
      <x:name val="Aptos"/>
    </x:font>
    <x:font>
      <x:b/>
      <x:sz val="9"/>
      <x:color rgb="FF1F2937"/>
      <x:name val="Aptos"/>
    </x:font>
    <x:font>
      <x:b/>
      <x:sz val="9"/>
      <x:color rgb="FF1F426B"/>
      <x:name val="Aptos"/>
    </x:font>
    <x:font>
      <x:b/>
      <x:sz val="10"/>
      <x:color rgb="FF1F2937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F426B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5F8FB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4B183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C9D7E5"/>
      </x:left>
      <x:top style="thin">
        <x:color rgb="FFC9D7E5"/>
      </x:top>
    </x:border>
    <x:border>
      <x:top style="thin">
        <x:color rgb="FFC9D7E5"/>
      </x:top>
    </x:border>
    <x:border>
      <x:right style="thin">
        <x:color rgb="FFC9D7E5"/>
      </x:right>
      <x:top style="thin">
        <x:color rgb="FFC9D7E5"/>
      </x:top>
    </x:border>
    <x:border>
      <x:left style="thin">
        <x:color rgb="FFC9D7E5"/>
      </x:left>
    </x:border>
    <x:border>
      <x:right style="thin">
        <x:color rgb="FFC9D7E5"/>
      </x:right>
    </x:border>
    <x:border>
      <x:left style="thin">
        <x:color rgb="FFC9D7E5"/>
      </x:left>
      <x:bottom style="thin">
        <x:color rgb="FFC9D7E5"/>
      </x:bottom>
    </x:border>
    <x:border>
      <x:bottom style="thin">
        <x:color rgb="FFC9D7E5"/>
      </x:bottom>
    </x:border>
    <x:border>
      <x:right style="thin">
        <x:color rgb="FFC9D7E5"/>
      </x:right>
      <x:bottom style="thin">
        <x:color rgb="FFC9D7E5"/>
      </x:bottom>
    </x:border>
    <x:border>
      <x:left style="thin">
        <x:color rgb="FFC9D7E5"/>
      </x:left>
      <x:right style="thin">
        <x:color rgb="FFC9D7E5"/>
      </x:right>
      <x:top style="thin">
        <x:color rgb="FFC9D7E5"/>
      </x:top>
      <x:bottom style="thin">
        <x:color rgb="FFC9D7E5"/>
      </x:bottom>
    </x:border>
  </x:borders>
  <x:cellStyleXfs count="1">
    <x:xf numFmtId="0" fontId="0" fillId="0" borderId="0"/>
  </x:cellStyleXfs>
  <x:cellXfs count="19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6" xfId="0" applyNumberFormat="1" applyFont="1" applyFill="1" applyBorder="1" applyAlignment="1">
      <x:alignment wrapText="1"/>
    </x:xf>
    <x:xf numFmtId="0" fontId="1" fillId="5" borderId="7" xfId="0" applyNumberFormat="1" applyFont="1" applyFill="1" applyBorder="1" applyAlignment="1">
      <x:alignment wrapText="1"/>
    </x:xf>
    <x:xf numFmtId="0" fontId="1" fillId="5" borderId="8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1" fillId="5" borderId="3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wrapText="1"/>
    </x:xf>
    <x:xf numFmtId="0" fontId="1" fillId="7" borderId="4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wrapText="1"/>
    </x:xf>
    <x:xf numFmtId="0" fontId="1" fillId="7" borderId="6" xfId="0" applyNumberFormat="1" applyFont="1" applyFill="1" applyBorder="1" applyAlignment="1">
      <x:alignment wrapText="1"/>
    </x:xf>
    <x:xf numFmtId="0" fontId="1" fillId="7" borderId="7" xfId="0" applyNumberFormat="1" applyFont="1" applyFill="1" applyBorder="1" applyAlignment="1">
      <x:alignment wrapText="1"/>
    </x:xf>
    <x:xf numFmtId="0" fontId="1" fillId="7" borderId="8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vertical="top" wrapText="1"/>
    </x:xf>
    <x:xf numFmtId="0" fontId="1" fillId="7" borderId="2" xfId="0" applyNumberFormat="1" applyFont="1" applyFill="1" applyBorder="1" applyAlignment="1">
      <x:alignment vertical="top" wrapText="1"/>
    </x:xf>
    <x:xf numFmtId="0" fontId="1" fillId="7" borderId="3" xfId="0" applyNumberFormat="1" applyFont="1" applyFill="1" applyBorder="1" applyAlignment="1">
      <x:alignment vertical="top" wrapText="1"/>
    </x:xf>
    <x:xf numFmtId="0" fontId="1" fillId="7" borderId="4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5" xfId="0" applyNumberFormat="1" applyFont="1" applyFill="1" applyBorder="1" applyAlignment="1">
      <x:alignment vertical="top" wrapText="1"/>
    </x:xf>
    <x:xf numFmtId="0" fontId="1" fillId="7" borderId="6" xfId="0" applyNumberFormat="1" applyFont="1" applyFill="1" applyBorder="1" applyAlignment="1">
      <x:alignment vertical="top" wrapText="1"/>
    </x:xf>
    <x:xf numFmtId="0" fontId="1" fillId="7" borderId="7" xfId="0" applyNumberFormat="1" applyFont="1" applyFill="1" applyBorder="1" applyAlignment="1">
      <x:alignment vertical="top" wrapText="1"/>
    </x:xf>
    <x:xf numFmtId="0" fontId="1" fillId="7" borderId="8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9" xfId="0" applyNumberFormat="1" applyFont="1" applyFill="1" applyBorder="1"/>
    <x:xf numFmtId="0" fontId="6" fillId="8" borderId="9" xfId="0" applyNumberFormat="1" applyFont="1" applyFill="1" applyBorder="1" applyAlignment="1">
      <x:alignment horizontal="center"/>
    </x:xf>
    <x:xf numFmtId="0" fontId="1" fillId="0" borderId="9" xfId="0" applyNumberFormat="1" applyFont="1" applyFill="1" applyBorder="1"/>
    <x:xf numFmtId="0" fontId="1" fillId="0" borderId="9" xfId="0" applyNumberFormat="1" applyFont="1" applyFill="1" applyBorder="1" applyAlignment="1">
      <x:alignment wrapText="1"/>
    </x:xf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6" borderId="2" xfId="0" applyNumberFormat="1" applyFont="1" applyFill="1" applyBorder="1" applyAlignment="1">
      <x:alignment vertical="top" wrapText="1"/>
    </x:xf>
    <x:xf numFmtId="0" fontId="7" fillId="6" borderId="3" xfId="0" applyNumberFormat="1" applyFont="1" applyFill="1" applyBorder="1" applyAlignment="1">
      <x:alignment vertical="top" wrapText="1"/>
    </x:xf>
    <x:xf numFmtId="0" fontId="7" fillId="6" borderId="4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5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6" borderId="7" xfId="0" applyNumberFormat="1" applyFont="1" applyFill="1" applyBorder="1" applyAlignment="1">
      <x:alignment vertical="top" wrapText="1"/>
    </x:xf>
    <x:xf numFmtId="0" fontId="7" fillId="6" borderId="8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/>
    <x:xf numFmtId="0" fontId="5" fillId="7" borderId="9" xfId="0" applyNumberFormat="1" applyFont="1" applyFill="1" applyBorder="1"/>
    <x:xf numFmtId="0" fontId="5" fillId="7" borderId="9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horizontal="center" wrapText="1"/>
    </x:xf>
    <x:xf numFmtId="0" fontId="5" fillId="7" borderId="9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/>
    <x:xf numFmtId="0" fontId="1" fillId="9" borderId="9" xfId="0" applyNumberFormat="1" applyFont="1" applyFill="1" applyBorder="1"/>
    <x:xf numFmtId="0" fontId="1" fillId="9" borderId="9" xfId="0" applyNumberFormat="1" applyFont="1" applyFill="1" applyBorder="1" applyAlignment="1">
      <x:alignment wrapText="1"/>
    </x:xf>
    <x:xf numFmtId="0" fontId="1" fillId="9" borderId="9" xfId="0" applyNumberFormat="1" applyFont="1" applyFill="1" applyBorder="1" applyAlignment="1">
      <x:alignment vertical="center" wrapText="1"/>
    </x:xf>
    <x:xf numFmtId="200" fontId="1" fillId="9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/>
    <x:xf numFmtId="200" fontId="1" fillId="5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23a87d27914dcf" /><Relationship Type="http://schemas.openxmlformats.org/officeDocument/2006/relationships/theme" Target="/xl/theme/theme1.xml" Id="Rb1f2973dc4684bbf" /><Relationship Type="http://schemas.openxmlformats.org/officeDocument/2006/relationships/sharedStrings" Target="/xl/sharedStrings.xml" Id="Rbb088bb3bbe34a21" /><Relationship Type="http://schemas.openxmlformats.org/officeDocument/2006/relationships/worksheet" Target="/xl/worksheets/sheet1.xml" Id="R8d1a0559a83f4cdd" /><Relationship Type="http://schemas.openxmlformats.org/officeDocument/2006/relationships/worksheet" Target="/xl/worksheets/sheet2.xml" Id="R7a01bf3a2b62460b" /><Relationship Type="http://schemas.openxmlformats.org/officeDocument/2006/relationships/worksheet" Target="/xl/worksheets/sheet3.xml" Id="Rd2534f85e430404f" /><Relationship Type="http://schemas.openxmlformats.org/officeDocument/2006/relationships/worksheet" Target="/xl/worksheets/sheet4.xml" Id="R063c71ddece146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eb90c31f6f435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Stage-1 boundary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LCOW $/m³</c:v>
          </c:tx>
          <c:marker>
            <c:symbol val="none"/>
          </c:marker>
          <c:cat>
            <c:strRef>
              <c:f>'Gold_Answer_A'!$K$10:$K$15</c:f>
              <c:strCache>
                <c:ptCount val="0"/>
              </c:strCache>
            </c:strRef>
          </c:cat>
          <c:val>
            <c:numRef>
              <c:f>'Gold_Answer_A'!$L$10:$L$15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17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eb90c31f6f435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348547522d043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6" hidden="0" customWidth="1"/>
    <x:col min="8" max="8" width="14" hidden="0" customWidth="1"/>
    <x:col min="9" max="9" width="16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6" t="str">
        <x:v>D6_6b-N07 | Worst-state membrane verification after ERD and plant-economic screening</x:v>
      </x:c>
      <x:c r="B1" s="6" t="str">
        <x:v>D6_6b-N07 | Worst-state membrane verification after ERD and plant-economic screening</x:v>
      </x:c>
      <x:c r="C1" s="6" t="str">
        <x:v>D6_6b-N07 | Worst-state membrane verification after ERD and plant-economic screening</x:v>
      </x:c>
      <x:c r="D1" s="6" t="str">
        <x:v>D6_6b-N07 | Worst-state membrane verification after ERD and plant-economic screening</x:v>
      </x:c>
      <x:c r="E1" s="6" t="str">
        <x:v>D6_6b-N07 | Worst-state membrane verification after ERD and plant-economic screening</x:v>
      </x:c>
      <x:c r="F1" s="6" t="str">
        <x:v>D6_6b-N07 | Worst-state membrane verification after ERD and plant-economic screening</x:v>
      </x:c>
      <x:c r="G1" s="6" t="str">
        <x:v>D6_6b-N07 | Worst-state membrane verification after ERD and plant-economic screening</x:v>
      </x:c>
      <x:c r="H1" s="6" t="str">
        <x:v>D6_6b-N07 | Worst-state membrane verification after ERD and plant-economic screening</x:v>
      </x:c>
      <x:c r="I1" s="6" t="str">
        <x:v>D6_6b-N07 | Worst-state membrane verification after ERD and plant-economic screening</x:v>
      </x:c>
      <x:c r="J1" s="6" t="str">
        <x:v>D6_6b-N07 | Worst-state membrane verification after ERD and plant-economic screening</x:v>
      </x:c>
      <x:c r="K1" s="6" t="str">
        <x:v>D6_6b-N07 | Worst-state membrane verification after ERD and plant-economic screening</x:v>
      </x:c>
      <x:c r="L1" s="6" t="str">
        <x:v>D6_6b-N07 | Worst-state membrane verification after ERD and plant-economic screening</x:v>
      </x:c>
      <x:c r="M1" s="6" t="str">
        <x:v>D6_6b-N07 | Worst-state membrane verification after ERD and plant-economic screening</x:v>
      </x:c>
      <x:c r="N1" s="6" t="str">
        <x:v>D6_6b-N07 | Worst-state membrane verification after ERD and plant-economic screening</x:v>
      </x:c>
    </x:row>
    <x:row r="2" ht="28" customHeight="1">
      <x:c r="A2" s="6" t="str">
        <x:v>D6_6b-N07 | Worst-state membrane verification after ERD and plant-economic screening</x:v>
      </x:c>
      <x:c r="B2" s="6" t="str">
        <x:v>D6_6b-N07 | Worst-state membrane verification after ERD and plant-economic screening</x:v>
      </x:c>
      <x:c r="C2" s="6" t="str">
        <x:v>D6_6b-N07 | Worst-state membrane verification after ERD and plant-economic screening</x:v>
      </x:c>
      <x:c r="D2" s="6" t="str">
        <x:v>D6_6b-N07 | Worst-state membrane verification after ERD and plant-economic screening</x:v>
      </x:c>
      <x:c r="E2" s="6" t="str">
        <x:v>D6_6b-N07 | Worst-state membrane verification after ERD and plant-economic screening</x:v>
      </x:c>
      <x:c r="F2" s="6" t="str">
        <x:v>D6_6b-N07 | Worst-state membrane verification after ERD and plant-economic screening</x:v>
      </x:c>
      <x:c r="G2" s="6" t="str">
        <x:v>D6_6b-N07 | Worst-state membrane verification after ERD and plant-economic screening</x:v>
      </x:c>
      <x:c r="H2" s="6" t="str">
        <x:v>D6_6b-N07 | Worst-state membrane verification after ERD and plant-economic screening</x:v>
      </x:c>
      <x:c r="I2" s="6" t="str">
        <x:v>D6_6b-N07 | Worst-state membrane verification after ERD and plant-economic screening</x:v>
      </x:c>
      <x:c r="J2" s="6" t="str">
        <x:v>D6_6b-N07 | Worst-state membrane verification after ERD and plant-economic screening</x:v>
      </x:c>
      <x:c r="K2" s="6" t="str">
        <x:v>D6_6b-N07 | Worst-state membrane verification after ERD and plant-economic screening</x:v>
      </x:c>
      <x:c r="L2" s="6" t="str">
        <x:v>D6_6b-N07 | Worst-state membrane verification after ERD and plant-economic screening</x:v>
      </x:c>
      <x:c r="M2" s="6" t="str">
        <x:v>D6_6b-N07 | Worst-state membrane verification after ERD and plant-economic screening</x:v>
      </x:c>
      <x:c r="N2" s="6" t="str">
        <x:v>D6_6b-N07 | Worst-state membrane verification after ERD and plant-economic screening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26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B4" s="27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C4" s="27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D4" s="27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E4" s="27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F4" s="27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G4" s="27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H4" s="27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I4" s="27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J4" s="27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K4" s="27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L4" s="27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M4" s="27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N4" s="28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</x:row>
    <x:row r="5">
      <x:c r="A5" s="29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B5" s="30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C5" s="30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D5" s="30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E5" s="30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F5" s="30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G5" s="30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H5" s="30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I5" s="30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J5" s="30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K5" s="30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L5" s="30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M5" s="30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N5" s="31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</x:row>
    <x:row r="6">
      <x:c r="A6" s="29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B6" s="30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C6" s="30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D6" s="30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E6" s="30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F6" s="30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G6" s="30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H6" s="30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I6" s="30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J6" s="30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K6" s="30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L6" s="30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M6" s="30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N6" s="31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</x:row>
    <x:row r="7">
      <x:c r="A7" s="32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B7" s="33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C7" s="33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D7" s="33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E7" s="33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F7" s="33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G7" s="33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H7" s="33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I7" s="33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J7" s="33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K7" s="33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L7" s="33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M7" s="33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  <x:c r="N7" s="34" t="str">
        <x:v>A 38 g/L SWRO plant first screens ERD-pressure-area configurations by plant output, SEC and LCOW, but a low-cost option can fail membrane quality in cold high-salinity feed. Stage 1 performs plant screening; Stage 2 carries survivor pressure, area and membrane properties into base and stress-state module verification.</x:v>
      </x:c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37" t="str">
        <x:v>Engineering inputs and design boundary</x:v>
      </x:c>
      <x:c r="B9" s="37" t="str">
        <x:v>Engineering inputs and design boundary</x:v>
      </x:c>
      <x:c r="C9" s="37" t="str">
        <x:v>Engineering inputs and design boundary</x:v>
      </x:c>
      <x:c r="D9" s="37" t="str">
        <x:v>Engineering inputs and design boundary</x:v>
      </x:c>
      <x:c r="E9" s="37" t="str">
        <x:v>Engineering inputs and design boundary</x:v>
      </x:c>
      <x:c r="F9" s="37" t="str">
        <x:v>Engineering inputs and design boundary</x:v>
      </x:c>
      <x:c r="G9" s="1"/>
      <x:c r="H9" s="37" t="str">
        <x:v>Hard constraints and decision rule</x:v>
      </x:c>
      <x:c r="I9" s="37" t="str">
        <x:v>Hard constraints and decision rule</x:v>
      </x:c>
      <x:c r="J9" s="37" t="str">
        <x:v>Hard constraints and decision rule</x:v>
      </x:c>
      <x:c r="K9" s="37" t="str">
        <x:v>Hard constraints and decision rule</x:v>
      </x:c>
      <x:c r="L9" s="37" t="str">
        <x:v>Hard constraints and decision rule</x:v>
      </x:c>
      <x:c r="M9" s="37" t="str">
        <x:v>Hard constraints and decision rule</x:v>
      </x:c>
      <x:c r="N9" s="37" t="str">
        <x:v>Hard constraints and decision rule</x:v>
      </x:c>
    </x:row>
    <x:row r="10">
      <x:c r="A10" s="56" t="str">
        <x:v>Plant candidates cover 60–68 bar, 6,200–8,500 m², PX 88%–95% and PaT. Module verification states are 38 g/kg at 28°C and 41 g/kg at 18°C; plant area is scaled by 1/100 to module area.</x:v>
      </x:c>
      <x:c r="B10" s="57" t="str">
        <x:v>Plant candidates cover 60–68 bar, 6,200–8,500 m², PX 88%–95% and PaT. Module verification states are 38 g/kg at 28°C and 41 g/kg at 18°C; plant area is scaled by 1/100 to module area.</x:v>
      </x:c>
      <x:c r="C10" s="57" t="str">
        <x:v>Plant candidates cover 60–68 bar, 6,200–8,500 m², PX 88%–95% and PaT. Module verification states are 38 g/kg at 28°C and 41 g/kg at 18°C; plant area is scaled by 1/100 to module area.</x:v>
      </x:c>
      <x:c r="D10" s="57" t="str">
        <x:v>Plant candidates cover 60–68 bar, 6,200–8,500 m², PX 88%–95% and PaT. Module verification states are 38 g/kg at 28°C and 41 g/kg at 18°C; plant area is scaled by 1/100 to module area.</x:v>
      </x:c>
      <x:c r="E10" s="57" t="str">
        <x:v>Plant candidates cover 60–68 bar, 6,200–8,500 m², PX 88%–95% and PaT. Module verification states are 38 g/kg at 28°C and 41 g/kg at 18°C; plant area is scaled by 1/100 to module area.</x:v>
      </x:c>
      <x:c r="F10" s="58" t="str">
        <x:v>Plant candidates cover 60–68 bar, 6,200–8,500 m², PX 88%–95% and PaT. Module verification states are 38 g/kg at 28°C and 41 g/kg at 18°C; plant area is scaled by 1/100 to module area.</x:v>
      </x:c>
      <x:c r="G10" s="1"/>
      <x:c r="H10" s="84" t="str">
        <x:v>Plant: product ≥0.043 m³/s and SEC≤3.00 kWh/m³. Both membrane states: water ≥0.360 kg/s, NaCl ≤380 mg/L and CP≤1.35. Complete plant screening first, then decide by worst-state membrane verification.</x:v>
      </x:c>
      <x:c r="I10" s="85" t="str">
        <x:v>Plant: product ≥0.043 m³/s and SEC≤3.00 kWh/m³. Both membrane states: water ≥0.360 kg/s, NaCl ≤380 mg/L and CP≤1.35. Complete plant screening first, then decide by worst-state membrane verification.</x:v>
      </x:c>
      <x:c r="J10" s="85" t="str">
        <x:v>Plant: product ≥0.043 m³/s and SEC≤3.00 kWh/m³. Both membrane states: water ≥0.360 kg/s, NaCl ≤380 mg/L and CP≤1.35. Complete plant screening first, then decide by worst-state membrane verification.</x:v>
      </x:c>
      <x:c r="K10" s="85" t="str">
        <x:v>Plant: product ≥0.043 m³/s and SEC≤3.00 kWh/m³. Both membrane states: water ≥0.360 kg/s, NaCl ≤380 mg/L and CP≤1.35. Complete plant screening first, then decide by worst-state membrane verification.</x:v>
      </x:c>
      <x:c r="L10" s="85" t="str">
        <x:v>Plant: product ≥0.043 m³/s and SEC≤3.00 kWh/m³. Both membrane states: water ≥0.360 kg/s, NaCl ≤380 mg/L and CP≤1.35. Complete plant screening first, then decide by worst-state membrane verification.</x:v>
      </x:c>
      <x:c r="M10" s="85" t="str">
        <x:v>Plant: product ≥0.043 m³/s and SEC≤3.00 kWh/m³. Both membrane states: water ≥0.360 kg/s, NaCl ≤380 mg/L and CP≤1.35. Complete plant screening first, then decide by worst-state membrane verification.</x:v>
      </x:c>
      <x:c r="N10" s="86" t="str">
        <x:v>Plant: product ≥0.043 m³/s and SEC≤3.00 kWh/m³. Both membrane states: water ≥0.360 kg/s, NaCl ≤380 mg/L and CP≤1.35. Complete plant screening first, then decide by worst-state membrane verification.</x:v>
      </x:c>
    </x:row>
    <x:row r="11">
      <x:c r="A11" s="59" t="str">
        <x:v>Plant candidates cover 60–68 bar, 6,200–8,500 m², PX 88%–95% and PaT. Module verification states are 38 g/kg at 28°C and 41 g/kg at 18°C; plant area is scaled by 1/100 to module area.</x:v>
      </x:c>
      <x:c r="B11" s="60" t="str">
        <x:v>Plant candidates cover 60–68 bar, 6,200–8,500 m², PX 88%–95% and PaT. Module verification states are 38 g/kg at 28°C and 41 g/kg at 18°C; plant area is scaled by 1/100 to module area.</x:v>
      </x:c>
      <x:c r="C11" s="60" t="str">
        <x:v>Plant candidates cover 60–68 bar, 6,200–8,500 m², PX 88%–95% and PaT. Module verification states are 38 g/kg at 28°C and 41 g/kg at 18°C; plant area is scaled by 1/100 to module area.</x:v>
      </x:c>
      <x:c r="D11" s="60" t="str">
        <x:v>Plant candidates cover 60–68 bar, 6,200–8,500 m², PX 88%–95% and PaT. Module verification states are 38 g/kg at 28°C and 41 g/kg at 18°C; plant area is scaled by 1/100 to module area.</x:v>
      </x:c>
      <x:c r="E11" s="60" t="str">
        <x:v>Plant candidates cover 60–68 bar, 6,200–8,500 m², PX 88%–95% and PaT. Module verification states are 38 g/kg at 28°C and 41 g/kg at 18°C; plant area is scaled by 1/100 to module area.</x:v>
      </x:c>
      <x:c r="F11" s="61" t="str">
        <x:v>Plant candidates cover 60–68 bar, 6,200–8,500 m², PX 88%–95% and PaT. Module verification states are 38 g/kg at 28°C and 41 g/kg at 18°C; plant area is scaled by 1/100 to module area.</x:v>
      </x:c>
      <x:c r="G11" s="1"/>
      <x:c r="H11" s="87" t="str">
        <x:v>Plant: product ≥0.043 m³/s and SEC≤3.00 kWh/m³. Both membrane states: water ≥0.360 kg/s, NaCl ≤380 mg/L and CP≤1.35. Complete plant screening first, then decide by worst-state membrane verification.</x:v>
      </x:c>
      <x:c r="I11" s="88" t="str">
        <x:v>Plant: product ≥0.043 m³/s and SEC≤3.00 kWh/m³. Both membrane states: water ≥0.360 kg/s, NaCl ≤380 mg/L and CP≤1.35. Complete plant screening first, then decide by worst-state membrane verification.</x:v>
      </x:c>
      <x:c r="J11" s="88" t="str">
        <x:v>Plant: product ≥0.043 m³/s and SEC≤3.00 kWh/m³. Both membrane states: water ≥0.360 kg/s, NaCl ≤380 mg/L and CP≤1.35. Complete plant screening first, then decide by worst-state membrane verification.</x:v>
      </x:c>
      <x:c r="K11" s="88" t="str">
        <x:v>Plant: product ≥0.043 m³/s and SEC≤3.00 kWh/m³. Both membrane states: water ≥0.360 kg/s, NaCl ≤380 mg/L and CP≤1.35. Complete plant screening first, then decide by worst-state membrane verification.</x:v>
      </x:c>
      <x:c r="L11" s="88" t="str">
        <x:v>Plant: product ≥0.043 m³/s and SEC≤3.00 kWh/m³. Both membrane states: water ≥0.360 kg/s, NaCl ≤380 mg/L and CP≤1.35. Complete plant screening first, then decide by worst-state membrane verification.</x:v>
      </x:c>
      <x:c r="M11" s="88" t="str">
        <x:v>Plant: product ≥0.043 m³/s and SEC≤3.00 kWh/m³. Both membrane states: water ≥0.360 kg/s, NaCl ≤380 mg/L and CP≤1.35. Complete plant screening first, then decide by worst-state membrane verification.</x:v>
      </x:c>
      <x:c r="N11" s="89" t="str">
        <x:v>Plant: product ≥0.043 m³/s and SEC≤3.00 kWh/m³. Both membrane states: water ≥0.360 kg/s, NaCl ≤380 mg/L and CP≤1.35. Complete plant screening first, then decide by worst-state membrane verification.</x:v>
      </x:c>
    </x:row>
    <x:row r="12">
      <x:c r="A12" s="59" t="str">
        <x:v>Plant candidates cover 60–68 bar, 6,200–8,500 m², PX 88%–95% and PaT. Module verification states are 38 g/kg at 28°C and 41 g/kg at 18°C; plant area is scaled by 1/100 to module area.</x:v>
      </x:c>
      <x:c r="B12" s="60" t="str">
        <x:v>Plant candidates cover 60–68 bar, 6,200–8,500 m², PX 88%–95% and PaT. Module verification states are 38 g/kg at 28°C and 41 g/kg at 18°C; plant area is scaled by 1/100 to module area.</x:v>
      </x:c>
      <x:c r="C12" s="60" t="str">
        <x:v>Plant candidates cover 60–68 bar, 6,200–8,500 m², PX 88%–95% and PaT. Module verification states are 38 g/kg at 28°C and 41 g/kg at 18°C; plant area is scaled by 1/100 to module area.</x:v>
      </x:c>
      <x:c r="D12" s="60" t="str">
        <x:v>Plant candidates cover 60–68 bar, 6,200–8,500 m², PX 88%–95% and PaT. Module verification states are 38 g/kg at 28°C and 41 g/kg at 18°C; plant area is scaled by 1/100 to module area.</x:v>
      </x:c>
      <x:c r="E12" s="60" t="str">
        <x:v>Plant candidates cover 60–68 bar, 6,200–8,500 m², PX 88%–95% and PaT. Module verification states are 38 g/kg at 28°C and 41 g/kg at 18°C; plant area is scaled by 1/100 to module area.</x:v>
      </x:c>
      <x:c r="F12" s="61" t="str">
        <x:v>Plant candidates cover 60–68 bar, 6,200–8,500 m², PX 88%–95% and PaT. Module verification states are 38 g/kg at 28°C and 41 g/kg at 18°C; plant area is scaled by 1/100 to module area.</x:v>
      </x:c>
      <x:c r="G12" s="1"/>
      <x:c r="H12" s="87" t="str">
        <x:v>Plant: product ≥0.043 m³/s and SEC≤3.00 kWh/m³. Both membrane states: water ≥0.360 kg/s, NaCl ≤380 mg/L and CP≤1.35. Complete plant screening first, then decide by worst-state membrane verification.</x:v>
      </x:c>
      <x:c r="I12" s="88" t="str">
        <x:v>Plant: product ≥0.043 m³/s and SEC≤3.00 kWh/m³. Both membrane states: water ≥0.360 kg/s, NaCl ≤380 mg/L and CP≤1.35. Complete plant screening first, then decide by worst-state membrane verification.</x:v>
      </x:c>
      <x:c r="J12" s="88" t="str">
        <x:v>Plant: product ≥0.043 m³/s and SEC≤3.00 kWh/m³. Both membrane states: water ≥0.360 kg/s, NaCl ≤380 mg/L and CP≤1.35. Complete plant screening first, then decide by worst-state membrane verification.</x:v>
      </x:c>
      <x:c r="K12" s="88" t="str">
        <x:v>Plant: product ≥0.043 m³/s and SEC≤3.00 kWh/m³. Both membrane states: water ≥0.360 kg/s, NaCl ≤380 mg/L and CP≤1.35. Complete plant screening first, then decide by worst-state membrane verification.</x:v>
      </x:c>
      <x:c r="L12" s="88" t="str">
        <x:v>Plant: product ≥0.043 m³/s and SEC≤3.00 kWh/m³. Both membrane states: water ≥0.360 kg/s, NaCl ≤380 mg/L and CP≤1.35. Complete plant screening first, then decide by worst-state membrane verification.</x:v>
      </x:c>
      <x:c r="M12" s="88" t="str">
        <x:v>Plant: product ≥0.043 m³/s and SEC≤3.00 kWh/m³. Both membrane states: water ≥0.360 kg/s, NaCl ≤380 mg/L and CP≤1.35. Complete plant screening first, then decide by worst-state membrane verification.</x:v>
      </x:c>
      <x:c r="N12" s="89" t="str">
        <x:v>Plant: product ≥0.043 m³/s and SEC≤3.00 kWh/m³. Both membrane states: water ≥0.360 kg/s, NaCl ≤380 mg/L and CP≤1.35. Complete plant screening first, then decide by worst-state membrane verification.</x:v>
      </x:c>
    </x:row>
    <x:row r="13">
      <x:c r="A13" s="59" t="str">
        <x:v>Plant candidates cover 60–68 bar, 6,200–8,500 m², PX 88%–95% and PaT. Module verification states are 38 g/kg at 28°C and 41 g/kg at 18°C; plant area is scaled by 1/100 to module area.</x:v>
      </x:c>
      <x:c r="B13" s="60" t="str">
        <x:v>Plant candidates cover 60–68 bar, 6,200–8,500 m², PX 88%–95% and PaT. Module verification states are 38 g/kg at 28°C and 41 g/kg at 18°C; plant area is scaled by 1/100 to module area.</x:v>
      </x:c>
      <x:c r="C13" s="60" t="str">
        <x:v>Plant candidates cover 60–68 bar, 6,200–8,500 m², PX 88%–95% and PaT. Module verification states are 38 g/kg at 28°C and 41 g/kg at 18°C; plant area is scaled by 1/100 to module area.</x:v>
      </x:c>
      <x:c r="D13" s="60" t="str">
        <x:v>Plant candidates cover 60–68 bar, 6,200–8,500 m², PX 88%–95% and PaT. Module verification states are 38 g/kg at 28°C and 41 g/kg at 18°C; plant area is scaled by 1/100 to module area.</x:v>
      </x:c>
      <x:c r="E13" s="60" t="str">
        <x:v>Plant candidates cover 60–68 bar, 6,200–8,500 m², PX 88%–95% and PaT. Module verification states are 38 g/kg at 28°C and 41 g/kg at 18°C; plant area is scaled by 1/100 to module area.</x:v>
      </x:c>
      <x:c r="F13" s="61" t="str">
        <x:v>Plant candidates cover 60–68 bar, 6,200–8,500 m², PX 88%–95% and PaT. Module verification states are 38 g/kg at 28°C and 41 g/kg at 18°C; plant area is scaled by 1/100 to module area.</x:v>
      </x:c>
      <x:c r="G13" s="1"/>
      <x:c r="H13" s="87" t="str">
        <x:v>Plant: product ≥0.043 m³/s and SEC≤3.00 kWh/m³. Both membrane states: water ≥0.360 kg/s, NaCl ≤380 mg/L and CP≤1.35. Complete plant screening first, then decide by worst-state membrane verification.</x:v>
      </x:c>
      <x:c r="I13" s="88" t="str">
        <x:v>Plant: product ≥0.043 m³/s and SEC≤3.00 kWh/m³. Both membrane states: water ≥0.360 kg/s, NaCl ≤380 mg/L and CP≤1.35. Complete plant screening first, then decide by worst-state membrane verification.</x:v>
      </x:c>
      <x:c r="J13" s="88" t="str">
        <x:v>Plant: product ≥0.043 m³/s and SEC≤3.00 kWh/m³. Both membrane states: water ≥0.360 kg/s, NaCl ≤380 mg/L and CP≤1.35. Complete plant screening first, then decide by worst-state membrane verification.</x:v>
      </x:c>
      <x:c r="K13" s="88" t="str">
        <x:v>Plant: product ≥0.043 m³/s and SEC≤3.00 kWh/m³. Both membrane states: water ≥0.360 kg/s, NaCl ≤380 mg/L and CP≤1.35. Complete plant screening first, then decide by worst-state membrane verification.</x:v>
      </x:c>
      <x:c r="L13" s="88" t="str">
        <x:v>Plant: product ≥0.043 m³/s and SEC≤3.00 kWh/m³. Both membrane states: water ≥0.360 kg/s, NaCl ≤380 mg/L and CP≤1.35. Complete plant screening first, then decide by worst-state membrane verification.</x:v>
      </x:c>
      <x:c r="M13" s="88" t="str">
        <x:v>Plant: product ≥0.043 m³/s and SEC≤3.00 kWh/m³. Both membrane states: water ≥0.360 kg/s, NaCl ≤380 mg/L and CP≤1.35. Complete plant screening first, then decide by worst-state membrane verification.</x:v>
      </x:c>
      <x:c r="N13" s="89" t="str">
        <x:v>Plant: product ≥0.043 m³/s and SEC≤3.00 kWh/m³. Both membrane states: water ≥0.360 kg/s, NaCl ≤380 mg/L and CP≤1.35. Complete plant screening first, then decide by worst-state membrane verification.</x:v>
      </x:c>
    </x:row>
    <x:row r="14">
      <x:c r="A14" s="59" t="str">
        <x:v>Plant candidates cover 60–68 bar, 6,200–8,500 m², PX 88%–95% and PaT. Module verification states are 38 g/kg at 28°C and 41 g/kg at 18°C; plant area is scaled by 1/100 to module area.</x:v>
      </x:c>
      <x:c r="B14" s="60" t="str">
        <x:v>Plant candidates cover 60–68 bar, 6,200–8,500 m², PX 88%–95% and PaT. Module verification states are 38 g/kg at 28°C and 41 g/kg at 18°C; plant area is scaled by 1/100 to module area.</x:v>
      </x:c>
      <x:c r="C14" s="60" t="str">
        <x:v>Plant candidates cover 60–68 bar, 6,200–8,500 m², PX 88%–95% and PaT. Module verification states are 38 g/kg at 28°C and 41 g/kg at 18°C; plant area is scaled by 1/100 to module area.</x:v>
      </x:c>
      <x:c r="D14" s="60" t="str">
        <x:v>Plant candidates cover 60–68 bar, 6,200–8,500 m², PX 88%–95% and PaT. Module verification states are 38 g/kg at 28°C and 41 g/kg at 18°C; plant area is scaled by 1/100 to module area.</x:v>
      </x:c>
      <x:c r="E14" s="60" t="str">
        <x:v>Plant candidates cover 60–68 bar, 6,200–8,500 m², PX 88%–95% and PaT. Module verification states are 38 g/kg at 28°C and 41 g/kg at 18°C; plant area is scaled by 1/100 to module area.</x:v>
      </x:c>
      <x:c r="F14" s="61" t="str">
        <x:v>Plant candidates cover 60–68 bar, 6,200–8,500 m², PX 88%–95% and PaT. Module verification states are 38 g/kg at 28°C and 41 g/kg at 18°C; plant area is scaled by 1/100 to module area.</x:v>
      </x:c>
      <x:c r="G14" s="1"/>
      <x:c r="H14" s="87" t="str">
        <x:v>Plant: product ≥0.043 m³/s and SEC≤3.00 kWh/m³. Both membrane states: water ≥0.360 kg/s, NaCl ≤380 mg/L and CP≤1.35. Complete plant screening first, then decide by worst-state membrane verification.</x:v>
      </x:c>
      <x:c r="I14" s="88" t="str">
        <x:v>Plant: product ≥0.043 m³/s and SEC≤3.00 kWh/m³. Both membrane states: water ≥0.360 kg/s, NaCl ≤380 mg/L and CP≤1.35. Complete plant screening first, then decide by worst-state membrane verification.</x:v>
      </x:c>
      <x:c r="J14" s="88" t="str">
        <x:v>Plant: product ≥0.043 m³/s and SEC≤3.00 kWh/m³. Both membrane states: water ≥0.360 kg/s, NaCl ≤380 mg/L and CP≤1.35. Complete plant screening first, then decide by worst-state membrane verification.</x:v>
      </x:c>
      <x:c r="K14" s="88" t="str">
        <x:v>Plant: product ≥0.043 m³/s and SEC≤3.00 kWh/m³. Both membrane states: water ≥0.360 kg/s, NaCl ≤380 mg/L and CP≤1.35. Complete plant screening first, then decide by worst-state membrane verification.</x:v>
      </x:c>
      <x:c r="L14" s="88" t="str">
        <x:v>Plant: product ≥0.043 m³/s and SEC≤3.00 kWh/m³. Both membrane states: water ≥0.360 kg/s, NaCl ≤380 mg/L and CP≤1.35. Complete plant screening first, then decide by worst-state membrane verification.</x:v>
      </x:c>
      <x:c r="M14" s="88" t="str">
        <x:v>Plant: product ≥0.043 m³/s and SEC≤3.00 kWh/m³. Both membrane states: water ≥0.360 kg/s, NaCl ≤380 mg/L and CP≤1.35. Complete plant screening first, then decide by worst-state membrane verification.</x:v>
      </x:c>
      <x:c r="N14" s="89" t="str">
        <x:v>Plant: product ≥0.043 m³/s and SEC≤3.00 kWh/m³. Both membrane states: water ≥0.360 kg/s, NaCl ≤380 mg/L and CP≤1.35. Complete plant screening first, then decide by worst-state membrane verification.</x:v>
      </x:c>
    </x:row>
    <x:row r="15">
      <x:c r="A15" s="59" t="str">
        <x:v>Plant candidates cover 60–68 bar, 6,200–8,500 m², PX 88%–95% and PaT. Module verification states are 38 g/kg at 28°C and 41 g/kg at 18°C; plant area is scaled by 1/100 to module area.</x:v>
      </x:c>
      <x:c r="B15" s="60" t="str">
        <x:v>Plant candidates cover 60–68 bar, 6,200–8,500 m², PX 88%–95% and PaT. Module verification states are 38 g/kg at 28°C and 41 g/kg at 18°C; plant area is scaled by 1/100 to module area.</x:v>
      </x:c>
      <x:c r="C15" s="60" t="str">
        <x:v>Plant candidates cover 60–68 bar, 6,200–8,500 m², PX 88%–95% and PaT. Module verification states are 38 g/kg at 28°C and 41 g/kg at 18°C; plant area is scaled by 1/100 to module area.</x:v>
      </x:c>
      <x:c r="D15" s="60" t="str">
        <x:v>Plant candidates cover 60–68 bar, 6,200–8,500 m², PX 88%–95% and PaT. Module verification states are 38 g/kg at 28°C and 41 g/kg at 18°C; plant area is scaled by 1/100 to module area.</x:v>
      </x:c>
      <x:c r="E15" s="60" t="str">
        <x:v>Plant candidates cover 60–68 bar, 6,200–8,500 m², PX 88%–95% and PaT. Module verification states are 38 g/kg at 28°C and 41 g/kg at 18°C; plant area is scaled by 1/100 to module area.</x:v>
      </x:c>
      <x:c r="F15" s="61" t="str">
        <x:v>Plant candidates cover 60–68 bar, 6,200–8,500 m², PX 88%–95% and PaT. Module verification states are 38 g/kg at 28°C and 41 g/kg at 18°C; plant area is scaled by 1/100 to module area.</x:v>
      </x:c>
      <x:c r="G15" s="1"/>
      <x:c r="H15" s="87" t="str">
        <x:v>Plant: product ≥0.043 m³/s and SEC≤3.00 kWh/m³. Both membrane states: water ≥0.360 kg/s, NaCl ≤380 mg/L and CP≤1.35. Complete plant screening first, then decide by worst-state membrane verification.</x:v>
      </x:c>
      <x:c r="I15" s="88" t="str">
        <x:v>Plant: product ≥0.043 m³/s and SEC≤3.00 kWh/m³. Both membrane states: water ≥0.360 kg/s, NaCl ≤380 mg/L and CP≤1.35. Complete plant screening first, then decide by worst-state membrane verification.</x:v>
      </x:c>
      <x:c r="J15" s="88" t="str">
        <x:v>Plant: product ≥0.043 m³/s and SEC≤3.00 kWh/m³. Both membrane states: water ≥0.360 kg/s, NaCl ≤380 mg/L and CP≤1.35. Complete plant screening first, then decide by worst-state membrane verification.</x:v>
      </x:c>
      <x:c r="K15" s="88" t="str">
        <x:v>Plant: product ≥0.043 m³/s and SEC≤3.00 kWh/m³. Both membrane states: water ≥0.360 kg/s, NaCl ≤380 mg/L and CP≤1.35. Complete plant screening first, then decide by worst-state membrane verification.</x:v>
      </x:c>
      <x:c r="L15" s="88" t="str">
        <x:v>Plant: product ≥0.043 m³/s and SEC≤3.00 kWh/m³. Both membrane states: water ≥0.360 kg/s, NaCl ≤380 mg/L and CP≤1.35. Complete plant screening first, then decide by worst-state membrane verification.</x:v>
      </x:c>
      <x:c r="M15" s="88" t="str">
        <x:v>Plant: product ≥0.043 m³/s and SEC≤3.00 kWh/m³. Both membrane states: water ≥0.360 kg/s, NaCl ≤380 mg/L and CP≤1.35. Complete plant screening first, then decide by worst-state membrane verification.</x:v>
      </x:c>
      <x:c r="N15" s="89" t="str">
        <x:v>Plant: product ≥0.043 m³/s and SEC≤3.00 kWh/m³. Both membrane states: water ≥0.360 kg/s, NaCl ≤380 mg/L and CP≤1.35. Complete plant screening first, then decide by worst-state membrane verification.</x:v>
      </x:c>
    </x:row>
    <x:row r="16">
      <x:c r="A16" s="62" t="str">
        <x:v>Plant candidates cover 60–68 bar, 6,200–8,500 m², PX 88%–95% and PaT. Module verification states are 38 g/kg at 28°C and 41 g/kg at 18°C; plant area is scaled by 1/100 to module area.</x:v>
      </x:c>
      <x:c r="B16" s="63" t="str">
        <x:v>Plant candidates cover 60–68 bar, 6,200–8,500 m², PX 88%–95% and PaT. Module verification states are 38 g/kg at 28°C and 41 g/kg at 18°C; plant area is scaled by 1/100 to module area.</x:v>
      </x:c>
      <x:c r="C16" s="63" t="str">
        <x:v>Plant candidates cover 60–68 bar, 6,200–8,500 m², PX 88%–95% and PaT. Module verification states are 38 g/kg at 28°C and 41 g/kg at 18°C; plant area is scaled by 1/100 to module area.</x:v>
      </x:c>
      <x:c r="D16" s="63" t="str">
        <x:v>Plant candidates cover 60–68 bar, 6,200–8,500 m², PX 88%–95% and PaT. Module verification states are 38 g/kg at 28°C and 41 g/kg at 18°C; plant area is scaled by 1/100 to module area.</x:v>
      </x:c>
      <x:c r="E16" s="63" t="str">
        <x:v>Plant candidates cover 60–68 bar, 6,200–8,500 m², PX 88%–95% and PaT. Module verification states are 38 g/kg at 28°C and 41 g/kg at 18°C; plant area is scaled by 1/100 to module area.</x:v>
      </x:c>
      <x:c r="F16" s="64" t="str">
        <x:v>Plant candidates cover 60–68 bar, 6,200–8,500 m², PX 88%–95% and PaT. Module verification states are 38 g/kg at 28°C and 41 g/kg at 18°C; plant area is scaled by 1/100 to module area.</x:v>
      </x:c>
      <x:c r="G16" s="1"/>
      <x:c r="H16" s="90" t="str">
        <x:v>Plant: product ≥0.043 m³/s and SEC≤3.00 kWh/m³. Both membrane states: water ≥0.360 kg/s, NaCl ≤380 mg/L and CP≤1.35. Complete plant screening first, then decide by worst-state membrane verification.</x:v>
      </x:c>
      <x:c r="I16" s="91" t="str">
        <x:v>Plant: product ≥0.043 m³/s and SEC≤3.00 kWh/m³. Both membrane states: water ≥0.360 kg/s, NaCl ≤380 mg/L and CP≤1.35. Complete plant screening first, then decide by worst-state membrane verification.</x:v>
      </x:c>
      <x:c r="J16" s="91" t="str">
        <x:v>Plant: product ≥0.043 m³/s and SEC≤3.00 kWh/m³. Both membrane states: water ≥0.360 kg/s, NaCl ≤380 mg/L and CP≤1.35. Complete plant screening first, then decide by worst-state membrane verification.</x:v>
      </x:c>
      <x:c r="K16" s="91" t="str">
        <x:v>Plant: product ≥0.043 m³/s and SEC≤3.00 kWh/m³. Both membrane states: water ≥0.360 kg/s, NaCl ≤380 mg/L and CP≤1.35. Complete plant screening first, then decide by worst-state membrane verification.</x:v>
      </x:c>
      <x:c r="L16" s="91" t="str">
        <x:v>Plant: product ≥0.043 m³/s and SEC≤3.00 kWh/m³. Both membrane states: water ≥0.360 kg/s, NaCl ≤380 mg/L and CP≤1.35. Complete plant screening first, then decide by worst-state membrane verification.</x:v>
      </x:c>
      <x:c r="M16" s="91" t="str">
        <x:v>Plant: product ≥0.043 m³/s and SEC≤3.00 kWh/m³. Both membrane states: water ≥0.360 kg/s, NaCl ≤380 mg/L and CP≤1.35. Complete plant screening first, then decide by worst-state membrane verification.</x:v>
      </x:c>
      <x:c r="N16" s="92" t="str">
        <x:v>Plant: product ≥0.043 m³/s and SEC≤3.00 kWh/m³. Both membrane states: water ≥0.360 kg/s, NaCl ≤380 mg/L and CP≤1.35. Complete plant screening first, then decide by worst-state membrane verification.</x:v>
      </x:c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37" t="str">
        <x:v>Serial dependency</x:v>
      </x:c>
      <x:c r="B18" s="37" t="str">
        <x:v>Serial dependency</x:v>
      </x:c>
      <x:c r="C18" s="37" t="str">
        <x:v>Serial dependency</x:v>
      </x:c>
      <x:c r="D18" s="37" t="str">
        <x:v>Serial dependency</x:v>
      </x:c>
      <x:c r="E18" s="37" t="str">
        <x:v>Serial dependency</x:v>
      </x:c>
      <x:c r="F18" s="37" t="str">
        <x:v>Serial dependency</x:v>
      </x:c>
      <x:c r="G18" s="1"/>
      <x:c r="H18" s="37" t="str">
        <x:v>Required engineering answer</x:v>
      </x:c>
      <x:c r="I18" s="37" t="str">
        <x:v>Required engineering answer</x:v>
      </x:c>
      <x:c r="J18" s="37" t="str">
        <x:v>Required engineering answer</x:v>
      </x:c>
      <x:c r="K18" s="37" t="str">
        <x:v>Required engineering answer</x:v>
      </x:c>
      <x:c r="L18" s="37" t="str">
        <x:v>Required engineering answer</x:v>
      </x:c>
      <x:c r="M18" s="37" t="str">
        <x:v>Required engineering answer</x:v>
      </x:c>
      <x:c r="N18" s="37" t="str">
        <x:v>Required engineering answer</x:v>
      </x:c>
    </x:row>
    <x:row r="19">
      <x:c r="A19" s="111" t="str">
        <x:v>Stage 1 uses plant simulation to determine survivors or actual recovery. Stage 2 uses membrane verification. Stage-2 inputs must come from Stage 1; they may not be independently reset.</x:v>
      </x:c>
      <x:c r="B19" s="112" t="str">
        <x:v>Stage 1 uses plant simulation to determine survivors or actual recovery. Stage 2 uses membrane verification. Stage-2 inputs must come from Stage 1; they may not be independently reset.</x:v>
      </x:c>
      <x:c r="C19" s="112" t="str">
        <x:v>Stage 1 uses plant simulation to determine survivors or actual recovery. Stage 2 uses membrane verification. Stage-2 inputs must come from Stage 1; they may not be independently reset.</x:v>
      </x:c>
      <x:c r="D19" s="112" t="str">
        <x:v>Stage 1 uses plant simulation to determine survivors or actual recovery. Stage 2 uses membrane verification. Stage-2 inputs must come from Stage 1; they may not be independently reset.</x:v>
      </x:c>
      <x:c r="E19" s="112" t="str">
        <x:v>Stage 1 uses plant simulation to determine survivors or actual recovery. Stage 2 uses membrane verification. Stage-2 inputs must come from Stage 1; they may not be independently reset.</x:v>
      </x:c>
      <x:c r="F19" s="113" t="str">
        <x:v>Stage 1 uses plant simulation to determine survivors or actual recovery. Stage 2 uses membrane verification. Stage-2 inputs must come from Stage 1; they may not be independently reset.</x:v>
      </x:c>
      <x:c r="G19" s="1"/>
      <x:c r="H19" s="123" t="n">
        <x:v>1</x:v>
      </x:c>
      <x:c r="I19" s="125" t="str">
        <x:v>Define a reproducible candidate grid within the stated boundary.</x:v>
      </x:c>
      <x:c r="J19" s="125" t="str">
        <x:v>Define a reproducible candidate grid within the stated boundary.</x:v>
      </x:c>
      <x:c r="K19" s="125" t="str">
        <x:v>Define a reproducible candidate grid within the stated boundary.</x:v>
      </x:c>
      <x:c r="L19" s="125" t="str">
        <x:v>Define a reproducible candidate grid within the stated boundary.</x:v>
      </x:c>
      <x:c r="M19" s="125" t="str">
        <x:v>Define a reproducible candidate grid within the stated boundary.</x:v>
      </x:c>
      <x:c r="N19" s="125" t="str">
        <x:v>Define a reproducible candidate grid within the stated boundary.</x:v>
      </x:c>
    </x:row>
    <x:row r="20">
      <x:c r="A20" s="114" t="str">
        <x:v>Stage 1 uses plant simulation to determine survivors or actual recovery. Stage 2 uses membrane verification. Stage-2 inputs must come from Stage 1; they may not be independently reset.</x:v>
      </x:c>
      <x:c r="B20" s="115" t="str">
        <x:v>Stage 1 uses plant simulation to determine survivors or actual recovery. Stage 2 uses membrane verification. Stage-2 inputs must come from Stage 1; they may not be independently reset.</x:v>
      </x:c>
      <x:c r="C20" s="115" t="str">
        <x:v>Stage 1 uses plant simulation to determine survivors or actual recovery. Stage 2 uses membrane verification. Stage-2 inputs must come from Stage 1; they may not be independently reset.</x:v>
      </x:c>
      <x:c r="D20" s="115" t="str">
        <x:v>Stage 1 uses plant simulation to determine survivors or actual recovery. Stage 2 uses membrane verification. Stage-2 inputs must come from Stage 1; they may not be independently reset.</x:v>
      </x:c>
      <x:c r="E20" s="115" t="str">
        <x:v>Stage 1 uses plant simulation to determine survivors or actual recovery. Stage 2 uses membrane verification. Stage-2 inputs must come from Stage 1; they may not be independently reset.</x:v>
      </x:c>
      <x:c r="F20" s="116" t="str">
        <x:v>Stage 1 uses plant simulation to determine survivors or actual recovery. Stage 2 uses membrane verification. Stage-2 inputs must come from Stage 1; they may not be independently reset.</x:v>
      </x:c>
      <x:c r="G20" s="1"/>
      <x:c r="H20" s="123" t="n">
        <x:v>2</x:v>
      </x:c>
      <x:c r="I20" s="125" t="str">
        <x:v>Complete Stage 1 and identify every pass/fail boundary.</x:v>
      </x:c>
      <x:c r="J20" s="125" t="str">
        <x:v>Complete Stage 1 and identify every pass/fail boundary.</x:v>
      </x:c>
      <x:c r="K20" s="125" t="str">
        <x:v>Complete Stage 1 and identify every pass/fail boundary.</x:v>
      </x:c>
      <x:c r="L20" s="125" t="str">
        <x:v>Complete Stage 1 and identify every pass/fail boundary.</x:v>
      </x:c>
      <x:c r="M20" s="125" t="str">
        <x:v>Complete Stage 1 and identify every pass/fail boundary.</x:v>
      </x:c>
      <x:c r="N20" s="125" t="str">
        <x:v>Complete Stage 1 and identify every pass/fail boundary.</x:v>
      </x:c>
    </x:row>
    <x:row r="21">
      <x:c r="A21" s="114" t="str">
        <x:v>Stage 1 uses plant simulation to determine survivors or actual recovery. Stage 2 uses membrane verification. Stage-2 inputs must come from Stage 1; they may not be independently reset.</x:v>
      </x:c>
      <x:c r="B21" s="115" t="str">
        <x:v>Stage 1 uses plant simulation to determine survivors or actual recovery. Stage 2 uses membrane verification. Stage-2 inputs must come from Stage 1; they may not be independently reset.</x:v>
      </x:c>
      <x:c r="C21" s="115" t="str">
        <x:v>Stage 1 uses plant simulation to determine survivors or actual recovery. Stage 2 uses membrane verification. Stage-2 inputs must come from Stage 1; they may not be independently reset.</x:v>
      </x:c>
      <x:c r="D21" s="115" t="str">
        <x:v>Stage 1 uses plant simulation to determine survivors or actual recovery. Stage 2 uses membrane verification. Stage-2 inputs must come from Stage 1; they may not be independently reset.</x:v>
      </x:c>
      <x:c r="E21" s="115" t="str">
        <x:v>Stage 1 uses plant simulation to determine survivors or actual recovery. Stage 2 uses membrane verification. Stage-2 inputs must come from Stage 1; they may not be independently reset.</x:v>
      </x:c>
      <x:c r="F21" s="116" t="str">
        <x:v>Stage 1 uses plant simulation to determine survivors or actual recovery. Stage 2 uses membrane verification. Stage-2 inputs must come from Stage 1; they may not be independently reset.</x:v>
      </x:c>
      <x:c r="G21" s="1"/>
      <x:c r="H21" s="123" t="n">
        <x:v>3</x:v>
      </x:c>
      <x:c r="I21" s="125" t="str">
        <x:v>Transfer the actual Stage-1 recovery or survivor settings into Stage 2.</x:v>
      </x:c>
      <x:c r="J21" s="125" t="str">
        <x:v>Transfer the actual Stage-1 recovery or survivor settings into Stage 2.</x:v>
      </x:c>
      <x:c r="K21" s="125" t="str">
        <x:v>Transfer the actual Stage-1 recovery or survivor settings into Stage 2.</x:v>
      </x:c>
      <x:c r="L21" s="125" t="str">
        <x:v>Transfer the actual Stage-1 recovery or survivor settings into Stage 2.</x:v>
      </x:c>
      <x:c r="M21" s="125" t="str">
        <x:v>Transfer the actual Stage-1 recovery or survivor settings into Stage 2.</x:v>
      </x:c>
      <x:c r="N21" s="125" t="str">
        <x:v>Transfer the actual Stage-1 recovery or survivor settings into Stage 2.</x:v>
      </x:c>
    </x:row>
    <x:row r="22">
      <x:c r="A22" s="114" t="str">
        <x:v>Stage 1 uses plant simulation to determine survivors or actual recovery. Stage 2 uses membrane verification. Stage-2 inputs must come from Stage 1; they may not be independently reset.</x:v>
      </x:c>
      <x:c r="B22" s="115" t="str">
        <x:v>Stage 1 uses plant simulation to determine survivors or actual recovery. Stage 2 uses membrane verification. Stage-2 inputs must come from Stage 1; they may not be independently reset.</x:v>
      </x:c>
      <x:c r="C22" s="115" t="str">
        <x:v>Stage 1 uses plant simulation to determine survivors or actual recovery. Stage 2 uses membrane verification. Stage-2 inputs must come from Stage 1; they may not be independently reset.</x:v>
      </x:c>
      <x:c r="D22" s="115" t="str">
        <x:v>Stage 1 uses plant simulation to determine survivors or actual recovery. Stage 2 uses membrane verification. Stage-2 inputs must come from Stage 1; they may not be independently reset.</x:v>
      </x:c>
      <x:c r="E22" s="115" t="str">
        <x:v>Stage 1 uses plant simulation to determine survivors or actual recovery. Stage 2 uses membrane verification. Stage-2 inputs must come from Stage 1; they may not be independently reset.</x:v>
      </x:c>
      <x:c r="F22" s="116" t="str">
        <x:v>Stage 1 uses plant simulation to determine survivors or actual recovery. Stage 2 uses membrane verification. Stage-2 inputs must come from Stage 1; they may not be independently reset.</x:v>
      </x:c>
      <x:c r="G22" s="1"/>
      <x:c r="H22" s="123" t="n">
        <x:v>4</x:v>
      </x:c>
      <x:c r="I22" s="125" t="str">
        <x:v>Apply Stage-2 constraints without averaging away failed states.</x:v>
      </x:c>
      <x:c r="J22" s="125" t="str">
        <x:v>Apply Stage-2 constraints without averaging away failed states.</x:v>
      </x:c>
      <x:c r="K22" s="125" t="str">
        <x:v>Apply Stage-2 constraints without averaging away failed states.</x:v>
      </x:c>
      <x:c r="L22" s="125" t="str">
        <x:v>Apply Stage-2 constraints without averaging away failed states.</x:v>
      </x:c>
      <x:c r="M22" s="125" t="str">
        <x:v>Apply Stage-2 constraints without averaging away failed states.</x:v>
      </x:c>
      <x:c r="N22" s="125" t="str">
        <x:v>Apply Stage-2 constraints without averaging away failed states.</x:v>
      </x:c>
    </x:row>
    <x:row r="23">
      <x:c r="A23" s="117" t="str">
        <x:v>Stage 1 uses plant simulation to determine survivors or actual recovery. Stage 2 uses membrane verification. Stage-2 inputs must come from Stage 1; they may not be independently reset.</x:v>
      </x:c>
      <x:c r="B23" s="118" t="str">
        <x:v>Stage 1 uses plant simulation to determine survivors or actual recovery. Stage 2 uses membrane verification. Stage-2 inputs must come from Stage 1; they may not be independently reset.</x:v>
      </x:c>
      <x:c r="C23" s="118" t="str">
        <x:v>Stage 1 uses plant simulation to determine survivors or actual recovery. Stage 2 uses membrane verification. Stage-2 inputs must come from Stage 1; they may not be independently reset.</x:v>
      </x:c>
      <x:c r="D23" s="118" t="str">
        <x:v>Stage 1 uses plant simulation to determine survivors or actual recovery. Stage 2 uses membrane verification. Stage-2 inputs must come from Stage 1; they may not be independently reset.</x:v>
      </x:c>
      <x:c r="E23" s="118" t="str">
        <x:v>Stage 1 uses plant simulation to determine survivors or actual recovery. Stage 2 uses membrane verification. Stage-2 inputs must come from Stage 1; they may not be independently reset.</x:v>
      </x:c>
      <x:c r="F23" s="119" t="str">
        <x:v>Stage 1 uses plant simulation to determine survivors or actual recovery. Stage 2 uses membrane verification. Stage-2 inputs must come from Stage 1; they may not be independently reset.</x:v>
      </x:c>
      <x:c r="G23" s="1"/>
      <x:c r="H23" s="123" t="n">
        <x:v>5</x:v>
      </x:c>
      <x:c r="I23" s="125" t="str">
        <x:v>Report the final setting, adjacent failure evidence and model limitations.</x:v>
      </x:c>
      <x:c r="J23" s="125" t="str">
        <x:v>Report the final setting, adjacent failure evidence and model limitations.</x:v>
      </x:c>
      <x:c r="K23" s="125" t="str">
        <x:v>Report the final setting, adjacent failure evidence and model limitations.</x:v>
      </x:c>
      <x:c r="L23" s="125" t="str">
        <x:v>Report the final setting, adjacent failure evidence and model limitations.</x:v>
      </x:c>
      <x:c r="M23" s="125" t="str">
        <x:v>Report the final setting, adjacent failure evidence and model limitations.</x:v>
      </x:c>
      <x:c r="N23" s="125" t="str">
        <x:v>Report the final setting, adjacent failure evidence and model limitations.</x:v>
      </x:c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37" t="str">
        <x:v>Boundary note</x:v>
      </x:c>
      <x:c r="B25" s="37" t="str">
        <x:v>Feed / configuration notes</x:v>
      </x:c>
      <x:c r="C25" s="37" t="str">
        <x:v>Feed / configuration notes</x:v>
      </x:c>
      <x:c r="D25" s="37" t="str">
        <x:v>Feed / configuration notes</x:v>
      </x:c>
      <x:c r="E25" s="37" t="str">
        <x:v>Feed / configuration notes</x:v>
      </x:c>
      <x:c r="F25" s="37" t="str">
        <x:v>Feed / configuration notes</x:v>
      </x:c>
      <x:c r="G25" s="37" t="str">
        <x:v>Feed / configuration notes</x:v>
      </x:c>
      <x:c r="H25" s="37" t="str">
        <x:v>Feed / configuration notes</x:v>
      </x:c>
      <x:c r="I25" s="37" t="str">
        <x:v>Feed / configuration notes</x:v>
      </x:c>
      <x:c r="J25" s="37" t="str">
        <x:v>Feed / configuration notes</x:v>
      </x:c>
      <x:c r="K25" s="37" t="str">
        <x:v>Feed / configuration notes</x:v>
      </x:c>
      <x:c r="L25" s="37" t="str">
        <x:v>Feed / configuration notes</x:v>
      </x:c>
      <x:c r="M25" s="37" t="str">
        <x:v>Feed / configuration notes</x:v>
      </x:c>
      <x:c r="N25" s="37" t="str">
        <x:v>Feed / configuration notes</x:v>
      </x:c>
    </x:row>
    <x:row r="26">
      <x:c r="A26" s="143" t="str">
        <x:v>The second-stage boundary condition must inherit the actual result selected in Stage 1. A nominal design recovery or independently reset configuration is not acceptable, even if it produces a plausible final number.</x:v>
      </x:c>
      <x:c r="B26" s="144" t="str">
        <x:v>Simulator pair: simulate_swro_system → simulate_ro. The task is judged by engineering lineage: a plausible final number without correct transfer of Stage-1 outputs into Stage 2 is not sufficient.</x:v>
      </x:c>
      <x:c r="C26" s="144" t="str">
        <x:v>Simulator pair: simulate_swro_system → simulate_ro. The task is judged by engineering lineage: a plausible final number without correct transfer of Stage-1 outputs into Stage 2 is not sufficient.</x:v>
      </x:c>
      <x:c r="D26" s="144" t="str">
        <x:v>Simulator pair: simulate_swro_system → simulate_ro. The task is judged by engineering lineage: a plausible final number without correct transfer of Stage-1 outputs into Stage 2 is not sufficient.</x:v>
      </x:c>
      <x:c r="E26" s="144" t="str">
        <x:v>Simulator pair: simulate_swro_system → simulate_ro. The task is judged by engineering lineage: a plausible final number without correct transfer of Stage-1 outputs into Stage 2 is not sufficient.</x:v>
      </x:c>
      <x:c r="F26" s="144" t="str">
        <x:v>Simulator pair: simulate_swro_system → simulate_ro. The task is judged by engineering lineage: a plausible final number without correct transfer of Stage-1 outputs into Stage 2 is not sufficient.</x:v>
      </x:c>
      <x:c r="G26" s="144" t="str">
        <x:v>Simulator pair: simulate_swro_system → simulate_ro. The task is judged by engineering lineage: a plausible final number without correct transfer of Stage-1 outputs into Stage 2 is not sufficient.</x:v>
      </x:c>
      <x:c r="H26" s="144" t="str">
        <x:v>Simulator pair: simulate_swro_system → simulate_ro. The task is judged by engineering lineage: a plausible final number without correct transfer of Stage-1 outputs into Stage 2 is not sufficient.</x:v>
      </x:c>
      <x:c r="I26" s="144" t="str">
        <x:v>Simulator pair: simulate_swro_system → simulate_ro. The task is judged by engineering lineage: a plausible final number without correct transfer of Stage-1 outputs into Stage 2 is not sufficient.</x:v>
      </x:c>
      <x:c r="J26" s="144" t="str">
        <x:v>Simulator pair: simulate_swro_system → simulate_ro. The task is judged by engineering lineage: a plausible final number without correct transfer of Stage-1 outputs into Stage 2 is not sufficient.</x:v>
      </x:c>
      <x:c r="K26" s="144" t="str">
        <x:v>Simulator pair: simulate_swro_system → simulate_ro. The task is judged by engineering lineage: a plausible final number without correct transfer of Stage-1 outputs into Stage 2 is not sufficient.</x:v>
      </x:c>
      <x:c r="L26" s="144" t="str">
        <x:v>Simulator pair: simulate_swro_system → simulate_ro. The task is judged by engineering lineage: a plausible final number without correct transfer of Stage-1 outputs into Stage 2 is not sufficient.</x:v>
      </x:c>
      <x:c r="M26" s="144" t="str">
        <x:v>Simulator pair: simulate_swro_system → simulate_ro. The task is judged by engineering lineage: a plausible final number without correct transfer of Stage-1 outputs into Stage 2 is not sufficient.</x:v>
      </x:c>
      <x:c r="N26" s="145" t="str">
        <x:v>Simulator pair: simulate_swro_system → simulate_ro. The task is judged by engineering lineage: a plausible final number without correct transfer of Stage-1 outputs into Stage 2 is not sufficient.</x:v>
      </x:c>
    </x:row>
    <x:row r="27">
      <x:c r="A27" s="146" t="str">
        <x:v>Simulator pair: simulate_swro_system → simulate_ro. The task is judged by engineering lineage: a plausible final number without correct transfer of Stage-1 outputs into Stage 2 is not sufficient.</x:v>
      </x:c>
      <x:c r="B27" s="147" t="str">
        <x:v>Simulator pair: simulate_swro_system → simulate_ro. The task is judged by engineering lineage: a plausible final number without correct transfer of Stage-1 outputs into Stage 2 is not sufficient.</x:v>
      </x:c>
      <x:c r="C27" s="147" t="str">
        <x:v>Simulator pair: simulate_swro_system → simulate_ro. The task is judged by engineering lineage: a plausible final number without correct transfer of Stage-1 outputs into Stage 2 is not sufficient.</x:v>
      </x:c>
      <x:c r="D27" s="147" t="str">
        <x:v>Simulator pair: simulate_swro_system → simulate_ro. The task is judged by engineering lineage: a plausible final number without correct transfer of Stage-1 outputs into Stage 2 is not sufficient.</x:v>
      </x:c>
      <x:c r="E27" s="147" t="str">
        <x:v>Simulator pair: simulate_swro_system → simulate_ro. The task is judged by engineering lineage: a plausible final number without correct transfer of Stage-1 outputs into Stage 2 is not sufficient.</x:v>
      </x:c>
      <x:c r="F27" s="147" t="str">
        <x:v>Simulator pair: simulate_swro_system → simulate_ro. The task is judged by engineering lineage: a plausible final number without correct transfer of Stage-1 outputs into Stage 2 is not sufficient.</x:v>
      </x:c>
      <x:c r="G27" s="147" t="str">
        <x:v>Simulator pair: simulate_swro_system → simulate_ro. The task is judged by engineering lineage: a plausible final number without correct transfer of Stage-1 outputs into Stage 2 is not sufficient.</x:v>
      </x:c>
      <x:c r="H27" s="147" t="str">
        <x:v>Simulator pair: simulate_swro_system → simulate_ro. The task is judged by engineering lineage: a plausible final number without correct transfer of Stage-1 outputs into Stage 2 is not sufficient.</x:v>
      </x:c>
      <x:c r="I27" s="147" t="str">
        <x:v>Simulator pair: simulate_swro_system → simulate_ro. The task is judged by engineering lineage: a plausible final number without correct transfer of Stage-1 outputs into Stage 2 is not sufficient.</x:v>
      </x:c>
      <x:c r="J27" s="147" t="str">
        <x:v>Simulator pair: simulate_swro_system → simulate_ro. The task is judged by engineering lineage: a plausible final number without correct transfer of Stage-1 outputs into Stage 2 is not sufficient.</x:v>
      </x:c>
      <x:c r="K27" s="147" t="str">
        <x:v>Simulator pair: simulate_swro_system → simulate_ro. The task is judged by engineering lineage: a plausible final number without correct transfer of Stage-1 outputs into Stage 2 is not sufficient.</x:v>
      </x:c>
      <x:c r="L27" s="147" t="str">
        <x:v>Simulator pair: simulate_swro_system → simulate_ro. The task is judged by engineering lineage: a plausible final number without correct transfer of Stage-1 outputs into Stage 2 is not sufficient.</x:v>
      </x:c>
      <x:c r="M27" s="147" t="str">
        <x:v>Simulator pair: simulate_swro_system → simulate_ro. The task is judged by engineering lineage: a plausible final number without correct transfer of Stage-1 outputs into Stage 2 is not sufficient.</x:v>
      </x:c>
      <x:c r="N27" s="148" t="str">
        <x:v>Simulator pair: simulate_swro_system → simulate_ro. The task is judged by engineering lineage: a plausible final number without correct transfer of Stage-1 outputs into Stage 2 is not sufficient.</x:v>
      </x:c>
    </x:row>
    <x:row r="28">
      <x:c r="A28" s="146" t="str">
        <x:v>Simulator pair: simulate_swro_system → simulate_ro. The task is judged by engineering lineage: a plausible final number without correct transfer of Stage-1 outputs into Stage 2 is not sufficient.</x:v>
      </x:c>
      <x:c r="B28" s="147" t="str">
        <x:v>Simulator pair: simulate_swro_system → simulate_ro. The task is judged by engineering lineage: a plausible final number without correct transfer of Stage-1 outputs into Stage 2 is not sufficient.</x:v>
      </x:c>
      <x:c r="C28" s="147" t="str">
        <x:v>Simulator pair: simulate_swro_system → simulate_ro. The task is judged by engineering lineage: a plausible final number without correct transfer of Stage-1 outputs into Stage 2 is not sufficient.</x:v>
      </x:c>
      <x:c r="D28" s="147" t="str">
        <x:v>Simulator pair: simulate_swro_system → simulate_ro. The task is judged by engineering lineage: a plausible final number without correct transfer of Stage-1 outputs into Stage 2 is not sufficient.</x:v>
      </x:c>
      <x:c r="E28" s="147" t="str">
        <x:v>Simulator pair: simulate_swro_system → simulate_ro. The task is judged by engineering lineage: a plausible final number without correct transfer of Stage-1 outputs into Stage 2 is not sufficient.</x:v>
      </x:c>
      <x:c r="F28" s="147" t="str">
        <x:v>Simulator pair: simulate_swro_system → simulate_ro. The task is judged by engineering lineage: a plausible final number without correct transfer of Stage-1 outputs into Stage 2 is not sufficient.</x:v>
      </x:c>
      <x:c r="G28" s="147" t="str">
        <x:v>Simulator pair: simulate_swro_system → simulate_ro. The task is judged by engineering lineage: a plausible final number without correct transfer of Stage-1 outputs into Stage 2 is not sufficient.</x:v>
      </x:c>
      <x:c r="H28" s="147" t="str">
        <x:v>Simulator pair: simulate_swro_system → simulate_ro. The task is judged by engineering lineage: a plausible final number without correct transfer of Stage-1 outputs into Stage 2 is not sufficient.</x:v>
      </x:c>
      <x:c r="I28" s="147" t="str">
        <x:v>Simulator pair: simulate_swro_system → simulate_ro. The task is judged by engineering lineage: a plausible final number without correct transfer of Stage-1 outputs into Stage 2 is not sufficient.</x:v>
      </x:c>
      <x:c r="J28" s="147" t="str">
        <x:v>Simulator pair: simulate_swro_system → simulate_ro. The task is judged by engineering lineage: a plausible final number without correct transfer of Stage-1 outputs into Stage 2 is not sufficient.</x:v>
      </x:c>
      <x:c r="K28" s="147" t="str">
        <x:v>Simulator pair: simulate_swro_system → simulate_ro. The task is judged by engineering lineage: a plausible final number without correct transfer of Stage-1 outputs into Stage 2 is not sufficient.</x:v>
      </x:c>
      <x:c r="L28" s="147" t="str">
        <x:v>Simulator pair: simulate_swro_system → simulate_ro. The task is judged by engineering lineage: a plausible final number without correct transfer of Stage-1 outputs into Stage 2 is not sufficient.</x:v>
      </x:c>
      <x:c r="M28" s="147" t="str">
        <x:v>Simulator pair: simulate_swro_system → simulate_ro. The task is judged by engineering lineage: a plausible final number without correct transfer of Stage-1 outputs into Stage 2 is not sufficient.</x:v>
      </x:c>
      <x:c r="N28" s="148" t="str">
        <x:v>Simulator pair: simulate_swro_system → simulate_ro. The task is judged by engineering lineage: a plausible final number without correct transfer of Stage-1 outputs into Stage 2 is not sufficient.</x:v>
      </x:c>
    </x:row>
    <x:row r="29">
      <x:c r="A29" s="149" t="str">
        <x:v>Simulator pair: simulate_swro_system → simulate_ro. The task is judged by engineering lineage: a plausible final number without correct transfer of Stage-1 outputs into Stage 2 is not sufficient.</x:v>
      </x:c>
      <x:c r="B29" s="150" t="str">
        <x:v>Simulator pair: simulate_swro_system → simulate_ro. The task is judged by engineering lineage: a plausible final number without correct transfer of Stage-1 outputs into Stage 2 is not sufficient.</x:v>
      </x:c>
      <x:c r="C29" s="150" t="str">
        <x:v>Simulator pair: simulate_swro_system → simulate_ro. The task is judged by engineering lineage: a plausible final number without correct transfer of Stage-1 outputs into Stage 2 is not sufficient.</x:v>
      </x:c>
      <x:c r="D29" s="150" t="str">
        <x:v>Simulator pair: simulate_swro_system → simulate_ro. The task is judged by engineering lineage: a plausible final number without correct transfer of Stage-1 outputs into Stage 2 is not sufficient.</x:v>
      </x:c>
      <x:c r="E29" s="150" t="str">
        <x:v>Simulator pair: simulate_swro_system → simulate_ro. The task is judged by engineering lineage: a plausible final number without correct transfer of Stage-1 outputs into Stage 2 is not sufficient.</x:v>
      </x:c>
      <x:c r="F29" s="150" t="str">
        <x:v>Simulator pair: simulate_swro_system → simulate_ro. The task is judged by engineering lineage: a plausible final number without correct transfer of Stage-1 outputs into Stage 2 is not sufficient.</x:v>
      </x:c>
      <x:c r="G29" s="150" t="str">
        <x:v>Simulator pair: simulate_swro_system → simulate_ro. The task is judged by engineering lineage: a plausible final number without correct transfer of Stage-1 outputs into Stage 2 is not sufficient.</x:v>
      </x:c>
      <x:c r="H29" s="150" t="str">
        <x:v>Simulator pair: simulate_swro_system → simulate_ro. The task is judged by engineering lineage: a plausible final number without correct transfer of Stage-1 outputs into Stage 2 is not sufficient.</x:v>
      </x:c>
      <x:c r="I29" s="150" t="str">
        <x:v>Simulator pair: simulate_swro_system → simulate_ro. The task is judged by engineering lineage: a plausible final number without correct transfer of Stage-1 outputs into Stage 2 is not sufficient.</x:v>
      </x:c>
      <x:c r="J29" s="150" t="str">
        <x:v>Simulator pair: simulate_swro_system → simulate_ro. The task is judged by engineering lineage: a plausible final number without correct transfer of Stage-1 outputs into Stage 2 is not sufficient.</x:v>
      </x:c>
      <x:c r="K29" s="150" t="str">
        <x:v>Simulator pair: simulate_swro_system → simulate_ro. The task is judged by engineering lineage: a plausible final number without correct transfer of Stage-1 outputs into Stage 2 is not sufficient.</x:v>
      </x:c>
      <x:c r="L29" s="150" t="str">
        <x:v>Simulator pair: simulate_swro_system → simulate_ro. The task is judged by engineering lineage: a plausible final number without correct transfer of Stage-1 outputs into Stage 2 is not sufficient.</x:v>
      </x:c>
      <x:c r="M29" s="150" t="str">
        <x:v>Simulator pair: simulate_swro_system → simulate_ro. The task is judged by engineering lineage: a plausible final number without correct transfer of Stage-1 outputs into Stage 2 is not sufficient.</x:v>
      </x:c>
      <x:c r="N29" s="151" t="str">
        <x:v>Simulator pair: simulate_swro_system → simulate_ro. The task is judged by engineering lineage: a plausible final number without correct transfer of Stage-1 outputs into Stage 2 is not sufficient.</x:v>
      </x:c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A1:N2"/>
    <x:mergeCell ref="A4:N7"/>
    <x:mergeCell ref="A9:F9"/>
    <x:mergeCell ref="H9:N9"/>
    <x:mergeCell ref="A10:F16"/>
    <x:mergeCell ref="H10:N16"/>
    <x:mergeCell ref="A18:F18"/>
    <x:mergeCell ref="A19:F23"/>
    <x:mergeCell ref="H18:N18"/>
    <x:mergeCell ref="I19:N19"/>
    <x:mergeCell ref="I20:N20"/>
    <x:mergeCell ref="I21:N21"/>
    <x:mergeCell ref="I22:N22"/>
    <x:mergeCell ref="I23:N23"/>
    <x:mergeCell ref="A25:N25"/>
    <x:mergeCell ref="A26:N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6" hidden="0" customWidth="1"/>
    <x:col min="8" max="8" width="14" hidden="0" customWidth="1"/>
    <x:col min="9" max="9" width="16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6" t="str">
        <x:v>Gold Answer | D6_6b-N07</x:v>
      </x:c>
      <x:c r="B1" s="6" t="str">
        <x:v>Gold Answer | D6_6b-N07</x:v>
      </x:c>
      <x:c r="C1" s="6" t="str">
        <x:v>Gold Answer | D6_6b-N07</x:v>
      </x:c>
      <x:c r="D1" s="6" t="str">
        <x:v>Gold Answer | D6_6b-N07</x:v>
      </x:c>
      <x:c r="E1" s="6" t="str">
        <x:v>Gold Answer | D6_6b-N07</x:v>
      </x:c>
      <x:c r="F1" s="6" t="str">
        <x:v>Gold Answer | D6_6b-N07</x:v>
      </x:c>
      <x:c r="G1" s="6" t="str">
        <x:v>Gold Answer | D6_6b-N07</x:v>
      </x:c>
      <x:c r="H1" s="6" t="str">
        <x:v>Gold Answer | D6_6b-N07</x:v>
      </x:c>
      <x:c r="I1" s="6" t="str">
        <x:v>Gold Answer | D6_6b-N07</x:v>
      </x:c>
      <x:c r="J1" s="6" t="str">
        <x:v>Gold Answer | D6_6b-N07</x:v>
      </x:c>
      <x:c r="K1" s="6" t="str">
        <x:v>Gold Answer | D6_6b-N07</x:v>
      </x:c>
      <x:c r="L1" s="6" t="str">
        <x:v>Gold Answer | D6_6b-N07</x:v>
      </x:c>
      <x:c r="M1" s="6" t="str">
        <x:v>Gold Answer | D6_6b-N07</x:v>
      </x:c>
      <x:c r="N1" s="6" t="str">
        <x:v>Gold Answer | D6_6b-N07</x:v>
      </x:c>
    </x:row>
    <x:row r="2" ht="28" customHeight="1">
      <x:c r="A2" s="6" t="str">
        <x:v>Gold Answer | D6_6b-N07</x:v>
      </x:c>
      <x:c r="B2" s="6" t="str">
        <x:v>Gold Answer | D6_6b-N07</x:v>
      </x:c>
      <x:c r="C2" s="6" t="str">
        <x:v>Gold Answer | D6_6b-N07</x:v>
      </x:c>
      <x:c r="D2" s="6" t="str">
        <x:v>Gold Answer | D6_6b-N07</x:v>
      </x:c>
      <x:c r="E2" s="6" t="str">
        <x:v>Gold Answer | D6_6b-N07</x:v>
      </x:c>
      <x:c r="F2" s="6" t="str">
        <x:v>Gold Answer | D6_6b-N07</x:v>
      </x:c>
      <x:c r="G2" s="6" t="str">
        <x:v>Gold Answer | D6_6b-N07</x:v>
      </x:c>
      <x:c r="H2" s="6" t="str">
        <x:v>Gold Answer | D6_6b-N07</x:v>
      </x:c>
      <x:c r="I2" s="6" t="str">
        <x:v>Gold Answer | D6_6b-N07</x:v>
      </x:c>
      <x:c r="J2" s="6" t="str">
        <x:v>Gold Answer | D6_6b-N07</x:v>
      </x:c>
      <x:c r="K2" s="6" t="str">
        <x:v>Gold Answer | D6_6b-N07</x:v>
      </x:c>
      <x:c r="L2" s="6" t="str">
        <x:v>Gold Answer | D6_6b-N07</x:v>
      </x:c>
      <x:c r="M2" s="6" t="str">
        <x:v>Gold Answer | D6_6b-N07</x:v>
      </x:c>
      <x:c r="N2" s="6" t="str">
        <x:v>Gold Answer | D6_6b-N07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70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B4" s="171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C4" s="171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D4" s="171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E4" s="171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F4" s="171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G4" s="171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H4" s="171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I4" s="171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J4" s="171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K4" s="171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L4" s="171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M4" s="171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N4" s="172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</x:row>
    <x:row r="5">
      <x:c r="A5" s="173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B5" s="174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C5" s="174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D5" s="174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E5" s="174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F5" s="174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G5" s="174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H5" s="174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I5" s="174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J5" s="174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K5" s="174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L5" s="174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M5" s="174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N5" s="175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</x:row>
    <x:row r="6">
      <x:c r="A6" s="176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B6" s="177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C6" s="177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D6" s="177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E6" s="177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F6" s="177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G6" s="177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H6" s="177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I6" s="177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J6" s="177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K6" s="177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L6" s="177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M6" s="177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N6" s="178" t="str">
        <x:v>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37" t="str">
        <x:v>Stage 1 | simulate_swro_system results</x:v>
      </x:c>
      <x:c r="B8" s="37" t="str">
        <x:v>Stage 1 | simulate_swro_system results</x:v>
      </x:c>
      <x:c r="C8" s="37" t="str">
        <x:v>Stage 1 | simulate_swro_system results</x:v>
      </x:c>
      <x:c r="D8" s="37" t="str">
        <x:v>Stage 1 | simulate_swro_system results</x:v>
      </x:c>
      <x:c r="E8" s="37" t="str">
        <x:v>Stage 1 | simulate_swro_system results</x:v>
      </x:c>
      <x:c r="F8" s="37" t="str">
        <x:v>Stage 1 | simulate_swro_system results</x:v>
      </x:c>
      <x:c r="G8" s="37" t="str">
        <x:v>Stage 1 | simulate_swro_system results</x:v>
      </x:c>
      <x:c r="H8" s="37" t="str">
        <x:v>Stage 1 | simulate_swro_system results</x:v>
      </x:c>
      <x:c r="I8" s="37" t="str">
        <x:v>Stage 1 | simulate_swro_system results</x:v>
      </x:c>
      <x:c r="J8" s="37" t="str">
        <x:v>Stage 1 | simulate_swro_system results</x:v>
      </x:c>
      <x:c r="K8" s="1"/>
      <x:c r="L8" s="1"/>
      <x:c r="M8" s="1"/>
      <x:c r="N8" s="1"/>
    </x:row>
    <x:row r="9">
      <x:c r="A9" s="183" t="str">
        <x:v>ID</x:v>
      </x:c>
      <x:c r="B9" s="183" t="str">
        <x:v>Configuration</x:v>
      </x:c>
      <x:c r="C9" s="183" t="str">
        <x:v>Product m³/s</x:v>
      </x:c>
      <x:c r="D9" s="183" t="str">
        <x:v>Recovery %</x:v>
      </x:c>
      <x:c r="E9" s="183" t="str">
        <x:v>SEC kWh/m³</x:v>
      </x:c>
      <x:c r="F9" s="183" t="str">
        <x:v>LCOW $/m³</x:v>
      </x:c>
      <x:c r="G9" s="183" t="str">
        <x:v>CAPEX $M</x:v>
      </x:c>
      <x:c r="H9" s="183" t="str">
        <x:v>Status</x:v>
      </x:c>
      <x:c r="I9" s="1"/>
      <x:c r="J9" s="1"/>
      <x:c r="K9" s="1" t="str">
        <x:v>Candidate</x:v>
      </x:c>
      <x:c r="L9" s="1" t="str">
        <x:v>LCOW $/m³</x:v>
      </x:c>
      <x:c r="M9" s="1"/>
      <x:c r="N9" s="1"/>
    </x:row>
    <x:row r="10">
      <x:c r="A10" s="187" t="str">
        <x:v>A</x:v>
      </x:c>
      <x:c r="B10" s="187" t="str">
        <x:v>A: PX / 64 bar / 7000 m²</x:v>
      </x:c>
      <x:c r="C10" s="188" t="n">
        <x:v>0.04277167365835095</x:v>
      </x:c>
      <x:c r="D10" s="188" t="n">
        <x:v>42.77167365835095</x:v>
      </x:c>
      <x:c r="E10" s="188" t="n">
        <x:v>2.699247994673168</x:v>
      </x:c>
      <x:c r="F10" s="188" t="n">
        <x:v>1.1303216132431986</x:v>
      </x:c>
      <x:c r="G10" s="188" t="n">
        <x:f>13001762.757788405/1000000</x:f>
        <x:v>13.001762757788406</x:v>
      </x:c>
      <x:c r="H10" s="187" t="str">
        <x:f>IF(AND(C10&gt;=0.043,E10&lt;=3),"PASS","FAIL")</x:f>
        <x:v>FAIL</x:v>
      </x:c>
      <x:c r="I10" s="1"/>
      <x:c r="J10" s="1"/>
      <x:c r="K10" s="1" t="str">
        <x:v>A</x:v>
      </x:c>
      <x:c r="L10" s="1" t="n">
        <x:v>1.1303216132431986</x:v>
      </x:c>
      <x:c r="M10" s="1"/>
      <x:c r="N10" s="1"/>
    </x:row>
    <x:row r="11">
      <x:c r="A11" s="187" t="str">
        <x:v>B</x:v>
      </x:c>
      <x:c r="B11" s="187" t="str">
        <x:v>B: PX / 62 bar / 7500 m²</x:v>
      </x:c>
      <x:c r="C11" s="188" t="n">
        <x:v>0.042663172163971225</x:v>
      </x:c>
      <x:c r="D11" s="188" t="n">
        <x:v>42.663172163971225</x:v>
      </x:c>
      <x:c r="E11" s="188" t="n">
        <x:v>2.710855911671764</x:v>
      </x:c>
      <x:c r="F11" s="188" t="n">
        <x:v>1.1378526229395876</x:v>
      </x:c>
      <x:c r="G11" s="188" t="n">
        <x:f>13031854.474792494/1000000</x:f>
        <x:v>13.031854474792494</x:v>
      </x:c>
      <x:c r="H11" s="187" t="str">
        <x:f>IF(AND(C11&gt;=0.043,E11&lt;=3),"PASS","FAIL")</x:f>
        <x:v>FAIL</x:v>
      </x:c>
      <x:c r="I11" s="1"/>
      <x:c r="J11" s="1"/>
      <x:c r="K11" s="1" t="str">
        <x:v>B</x:v>
      </x:c>
      <x:c r="L11" s="1" t="n">
        <x:v>1.1378526229395876</x:v>
      </x:c>
      <x:c r="M11" s="1"/>
      <x:c r="N11" s="1"/>
    </x:row>
    <x:row r="12">
      <x:c r="A12" s="187" t="str">
        <x:v>C</x:v>
      </x:c>
      <x:c r="B12" s="187" t="str">
        <x:v>C: PX / 68 bar / 6200 m²</x:v>
      </x:c>
      <x:c r="C12" s="188" t="n">
        <x:v>0.04302967367089353</x:v>
      </x:c>
      <x:c r="D12" s="188" t="n">
        <x:v>43.02967367089353</x:v>
      </x:c>
      <x:c r="E12" s="188" t="n">
        <x:v>2.8413305279690717</x:v>
      </x:c>
      <x:c r="F12" s="188" t="n">
        <x:v>1.132938081983185</x:v>
      </x:c>
      <x:c r="G12" s="188" t="n">
        <x:f>13053692.840434626/1000000</x:f>
        <x:v>13.053692840434627</x:v>
      </x:c>
      <x:c r="H12" s="187" t="str">
        <x:f>IF(AND(C12&gt;=0.043,E12&lt;=3),"PASS","FAIL")</x:f>
        <x:v>PASS</x:v>
      </x:c>
      <x:c r="I12" s="1"/>
      <x:c r="J12" s="1"/>
      <x:c r="K12" s="1" t="str">
        <x:v>C</x:v>
      </x:c>
      <x:c r="L12" s="1" t="n">
        <x:v>1.132938081983185</x:v>
      </x:c>
      <x:c r="M12" s="1"/>
      <x:c r="N12" s="1"/>
    </x:row>
    <x:row r="13">
      <x:c r="A13" s="187" t="str">
        <x:v>D</x:v>
      </x:c>
      <x:c r="B13" s="187" t="str">
        <x:v>D: PaT / 66 bar / 7000 m²</x:v>
      </x:c>
      <x:c r="C13" s="188" t="n">
        <x:v>0.044497847173721156</x:v>
      </x:c>
      <x:c r="D13" s="188" t="n">
        <x:v>44.497847173721155</x:v>
      </x:c>
      <x:c r="E13" s="188" t="n">
        <x:v>5.351502804715878</x:v>
      </x:c>
      <x:c r="F13" s="188" t="n">
        <x:v>1.3466041906847317</x:v>
      </x:c>
      <x:c r="G13" s="188" t="n">
        <x:f>14444103.106010787/1000000</x:f>
        <x:v>14.444103106010788</x:v>
      </x:c>
      <x:c r="H13" s="187" t="str">
        <x:f>IF(AND(C13&gt;=0.043,E13&lt;=3),"PASS","FAIL")</x:f>
        <x:v>FAIL</x:v>
      </x:c>
      <x:c r="I13" s="1"/>
      <x:c r="J13" s="1"/>
      <x:c r="K13" s="1" t="str">
        <x:v>D</x:v>
      </x:c>
      <x:c r="L13" s="1" t="n">
        <x:v>1.3466041906847317</x:v>
      </x:c>
      <x:c r="M13" s="1"/>
      <x:c r="N13" s="1"/>
    </x:row>
    <x:row r="14">
      <x:c r="A14" s="187" t="str">
        <x:v>E</x:v>
      </x:c>
      <x:c r="B14" s="187" t="str">
        <x:v>E: PX / 64 bar / 7500 m²</x:v>
      </x:c>
      <x:c r="C14" s="188" t="n">
        <x:v>0.04449123952655382</x:v>
      </x:c>
      <x:c r="D14" s="188" t="n">
        <x:v>44.49123952655382</x:v>
      </x:c>
      <x:c r="E14" s="188" t="n">
        <x:v>2.874370286601641</x:v>
      </x:c>
      <x:c r="F14" s="188" t="n">
        <x:v>1.1213670210553217</x:v>
      </x:c>
      <x:c r="G14" s="188" t="n">
        <x:f>13244576.684807716/1000000</x:f>
        <x:v>13.244576684807717</x:v>
      </x:c>
      <x:c r="H14" s="187" t="str">
        <x:f>IF(AND(C14&gt;=0.043,E14&lt;=3),"PASS","FAIL")</x:f>
        <x:v>PASS</x:v>
      </x:c>
      <x:c r="I14" s="1"/>
      <x:c r="J14" s="1"/>
      <x:c r="K14" s="1" t="str">
        <x:v>E</x:v>
      </x:c>
      <x:c r="L14" s="1" t="n">
        <x:v>1.1213670210553217</x:v>
      </x:c>
      <x:c r="M14" s="1"/>
      <x:c r="N14" s="1"/>
    </x:row>
    <x:row r="15">
      <x:c r="A15" s="187" t="str">
        <x:v>F</x:v>
      </x:c>
      <x:c r="B15" s="187" t="str">
        <x:v>F: PX / 60 bar / 8500 m²</x:v>
      </x:c>
      <x:c r="C15" s="188" t="n">
        <x:v>0.04376459112064736</x:v>
      </x:c>
      <x:c r="D15" s="188" t="n">
        <x:v>43.76459112064735</x:v>
      </x:c>
      <x:c r="E15" s="188" t="n">
        <x:v>2.5505050848346795</x:v>
      </x:c>
      <x:c r="F15" s="188" t="n">
        <x:v>1.1100712495675866</x:v>
      </x:c>
      <x:c r="G15" s="188" t="n">
        <x:f>13063561.453628285/1000000</x:f>
        <x:v>13.063561453628285</x:v>
      </x:c>
      <x:c r="H15" s="187" t="str">
        <x:f>IF(AND(C15&gt;=0.043,E15&lt;=3),"PASS","FAIL")</x:f>
        <x:v>PASS</x:v>
      </x:c>
      <x:c r="I15" s="1"/>
      <x:c r="J15" s="1"/>
      <x:c r="K15" s="1" t="str">
        <x:v>F</x:v>
      </x:c>
      <x:c r="L15" s="1" t="n">
        <x:v>1.1100712495675866</x:v>
      </x:c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37" t="str">
        <x:v>Stage 2 | simulate_ro results</x:v>
      </x:c>
      <x:c r="B17" s="37" t="str">
        <x:v>Stage 2 | simulate_ro results</x:v>
      </x:c>
      <x:c r="C17" s="37" t="str">
        <x:v>Stage 2 | simulate_ro results</x:v>
      </x:c>
      <x:c r="D17" s="37" t="str">
        <x:v>Stage 2 | simulate_ro results</x:v>
      </x:c>
      <x:c r="E17" s="37" t="str">
        <x:v>Stage 2 | simulate_ro results</x:v>
      </x:c>
      <x:c r="F17" s="37" t="str">
        <x:v>Stage 2 | simulate_ro results</x:v>
      </x:c>
      <x:c r="G17" s="37" t="str">
        <x:v>Stage 2 | simulate_ro results</x:v>
      </x:c>
      <x:c r="H17" s="37" t="str">
        <x:v>Stage 2 | simulate_ro results</x:v>
      </x:c>
      <x:c r="I17" s="37" t="str">
        <x:v>Stage 2 | simulate_ro results</x:v>
      </x:c>
      <x:c r="J17" s="37" t="str">
        <x:v>Stage 2 | simulate_ro results</x:v>
      </x:c>
      <x:c r="K17" s="1"/>
      <x:c r="L17" s="1"/>
      <x:c r="M17" s="1"/>
      <x:c r="N17" s="1"/>
    </x:row>
    <x:row r="18">
      <x:c r="A18" s="183" t="str">
        <x:v>ID</x:v>
      </x:c>
      <x:c r="B18" s="183" t="str">
        <x:v>Parent</x:v>
      </x:c>
      <x:c r="C18" s="183" t="str">
        <x:v>State</x:v>
      </x:c>
      <x:c r="D18" s="183" t="str">
        <x:v>Water kg/s</x:v>
      </x:c>
      <x:c r="E18" s="183" t="str">
        <x:v>NaCl mg/L</x:v>
      </x:c>
      <x:c r="F18" s="183" t="str">
        <x:v>Recovery %</x:v>
      </x:c>
      <x:c r="G18" s="183" t="str">
        <x:v>CP</x:v>
      </x:c>
      <x:c r="H18" s="183" t="str">
        <x:v>Status</x:v>
      </x:c>
      <x:c r="I18" s="1"/>
      <x:c r="J18" s="1"/>
      <x:c r="K18" s="1"/>
      <x:c r="L18" s="1"/>
      <x:c r="M18" s="1"/>
      <x:c r="N18" s="1"/>
    </x:row>
    <x:row r="19">
      <x:c r="A19" s="187" t="str">
        <x:v>C_B</x:v>
      </x:c>
      <x:c r="B19" s="187" t="str">
        <x:v>C</x:v>
      </x:c>
      <x:c r="C19" s="187" t="str">
        <x:v>B</x:v>
      </x:c>
      <x:c r="D19" s="188" t="n">
        <x:v>0.4005654076167908</x:v>
      </x:c>
      <x:c r="E19" s="188" t="n">
        <x:v>328.645777062662</x:v>
      </x:c>
      <x:c r="F19" s="188" t="n">
        <x:v>41.21632474154744</x:v>
      </x:c>
      <x:c r="G19" s="188" t="n">
        <x:v>1.3235980778667882</x:v>
      </x:c>
      <x:c r="H19" s="187" t="str">
        <x:f>IF(AND(D19&gt;=0.36,E19&lt;=380,G19&lt;=1.35),"PASS","FAIL")</x:f>
        <x:v>PASS</x:v>
      </x:c>
      <x:c r="I19" s="1"/>
      <x:c r="J19" s="1"/>
      <x:c r="K19" s="1"/>
      <x:c r="L19" s="1"/>
      <x:c r="M19" s="1"/>
      <x:c r="N19" s="1"/>
    </x:row>
    <x:row r="20">
      <x:c r="A20" s="187" t="str">
        <x:v>C_S</x:v>
      </x:c>
      <x:c r="B20" s="187" t="str">
        <x:v>C</x:v>
      </x:c>
      <x:c r="C20" s="187" t="str">
        <x:v>S</x:v>
      </x:c>
      <x:c r="D20" s="188" t="n">
        <x:v>0.37868776212882543</x:v>
      </x:c>
      <x:c r="E20" s="188" t="n">
        <x:v>364.5547090152741</x:v>
      </x:c>
      <x:c r="F20" s="188" t="n">
        <x:v>39.051878771375684</x:v>
      </x:c>
      <x:c r="G20" s="188" t="n">
        <x:v>1.3037785079959752</x:v>
      </x:c>
      <x:c r="H20" s="187" t="str">
        <x:f>IF(AND(D20&gt;=0.36,E20&lt;=380,G20&lt;=1.35),"PASS","FAIL")</x:f>
        <x:v>PASS</x:v>
      </x:c>
      <x:c r="I20" s="1"/>
      <x:c r="J20" s="1"/>
      <x:c r="K20" s="1"/>
      <x:c r="L20" s="1"/>
      <x:c r="M20" s="1"/>
      <x:c r="N20" s="1"/>
    </x:row>
    <x:row r="21">
      <x:c r="A21" s="187" t="str">
        <x:v>E_B</x:v>
      </x:c>
      <x:c r="B21" s="187" t="str">
        <x:v>E</x:v>
      </x:c>
      <x:c r="C21" s="187" t="str">
        <x:v>B</x:v>
      </x:c>
      <x:c r="D21" s="188" t="n">
        <x:v>0.40155390544689945</x:v>
      </x:c>
      <x:c r="E21" s="188" t="n">
        <x:v>386.2089719573004</x:v>
      </x:c>
      <x:c r="F21" s="188" t="n">
        <x:v>41.318609227485545</x:v>
      </x:c>
      <x:c r="G21" s="188" t="n">
        <x:v>1.299518186508069</x:v>
      </x:c>
      <x:c r="H21" s="187" t="str">
        <x:f>IF(AND(D21&gt;=0.36,E21&lt;=380,G21&lt;=1.35),"PASS","FAIL")</x:f>
        <x:v>FAIL</x:v>
      </x:c>
      <x:c r="I21" s="1"/>
      <x:c r="J21" s="1"/>
      <x:c r="K21" s="1"/>
      <x:c r="L21" s="1"/>
      <x:c r="M21" s="1"/>
      <x:c r="N21" s="1"/>
    </x:row>
    <x:row r="22">
      <x:c r="A22" s="187" t="str">
        <x:v>E_S</x:v>
      </x:c>
      <x:c r="B22" s="187" t="str">
        <x:v>E</x:v>
      </x:c>
      <x:c r="C22" s="187" t="str">
        <x:v>S</x:v>
      </x:c>
      <x:c r="D22" s="188" t="n">
        <x:v>0.37785196546827143</x:v>
      </x:c>
      <x:c r="E22" s="188" t="n">
        <x:v>429.91030569126093</x:v>
      </x:c>
      <x:c r="F22" s="188" t="n">
        <x:v>38.96630119831486</x:v>
      </x:c>
      <x:c r="G22" s="188" t="n">
        <x:v>1.2794582539318615</x:v>
      </x:c>
      <x:c r="H22" s="187" t="str">
        <x:f>IF(AND(D22&gt;=0.36,E22&lt;=380,G22&lt;=1.35),"PASS","FAIL")</x:f>
        <x:v>FAIL</x:v>
      </x:c>
      <x:c r="I22" s="1"/>
      <x:c r="J22" s="1"/>
      <x:c r="K22" s="1"/>
      <x:c r="L22" s="1"/>
      <x:c r="M22" s="1"/>
      <x:c r="N22" s="1"/>
    </x:row>
    <x:row r="23">
      <x:c r="A23" s="187" t="str">
        <x:v>F_B</x:v>
      </x:c>
      <x:c r="B23" s="187" t="str">
        <x:v>F</x:v>
      </x:c>
      <x:c r="C23" s="187" t="str">
        <x:v>B</x:v>
      </x:c>
      <x:c r="D23" s="188" t="n">
        <x:v>0.38466450074938907</x:v>
      </x:c>
      <x:c r="E23" s="188" t="n">
        <x:v>438.80861740703415</x:v>
      </x:c>
      <x:c r="F23" s="188" t="n">
        <x:v>39.5812450829281</x:v>
      </x:c>
      <x:c r="G23" s="188" t="n">
        <x:v>1.2677680397996214</x:v>
      </x:c>
      <x:c r="H23" s="187" t="str">
        <x:f>IF(AND(D23&gt;=0.36,E23&lt;=380,G23&lt;=1.35),"PASS","FAIL")</x:f>
        <x:v>FAIL</x:v>
      </x:c>
      <x:c r="I23" s="1"/>
      <x:c r="J23" s="1"/>
      <x:c r="K23" s="1"/>
      <x:c r="L23" s="1"/>
      <x:c r="M23" s="1"/>
      <x:c r="N23" s="1"/>
    </x:row>
    <x:row r="24">
      <x:c r="A24" s="187" t="str">
        <x:v>F_S</x:v>
      </x:c>
      <x:c r="B24" s="187" t="str">
        <x:v>F</x:v>
      </x:c>
      <x:c r="C24" s="187" t="str">
        <x:v>S</x:v>
      </x:c>
      <x:c r="D24" s="188" t="n">
        <x:v>0.35963386064439856</x:v>
      </x:c>
      <x:c r="E24" s="188" t="n">
        <x:v>491.4696668310601</x:v>
      </x:c>
      <x:c r="F24" s="188" t="n">
        <x:v>37.088093904488865</x:v>
      </x:c>
      <x:c r="G24" s="188" t="n">
        <x:v>1.2480106837959135</x:v>
      </x:c>
      <x:c r="H24" s="187" t="str">
        <x:f>IF(AND(D24&gt;=0.36,E24&lt;=380,G24&lt;=1.35),"PASS","FAIL")</x:f>
        <x:v>FAIL</x:v>
      </x:c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37" t="str">
        <x:v>Engineering conversion / final KPI</x:v>
      </x:c>
      <x:c r="B26" s="37" t="str">
        <x:v>Engineering conversion / final KPI</x:v>
      </x:c>
      <x:c r="C26" s="37" t="str">
        <x:v>Engineering conversion / final KPI</x:v>
      </x:c>
      <x:c r="D26" s="37" t="str">
        <x:v>Engineering conversion / final KPI</x:v>
      </x:c>
      <x:c r="E26" s="37" t="str">
        <x:v>Engineering conversion / final KPI</x:v>
      </x:c>
      <x:c r="F26" s="37" t="str">
        <x:v>Engineering conversion / final KPI</x:v>
      </x:c>
      <x:c r="G26" s="1"/>
      <x:c r="H26" s="37" t="str">
        <x:v>Boundary evidence</x:v>
      </x:c>
      <x:c r="I26" s="37" t="str">
        <x:v>Boundary evidence</x:v>
      </x:c>
      <x:c r="J26" s="37" t="str">
        <x:v>Boundary evidence</x:v>
      </x:c>
      <x:c r="K26" s="37" t="str">
        <x:v>Boundary evidence</x:v>
      </x:c>
      <x:c r="L26" s="37" t="str">
        <x:v>Boundary evidence</x:v>
      </x:c>
      <x:c r="M26" s="37" t="str">
        <x:v>Boundary evidence</x:v>
      </x:c>
      <x:c r="N26" s="37" t="str">
        <x:v>Boundary evidence</x:v>
      </x:c>
    </x:row>
    <x:row r="27">
      <x:c r="A27" s="189" t="str">
        <x:v>Recommended ID</x:v>
      </x:c>
      <x:c r="B27" s="190" t="str">
        <x:v>C</x:v>
      </x:c>
      <x:c r="C27" s="189" t="str"/>
      <x:c r="D27" s="1"/>
      <x:c r="E27" s="1"/>
      <x:c r="F27" s="1"/>
      <x:c r="G27" s="1"/>
      <x:c r="H27" s="84" t="str">
        <x:v>Final recommendation: 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I27" s="85" t="str">
        <x:v>Final recommendation: 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J27" s="85" t="str">
        <x:v>Final recommendation: 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K27" s="85" t="str">
        <x:v>Final recommendation: 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L27" s="85" t="str">
        <x:v>Final recommendation: 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M27" s="85" t="str">
        <x:v>Final recommendation: 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N27" s="86" t="str">
        <x:v>Final recommendation: 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</x:row>
    <x:row r="28">
      <x:c r="A28" s="189" t="str">
        <x:v>Plant product m³/d</x:v>
      </x:c>
      <x:c r="B28" s="190" t="n">
        <x:f>0.04302967367089353*86400</x:f>
        <x:v>3717.763805165201</x:v>
      </x:c>
      <x:c r="C28" s="189" t="str"/>
      <x:c r="D28" s="1"/>
      <x:c r="E28" s="1"/>
      <x:c r="F28" s="1"/>
      <x:c r="G28" s="1"/>
      <x:c r="H28" s="87" t="str">
        <x:v>Final recommendation: 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I28" s="88" t="str">
        <x:v>Final recommendation: 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J28" s="88" t="str">
        <x:v>Final recommendation: 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K28" s="88" t="str">
        <x:v>Final recommendation: 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L28" s="88" t="str">
        <x:v>Final recommendation: 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M28" s="88" t="str">
        <x:v>Final recommendation: 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N28" s="89" t="str">
        <x:v>Final recommendation: 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</x:row>
    <x:row r="29">
      <x:c r="A29" s="189" t="str">
        <x:v>Plant LCOW $/m³</x:v>
      </x:c>
      <x:c r="B29" s="190" t="n">
        <x:v>1.132938081983185</x:v>
      </x:c>
      <x:c r="C29" s="189" t="str"/>
      <x:c r="D29" s="1"/>
      <x:c r="E29" s="1"/>
      <x:c r="F29" s="1"/>
      <x:c r="G29" s="1"/>
      <x:c r="H29" s="90" t="str">
        <x:v>Final recommendation: 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I29" s="91" t="str">
        <x:v>Final recommendation: 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J29" s="91" t="str">
        <x:v>Final recommendation: 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K29" s="91" t="str">
        <x:v>Final recommendation: 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L29" s="91" t="str">
        <x:v>Final recommendation: 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M29" s="91" t="str">
        <x:v>Final recommendation: 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  <x:c r="N29" s="92" t="str">
        <x:v>Final recommendation: Recommend C: PX 95%, 68 bar and 6,200 m² plant area. Plant product is 0.043030 m³/s, SEC 2.8413 kWh/m³ and LCOW $1.13294/m³. Base/stress membrane water is 0.40057/0.37869 kg/s and NaCl is 328.65/364.55 mg/L. F has the lowest LCOW but fails with membrane NaCl 438.81/491.47 mg/L.</x:v>
      </x:c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37" t="str">
        <x:v>Model scope and audit note</x:v>
      </x:c>
      <x:c r="B31" s="37" t="str">
        <x:v>Model scope and audit note</x:v>
      </x:c>
      <x:c r="C31" s="37" t="str">
        <x:v>Model scope and audit note</x:v>
      </x:c>
      <x:c r="D31" s="37" t="str">
        <x:v>Model scope and audit note</x:v>
      </x:c>
      <x:c r="E31" s="37" t="str">
        <x:v>Model scope and audit note</x:v>
      </x:c>
      <x:c r="F31" s="37" t="str">
        <x:v>Model scope and audit note</x:v>
      </x:c>
      <x:c r="G31" s="37" t="str">
        <x:v>Model scope and audit note</x:v>
      </x:c>
      <x:c r="H31" s="37" t="str">
        <x:v>Model scope and audit note</x:v>
      </x:c>
      <x:c r="I31" s="37" t="str">
        <x:v>Model scope and audit note</x:v>
      </x:c>
      <x:c r="J31" s="37" t="str">
        <x:v>Model scope and audit note</x:v>
      </x:c>
      <x:c r="K31" s="37" t="str">
        <x:v>Model scope and audit note</x:v>
      </x:c>
      <x:c r="L31" s="37" t="str">
        <x:v>Model scope and audit note</x:v>
      </x:c>
      <x:c r="M31" s="37" t="str">
        <x:v>Model scope and audit note</x:v>
      </x:c>
      <x:c r="N31" s="37" t="str">
        <x:v>Model scope and audit note</x:v>
      </x:c>
    </x:row>
    <x:row r="32">
      <x:c r="A32" s="143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B32" s="144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C32" s="144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D32" s="144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E32" s="144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F32" s="144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G32" s="144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H32" s="144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I32" s="144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J32" s="144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K32" s="144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L32" s="144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M32" s="144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N32" s="145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</x:row>
    <x:row r="33">
      <x:c r="A33" s="146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B33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C33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D33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E33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F33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G33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H33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I33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J33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K33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L33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M33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N33" s="148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</x:row>
    <x:row r="34">
      <x:c r="A34" s="146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B34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C34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D34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E34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F34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G34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H34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I34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J34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K34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L34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M34" s="147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N34" s="148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</x:row>
    <x:row r="35">
      <x:c r="A35" s="149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B35" s="150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C35" s="150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D35" s="150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E35" s="150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F35" s="150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G35" s="150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H35" s="150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I35" s="150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J35" s="150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K35" s="150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L35" s="150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M35" s="150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  <x:c r="N35" s="151" t="str">
        <x:v>All numeric rows are direct outputs from the connected ROprocess simulators. Stage-2 recovery or configuration is inherited from Stage 1. Chemistry uses Pitzer activity corrections; simulate_ro represents dissolved salts as NaCl equivalent, while simulate_swro_system reports whole-plant energy and cost. Do not force osmotic pressures from different tools to match.</x:v>
      </x:c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A1:N2"/>
    <x:mergeCell ref="A4:N6"/>
    <x:mergeCell ref="A8:J8"/>
    <x:mergeCell ref="A17:J17"/>
    <x:mergeCell ref="A26:F26"/>
    <x:mergeCell ref="H26:N26"/>
    <x:mergeCell ref="H27:N29"/>
    <x:mergeCell ref="A31:N31"/>
    <x:mergeCell ref="A32:N35"/>
  </x:mergeCells>
  <x:pageMargins left="0.7" right="0.7" top="0.75" bottom="0.75" header="0.3" footer="0.3"/>
  <x:drawing xmlns:r="http://schemas.openxmlformats.org/officeDocument/2006/relationships" r:id="Ra348547522d043da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6" hidden="0" customWidth="1"/>
    <x:col min="8" max="8" width="14" hidden="0" customWidth="1"/>
    <x:col min="9" max="9" width="16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6" t="str">
        <x:v>D6_6b-N07 | Trajectory rubric (100 points)</x:v>
      </x:c>
      <x:c r="B1" s="6" t="str">
        <x:v>D6_6b-N07 | Trajectory rubric (100 points)</x:v>
      </x:c>
      <x:c r="C1" s="6" t="str">
        <x:v>D6_6b-N07 | Trajectory rubric (100 points)</x:v>
      </x:c>
      <x:c r="D1" s="6" t="str">
        <x:v>D6_6b-N07 | Trajectory rubric (100 points)</x:v>
      </x:c>
      <x:c r="E1" s="6" t="str">
        <x:v>D6_6b-N07 | Trajectory rubric (100 points)</x:v>
      </x:c>
      <x:c r="F1" s="6" t="str">
        <x:v>D6_6b-N07 | Trajectory rubric (100 points)</x:v>
      </x:c>
      <x:c r="G1" s="6" t="str">
        <x:v>D6_6b-N07 | Trajectory rubric (100 points)</x:v>
      </x:c>
      <x:c r="H1" s="6" t="str">
        <x:v>D6_6b-N07 | Trajectory rubric (100 points)</x:v>
      </x:c>
      <x:c r="I1" s="6" t="str">
        <x:v>D6_6b-N07 | Trajectory rubric (100 points)</x:v>
      </x:c>
      <x:c r="J1" s="6" t="str">
        <x:v>D6_6b-N07 | Trajectory rubric (100 points)</x:v>
      </x:c>
      <x:c r="K1" s="6" t="str">
        <x:v>D6_6b-N07 | Trajectory rubric (100 points)</x:v>
      </x:c>
      <x:c r="L1" s="6" t="str">
        <x:v>D6_6b-N07 | Trajectory rubric (100 points)</x:v>
      </x:c>
      <x:c r="M1" s="6" t="str">
        <x:v>D6_6b-N07 | Trajectory rubric (100 points)</x:v>
      </x:c>
      <x:c r="N1" s="6" t="str">
        <x:v>D6_6b-N07 | Trajectory rubric (100 points)</x:v>
      </x:c>
    </x:row>
    <x:row r="2" ht="28" customHeight="1">
      <x:c r="A2" s="6" t="str">
        <x:v>D6_6b-N07 | Trajectory rubric (100 points)</x:v>
      </x:c>
      <x:c r="B2" s="6" t="str">
        <x:v>D6_6b-N07 | Trajectory rubric (100 points)</x:v>
      </x:c>
      <x:c r="C2" s="6" t="str">
        <x:v>D6_6b-N07 | Trajectory rubric (100 points)</x:v>
      </x:c>
      <x:c r="D2" s="6" t="str">
        <x:v>D6_6b-N07 | Trajectory rubric (100 points)</x:v>
      </x:c>
      <x:c r="E2" s="6" t="str">
        <x:v>D6_6b-N07 | Trajectory rubric (100 points)</x:v>
      </x:c>
      <x:c r="F2" s="6" t="str">
        <x:v>D6_6b-N07 | Trajectory rubric (100 points)</x:v>
      </x:c>
      <x:c r="G2" s="6" t="str">
        <x:v>D6_6b-N07 | Trajectory rubric (100 points)</x:v>
      </x:c>
      <x:c r="H2" s="6" t="str">
        <x:v>D6_6b-N07 | Trajectory rubric (100 points)</x:v>
      </x:c>
      <x:c r="I2" s="6" t="str">
        <x:v>D6_6b-N07 | Trajectory rubric (100 points)</x:v>
      </x:c>
      <x:c r="J2" s="6" t="str">
        <x:v>D6_6b-N07 | Trajectory rubric (100 points)</x:v>
      </x:c>
      <x:c r="K2" s="6" t="str">
        <x:v>D6_6b-N07 | Trajectory rubric (100 points)</x:v>
      </x:c>
      <x:c r="L2" s="6" t="str">
        <x:v>D6_6b-N07 | Trajectory rubric (100 points)</x:v>
      </x:c>
      <x:c r="M2" s="6" t="str">
        <x:v>D6_6b-N07 | Trajectory rubric (100 points)</x:v>
      </x:c>
      <x:c r="N2" s="6" t="str">
        <x:v>D6_6b-N07 | Trajectory rubric (100 points)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47" t="str">
        <x:v>Score the complete state-plan-tool-call-observation-update-branch-verification-stop trajectory. Correct serial transfer is central; a guessed final setting is not sufficient.</x:v>
      </x:c>
      <x:c r="B4" s="147" t="str">
        <x:v>Score the complete state-plan-tool-call-observation-update-branch-verification-stop trajectory. Correct serial transfer is central; a guessed final setting is not sufficient.</x:v>
      </x:c>
      <x:c r="C4" s="147" t="str">
        <x:v>Score the complete state-plan-tool-call-observation-update-branch-verification-stop trajectory. Correct serial transfer is central; a guessed final setting is not sufficient.</x:v>
      </x:c>
      <x:c r="D4" s="147" t="str">
        <x:v>Score the complete state-plan-tool-call-observation-update-branch-verification-stop trajectory. Correct serial transfer is central; a guessed final setting is not sufficient.</x:v>
      </x:c>
      <x:c r="E4" s="147" t="str">
        <x:v>Score the complete state-plan-tool-call-observation-update-branch-verification-stop trajectory. Correct serial transfer is central; a guessed final setting is not sufficient.</x:v>
      </x:c>
      <x:c r="F4" s="147" t="str">
        <x:v>Score the complete state-plan-tool-call-observation-update-branch-verification-stop trajectory. Correct serial transfer is central; a guessed final setting is not sufficient.</x:v>
      </x:c>
      <x:c r="G4" s="147" t="str">
        <x:v>Score the complete state-plan-tool-call-observation-update-branch-verification-stop trajectory. Correct serial transfer is central; a guessed final setting is not sufficient.</x:v>
      </x:c>
      <x:c r="H4" s="147" t="str">
        <x:v>Score the complete state-plan-tool-call-observation-update-branch-verification-stop trajectory. Correct serial transfer is central; a guessed final setting is not sufficient.</x:v>
      </x:c>
      <x:c r="I4" s="147" t="str">
        <x:v>Score the complete state-plan-tool-call-observation-update-branch-verification-stop trajectory. Correct serial transfer is central; a guessed final setting is not sufficient.</x:v>
      </x:c>
      <x:c r="J4" s="147" t="str">
        <x:v>Score the complete state-plan-tool-call-observation-update-branch-verification-stop trajectory. Correct serial transfer is central; a guessed final setting is not sufficient.</x:v>
      </x:c>
      <x:c r="K4" s="147" t="str">
        <x:v>Score the complete state-plan-tool-call-observation-update-branch-verification-stop trajectory. Correct serial transfer is central; a guessed final setting is not sufficient.</x:v>
      </x:c>
      <x:c r="L4" s="147" t="str">
        <x:v>Score the complete state-plan-tool-call-observation-update-branch-verification-stop trajectory. Correct serial transfer is central; a guessed final setting is not sufficient.</x:v>
      </x:c>
      <x:c r="M4" s="147" t="str">
        <x:v>Score the complete state-plan-tool-call-observation-update-branch-verification-stop trajectory. Correct serial transfer is central; a guessed final setting is not sufficient.</x:v>
      </x:c>
      <x:c r="N4" s="147" t="str">
        <x:v>Score the complete state-plan-tool-call-observation-update-branch-verification-stop trajectory. Correct serial transfer is central; a guessed final setting is not sufficient.</x:v>
      </x:c>
    </x:row>
    <x:row r="5">
      <x:c r="A5" s="147" t="str">
        <x:v>Score the complete state-plan-tool-call-observation-update-branch-verification-stop trajectory. Correct serial transfer is central; a guessed final setting is not sufficient.</x:v>
      </x:c>
      <x:c r="B5" s="147" t="str">
        <x:v>Score the complete state-plan-tool-call-observation-update-branch-verification-stop trajectory. Correct serial transfer is central; a guessed final setting is not sufficient.</x:v>
      </x:c>
      <x:c r="C5" s="147" t="str">
        <x:v>Score the complete state-plan-tool-call-observation-update-branch-verification-stop trajectory. Correct serial transfer is central; a guessed final setting is not sufficient.</x:v>
      </x:c>
      <x:c r="D5" s="147" t="str">
        <x:v>Score the complete state-plan-tool-call-observation-update-branch-verification-stop trajectory. Correct serial transfer is central; a guessed final setting is not sufficient.</x:v>
      </x:c>
      <x:c r="E5" s="147" t="str">
        <x:v>Score the complete state-plan-tool-call-observation-update-branch-verification-stop trajectory. Correct serial transfer is central; a guessed final setting is not sufficient.</x:v>
      </x:c>
      <x:c r="F5" s="147" t="str">
        <x:v>Score the complete state-plan-tool-call-observation-update-branch-verification-stop trajectory. Correct serial transfer is central; a guessed final setting is not sufficient.</x:v>
      </x:c>
      <x:c r="G5" s="147" t="str">
        <x:v>Score the complete state-plan-tool-call-observation-update-branch-verification-stop trajectory. Correct serial transfer is central; a guessed final setting is not sufficient.</x:v>
      </x:c>
      <x:c r="H5" s="147" t="str">
        <x:v>Score the complete state-plan-tool-call-observation-update-branch-verification-stop trajectory. Correct serial transfer is central; a guessed final setting is not sufficient.</x:v>
      </x:c>
      <x:c r="I5" s="147" t="str">
        <x:v>Score the complete state-plan-tool-call-observation-update-branch-verification-stop trajectory. Correct serial transfer is central; a guessed final setting is not sufficient.</x:v>
      </x:c>
      <x:c r="J5" s="147" t="str">
        <x:v>Score the complete state-plan-tool-call-observation-update-branch-verification-stop trajectory. Correct serial transfer is central; a guessed final setting is not sufficient.</x:v>
      </x:c>
      <x:c r="K5" s="147" t="str">
        <x:v>Score the complete state-plan-tool-call-observation-update-branch-verification-stop trajectory. Correct serial transfer is central; a guessed final setting is not sufficient.</x:v>
      </x:c>
      <x:c r="L5" s="147" t="str">
        <x:v>Score the complete state-plan-tool-call-observation-update-branch-verification-stop trajectory. Correct serial transfer is central; a guessed final setting is not sufficient.</x:v>
      </x:c>
      <x:c r="M5" s="147" t="str">
        <x:v>Score the complete state-plan-tool-call-observation-update-branch-verification-stop trajectory. Correct serial transfer is central; a guessed final setting is not sufficient.</x:v>
      </x:c>
      <x:c r="N5" s="147" t="str">
        <x:v>Score the complete state-plan-tool-call-observation-update-branch-verification-stop trajectory. Correct serial transfer is central; a guessed final setting is not sufficient.</x:v>
      </x:c>
    </x:row>
    <x:row r="6">
      <x:c r="A6" s="147" t="str">
        <x:v>Score the complete state-plan-tool-call-observation-update-branch-verification-stop trajectory. Correct serial transfer is central; a guessed final setting is not sufficient.</x:v>
      </x:c>
      <x:c r="B6" s="147" t="str">
        <x:v>Score the complete state-plan-tool-call-observation-update-branch-verification-stop trajectory. Correct serial transfer is central; a guessed final setting is not sufficient.</x:v>
      </x:c>
      <x:c r="C6" s="147" t="str">
        <x:v>Score the complete state-plan-tool-call-observation-update-branch-verification-stop trajectory. Correct serial transfer is central; a guessed final setting is not sufficient.</x:v>
      </x:c>
      <x:c r="D6" s="147" t="str">
        <x:v>Score the complete state-plan-tool-call-observation-update-branch-verification-stop trajectory. Correct serial transfer is central; a guessed final setting is not sufficient.</x:v>
      </x:c>
      <x:c r="E6" s="147" t="str">
        <x:v>Score the complete state-plan-tool-call-observation-update-branch-verification-stop trajectory. Correct serial transfer is central; a guessed final setting is not sufficient.</x:v>
      </x:c>
      <x:c r="F6" s="147" t="str">
        <x:v>Score the complete state-plan-tool-call-observation-update-branch-verification-stop trajectory. Correct serial transfer is central; a guessed final setting is not sufficient.</x:v>
      </x:c>
      <x:c r="G6" s="147" t="str">
        <x:v>Score the complete state-plan-tool-call-observation-update-branch-verification-stop trajectory. Correct serial transfer is central; a guessed final setting is not sufficient.</x:v>
      </x:c>
      <x:c r="H6" s="147" t="str">
        <x:v>Score the complete state-plan-tool-call-observation-update-branch-verification-stop trajectory. Correct serial transfer is central; a guessed final setting is not sufficient.</x:v>
      </x:c>
      <x:c r="I6" s="147" t="str">
        <x:v>Score the complete state-plan-tool-call-observation-update-branch-verification-stop trajectory. Correct serial transfer is central; a guessed final setting is not sufficient.</x:v>
      </x:c>
      <x:c r="J6" s="147" t="str">
        <x:v>Score the complete state-plan-tool-call-observation-update-branch-verification-stop trajectory. Correct serial transfer is central; a guessed final setting is not sufficient.</x:v>
      </x:c>
      <x:c r="K6" s="147" t="str">
        <x:v>Score the complete state-plan-tool-call-observation-update-branch-verification-stop trajectory. Correct serial transfer is central; a guessed final setting is not sufficient.</x:v>
      </x:c>
      <x:c r="L6" s="147" t="str">
        <x:v>Score the complete state-plan-tool-call-observation-update-branch-verification-stop trajectory. Correct serial transfer is central; a guessed final setting is not sufficient.</x:v>
      </x:c>
      <x:c r="M6" s="147" t="str">
        <x:v>Score the complete state-plan-tool-call-observation-update-branch-verification-stop trajectory. Correct serial transfer is central; a guessed final setting is not sufficient.</x:v>
      </x:c>
      <x:c r="N6" s="147" t="str">
        <x:v>Score the complete state-plan-tool-call-observation-update-branch-verification-stop trajectory. Correct serial transfer is central; a guessed final setting is not sufficient.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83" t="str">
        <x:v>Dimension</x:v>
      </x:c>
      <x:c r="B8" s="183" t="str">
        <x:v>Focus</x:v>
      </x:c>
      <x:c r="C8" s="183" t="str">
        <x:v>Full-credit evidence</x:v>
      </x:c>
      <x:c r="D8" s="183" t="str">
        <x:v>Partial</x:v>
      </x:c>
      <x:c r="E8" s="183" t="str">
        <x:v>Critical failure</x:v>
      </x:c>
      <x:c r="F8" s="183" t="str">
        <x:v>Weight</x:v>
      </x:c>
      <x:c r="G8" s="183" t="str"/>
      <x:c r="H8" s="183" t="str"/>
      <x:c r="I8" s="183" t="str"/>
      <x:c r="J8" s="183" t="str"/>
      <x:c r="K8" s="183" t="str"/>
      <x:c r="L8" s="183" t="str"/>
      <x:c r="M8" s="183" t="str"/>
      <x:c r="N8" s="183" t="str"/>
    </x:row>
    <x:row r="9" ht="54" customHeight="1">
      <x:c r="A9" s="187" t="str">
        <x:v>TQ1 Formulation</x:v>
      </x:c>
      <x:c r="B9" s="187" t="str">
        <x:v>Recognizes two-stage constraints</x:v>
      </x:c>
      <x:c r="C9" s="187" t="str">
        <x:v>States stage order, units and objective.</x:v>
      </x:c>
      <x:c r="D9" s="187" t="str">
        <x:v>One secondary omission.</x:v>
      </x:c>
      <x:c r="E9" s="187" t="str">
        <x:v>Treats the two models as independent.</x:v>
      </x:c>
      <x:c r="F9" s="187" t="n">
        <x:v>15</x:v>
      </x:c>
      <x:c r="G9" s="187" t="str"/>
      <x:c r="H9" s="187" t="str"/>
      <x:c r="I9" s="187" t="str"/>
      <x:c r="J9" s="187" t="str"/>
      <x:c r="K9" s="187" t="str"/>
      <x:c r="L9" s="187" t="str"/>
      <x:c r="M9" s="187" t="str"/>
      <x:c r="N9" s="187" t="str"/>
    </x:row>
    <x:row r="10" ht="54" customHeight="1">
      <x:c r="A10" s="187" t="str">
        <x:v>TQ2 Stage-1 fidelity</x:v>
      </x:c>
      <x:c r="B10" s="187" t="str">
        <x:v>sw</x:v>
      </x:c>
      <x:c r="C10" s="187" t="str">
        <x:v>Runs the full Stage-1 grid with consistent inputs.</x:v>
      </x:c>
      <x:c r="D10" s="187" t="str">
        <x:v>Minor transcription issue.</x:v>
      </x:c>
      <x:c r="E10" s="187" t="str">
        <x:v>Changes non-target variables silently.</x:v>
      </x:c>
      <x:c r="F10" s="187" t="n">
        <x:v>15</x:v>
      </x:c>
      <x:c r="G10" s="187" t="str"/>
      <x:c r="H10" s="187" t="str"/>
      <x:c r="I10" s="187" t="str"/>
      <x:c r="J10" s="187" t="str"/>
      <x:c r="K10" s="187" t="str"/>
      <x:c r="L10" s="187" t="str"/>
      <x:c r="M10" s="187" t="str"/>
      <x:c r="N10" s="187" t="str"/>
    </x:row>
    <x:row r="11" ht="54" customHeight="1">
      <x:c r="A11" s="187" t="str">
        <x:v>TQ3 Boundary logic</x:v>
      </x:c>
      <x:c r="B11" s="187" t="str">
        <x:v>Pass/fail boundary</x:v>
      </x:c>
      <x:c r="C11" s="187" t="str">
        <x:v>Shows adjacent failure and first/last feasible point.</x:v>
      </x:c>
      <x:c r="D11" s="187" t="str">
        <x:v>Limited boundary evidence.</x:v>
      </x:c>
      <x:c r="E11" s="187" t="str">
        <x:v>Selects by one metric only.</x:v>
      </x:c>
      <x:c r="F11" s="187" t="n">
        <x:v>15</x:v>
      </x:c>
      <x:c r="G11" s="187" t="str"/>
      <x:c r="H11" s="187" t="str"/>
      <x:c r="I11" s="187" t="str"/>
      <x:c r="J11" s="187" t="str"/>
      <x:c r="K11" s="187" t="str"/>
      <x:c r="L11" s="187" t="str"/>
      <x:c r="M11" s="187" t="str"/>
      <x:c r="N11" s="187" t="str"/>
    </x:row>
    <x:row r="12" ht="54" customHeight="1">
      <x:c r="A12" s="187" t="str">
        <x:v>TQ4 Serial coupling</x:v>
      </x:c>
      <x:c r="B12" s="187" t="str">
        <x:v>Lineage transfer</x:v>
      </x:c>
      <x:c r="C12" s="187" t="str">
        <x:v>Transfers actual recovery or survivor configuration exactly.</x:v>
      </x:c>
      <x:c r="D12" s="187" t="str">
        <x:v>Rounded but non-decisive transfer.</x:v>
      </x:c>
      <x:c r="E12" s="187" t="str">
        <x:v>Uses target recovery or resets configuration.</x:v>
      </x:c>
      <x:c r="F12" s="187" t="n">
        <x:v>20</x:v>
      </x:c>
      <x:c r="G12" s="187" t="str"/>
      <x:c r="H12" s="187" t="str"/>
      <x:c r="I12" s="187" t="str"/>
      <x:c r="J12" s="187" t="str"/>
      <x:c r="K12" s="187" t="str"/>
      <x:c r="L12" s="187" t="str"/>
      <x:c r="M12" s="187" t="str"/>
      <x:c r="N12" s="187" t="str"/>
    </x:row>
    <x:row r="13" ht="54" customHeight="1">
      <x:c r="A13" s="187" t="str">
        <x:v>TQ5 Stage-2 verification</x:v>
      </x:c>
      <x:c r="B13" s="187" t="str">
        <x:v>ro</x:v>
      </x:c>
      <x:c r="C13" s="187" t="str">
        <x:v>Evaluates every required dose/state/finalist and all constraints.</x:v>
      </x:c>
      <x:c r="D13" s="187" t="str">
        <x:v>One non-decisive omission.</x:v>
      </x:c>
      <x:c r="E13" s="187" t="str">
        <x:v>Averages away a failed state.</x:v>
      </x:c>
      <x:c r="F13" s="187" t="n">
        <x:v>20</x:v>
      </x:c>
      <x:c r="G13" s="187" t="str"/>
      <x:c r="H13" s="187" t="str"/>
      <x:c r="I13" s="187" t="str"/>
      <x:c r="J13" s="187" t="str"/>
      <x:c r="K13" s="187" t="str"/>
      <x:c r="L13" s="187" t="str"/>
      <x:c r="M13" s="187" t="str"/>
      <x:c r="N13" s="187" t="str"/>
    </x:row>
    <x:row r="14" ht="54" customHeight="1">
      <x:c r="A14" s="187" t="str">
        <x:v>TQ6 Decision and scope</x:v>
      </x:c>
      <x:c r="B14" s="187" t="str">
        <x:v>Final recommendation</x:v>
      </x:c>
      <x:c r="C14" s="187" t="str">
        <x:v>Reports final setting, decisive numbers and model limits.</x:v>
      </x:c>
      <x:c r="D14" s="187" t="str">
        <x:v>Correct setting with weak explanation.</x:v>
      </x:c>
      <x:c r="E14" s="187" t="str">
        <x:v>Wrong setting or unsupported certainty.</x:v>
      </x:c>
      <x:c r="F14" s="187" t="n">
        <x:v>15</x:v>
      </x:c>
      <x:c r="G14" s="187" t="str"/>
      <x:c r="H14" s="187" t="str"/>
      <x:c r="I14" s="187" t="str"/>
      <x:c r="J14" s="187" t="str"/>
      <x:c r="K14" s="187" t="str"/>
      <x:c r="L14" s="187" t="str"/>
      <x:c r="M14" s="187" t="str"/>
      <x:c r="N14" s="187" t="str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37" t="str">
        <x:v>Gold Answer anchors</x:v>
      </x:c>
      <x:c r="B16" s="37" t="str">
        <x:v>Gold Answer anchors</x:v>
      </x:c>
      <x:c r="C16" s="37" t="str">
        <x:v>Gold Answer anchors</x:v>
      </x:c>
      <x:c r="D16" s="37" t="str">
        <x:v>Gold Answer anchors</x:v>
      </x:c>
      <x:c r="E16" s="37" t="str">
        <x:v>Gold Answer anchors</x:v>
      </x:c>
      <x:c r="F16" s="37" t="str">
        <x:v>Gold Answer anchors</x:v>
      </x:c>
      <x:c r="G16" s="37" t="str">
        <x:v>Gold Answer anchors</x:v>
      </x:c>
      <x:c r="H16" s="37" t="str">
        <x:v>Gold Answer anchors</x:v>
      </x:c>
      <x:c r="I16" s="37" t="str">
        <x:v>Gold Answer anchors</x:v>
      </x:c>
      <x:c r="J16" s="37" t="str">
        <x:v>Gold Answer anchors</x:v>
      </x:c>
      <x:c r="K16" s="37" t="str">
        <x:v>Gold Answer anchors</x:v>
      </x:c>
      <x:c r="L16" s="37" t="str">
        <x:v>Gold Answer anchors</x:v>
      </x:c>
      <x:c r="M16" s="37" t="str">
        <x:v>Gold Answer anchors</x:v>
      </x:c>
      <x:c r="N16" s="37" t="str">
        <x:v>Gold Answer anchors</x:v>
      </x:c>
    </x:row>
    <x:row r="17">
      <x:c r="A17" s="125" t="str">
        <x:v>Stage-1 recommendation</x:v>
      </x:c>
      <x:c r="B17" s="125" t="str">
        <x:v>C / E / F</x:v>
      </x:c>
      <x:c r="C17" s="125" t="str"/>
      <x:c r="D17" s="125" t="str"/>
      <x:c r="E17" s="125" t="str"/>
      <x:c r="F17" s="125" t="str"/>
      <x:c r="G17" s="125" t="str"/>
      <x:c r="H17" s="125" t="str"/>
      <x:c r="I17" s="125" t="str"/>
      <x:c r="J17" s="125" t="str"/>
      <x:c r="K17" s="125" t="str"/>
      <x:c r="L17" s="125" t="str"/>
      <x:c r="M17" s="125" t="str"/>
      <x:c r="N17" s="125" t="str"/>
    </x:row>
    <x:row r="18">
      <x:c r="A18" s="125" t="str">
        <x:v>Stage-2 recommendation</x:v>
      </x:c>
      <x:c r="B18" s="125" t="str">
        <x:v>C_B / C_S</x:v>
      </x:c>
      <x:c r="C18" s="125" t="str"/>
      <x:c r="D18" s="125" t="str"/>
      <x:c r="E18" s="125" t="str"/>
      <x:c r="F18" s="125" t="str"/>
      <x:c r="G18" s="125" t="str"/>
      <x:c r="H18" s="125" t="str"/>
      <x:c r="I18" s="125" t="str"/>
      <x:c r="J18" s="125" t="str"/>
      <x:c r="K18" s="125" t="str"/>
      <x:c r="L18" s="125" t="str"/>
      <x:c r="M18" s="125" t="str"/>
      <x:c r="N18" s="125" t="str"/>
    </x:row>
    <x:row r="19">
      <x:c r="A19" s="125" t="str">
        <x:v>Simulator pair</x:v>
      </x:c>
      <x:c r="B19" s="125" t="str">
        <x:v>simulate_swro_system → simulate_ro</x:v>
      </x:c>
      <x:c r="C19" s="125" t="str"/>
      <x:c r="D19" s="125" t="str"/>
      <x:c r="E19" s="125" t="str"/>
      <x:c r="F19" s="125" t="str"/>
      <x:c r="G19" s="125" t="str"/>
      <x:c r="H19" s="125" t="str"/>
      <x:c r="I19" s="125" t="str"/>
      <x:c r="J19" s="125" t="str"/>
      <x:c r="K19" s="125" t="str"/>
      <x:c r="L19" s="125" t="str"/>
      <x:c r="M19" s="125" t="str"/>
      <x:c r="N19" s="125" t="str"/>
    </x:row>
    <x:row r="20">
      <x:c r="A20" s="125" t="str">
        <x:v>Stage-1 calls</x:v>
      </x:c>
      <x:c r="B20" s="125" t="n">
        <x:v>6</x:v>
      </x:c>
      <x:c r="C20" s="125" t="str"/>
      <x:c r="D20" s="125" t="str"/>
      <x:c r="E20" s="125" t="str"/>
      <x:c r="F20" s="125" t="str"/>
      <x:c r="G20" s="125" t="str"/>
      <x:c r="H20" s="125" t="str"/>
      <x:c r="I20" s="125" t="str"/>
      <x:c r="J20" s="125" t="str"/>
      <x:c r="K20" s="125" t="str"/>
      <x:c r="L20" s="125" t="str"/>
      <x:c r="M20" s="125" t="str"/>
      <x:c r="N20" s="125" t="str"/>
    </x:row>
    <x:row r="21">
      <x:c r="A21" s="125" t="str">
        <x:v>Stage-2 calls</x:v>
      </x:c>
      <x:c r="B21" s="125" t="n">
        <x:v>6</x:v>
      </x:c>
      <x:c r="C21" s="125" t="str"/>
      <x:c r="D21" s="125" t="str"/>
      <x:c r="E21" s="125" t="str"/>
      <x:c r="F21" s="125" t="str"/>
      <x:c r="G21" s="125" t="str"/>
      <x:c r="H21" s="125" t="str"/>
      <x:c r="I21" s="125" t="str"/>
      <x:c r="J21" s="125" t="str"/>
      <x:c r="K21" s="125" t="str"/>
      <x:c r="L21" s="125" t="str"/>
      <x:c r="M21" s="125" t="str"/>
      <x:c r="N21" s="125" t="str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A1:N2"/>
    <x:mergeCell ref="A4:N6"/>
    <x:mergeCell ref="G8:N8"/>
    <x:mergeCell ref="G9:N9"/>
    <x:mergeCell ref="G10:N10"/>
    <x:mergeCell ref="G11:N11"/>
    <x:mergeCell ref="G12:N12"/>
    <x:mergeCell ref="G13:N13"/>
    <x:mergeCell ref="G14:N14"/>
    <x:mergeCell ref="A16:N16"/>
    <x:mergeCell ref="C17:N17"/>
    <x:mergeCell ref="C18:N18"/>
    <x:mergeCell ref="C19:N19"/>
    <x:mergeCell ref="C20:N20"/>
    <x:mergeCell ref="C21:N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6" hidden="0" customWidth="1"/>
    <x:col min="8" max="8" width="14" hidden="0" customWidth="1"/>
    <x:col min="9" max="9" width="16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8" customHeight="1">
      <x:c r="A1" s="6" t="str">
        <x:v>D6_6b-N07 | Tool efficiency (100 points)</x:v>
      </x:c>
      <x:c r="B1" s="6" t="str">
        <x:v>D6_6b-N07 | Tool efficiency (100 points)</x:v>
      </x:c>
      <x:c r="C1" s="6" t="str">
        <x:v>D6_6b-N07 | Tool efficiency (100 points)</x:v>
      </x:c>
      <x:c r="D1" s="6" t="str">
        <x:v>D6_6b-N07 | Tool efficiency (100 points)</x:v>
      </x:c>
      <x:c r="E1" s="6" t="str">
        <x:v>D6_6b-N07 | Tool efficiency (100 points)</x:v>
      </x:c>
      <x:c r="F1" s="6" t="str">
        <x:v>D6_6b-N07 | Tool efficiency (100 points)</x:v>
      </x:c>
      <x:c r="G1" s="6" t="str">
        <x:v>D6_6b-N07 | Tool efficiency (100 points)</x:v>
      </x:c>
      <x:c r="H1" s="6" t="str">
        <x:v>D6_6b-N07 | Tool efficiency (100 points)</x:v>
      </x:c>
      <x:c r="I1" s="6" t="str">
        <x:v>D6_6b-N07 | Tool efficiency (100 points)</x:v>
      </x:c>
      <x:c r="J1" s="6" t="str">
        <x:v>D6_6b-N07 | Tool efficiency (100 points)</x:v>
      </x:c>
      <x:c r="K1" s="6" t="str">
        <x:v>D6_6b-N07 | Tool efficiency (100 points)</x:v>
      </x:c>
      <x:c r="L1" s="6" t="str">
        <x:v>D6_6b-N07 | Tool efficiency (100 points)</x:v>
      </x:c>
      <x:c r="M1" s="6" t="str">
        <x:v>D6_6b-N07 | Tool efficiency (100 points)</x:v>
      </x:c>
      <x:c r="N1" s="6" t="str">
        <x:v>D6_6b-N07 | Tool efficiency (100 points)</x:v>
      </x:c>
    </x:row>
    <x:row r="2" ht="28" customHeight="1">
      <x:c r="A2" s="6" t="str">
        <x:v>D6_6b-N07 | Tool efficiency (100 points)</x:v>
      </x:c>
      <x:c r="B2" s="6" t="str">
        <x:v>D6_6b-N07 | Tool efficiency (100 points)</x:v>
      </x:c>
      <x:c r="C2" s="6" t="str">
        <x:v>D6_6b-N07 | Tool efficiency (100 points)</x:v>
      </x:c>
      <x:c r="D2" s="6" t="str">
        <x:v>D6_6b-N07 | Tool efficiency (100 points)</x:v>
      </x:c>
      <x:c r="E2" s="6" t="str">
        <x:v>D6_6b-N07 | Tool efficiency (100 points)</x:v>
      </x:c>
      <x:c r="F2" s="6" t="str">
        <x:v>D6_6b-N07 | Tool efficiency (100 points)</x:v>
      </x:c>
      <x:c r="G2" s="6" t="str">
        <x:v>D6_6b-N07 | Tool efficiency (100 points)</x:v>
      </x:c>
      <x:c r="H2" s="6" t="str">
        <x:v>D6_6b-N07 | Tool efficiency (100 points)</x:v>
      </x:c>
      <x:c r="I2" s="6" t="str">
        <x:v>D6_6b-N07 | Tool efficiency (100 points)</x:v>
      </x:c>
      <x:c r="J2" s="6" t="str">
        <x:v>D6_6b-N07 | Tool efficiency (100 points)</x:v>
      </x:c>
      <x:c r="K2" s="6" t="str">
        <x:v>D6_6b-N07 | Tool efficiency (100 points)</x:v>
      </x:c>
      <x:c r="L2" s="6" t="str">
        <x:v>D6_6b-N07 | Tool efficiency (100 points)</x:v>
      </x:c>
      <x:c r="M2" s="6" t="str">
        <x:v>D6_6b-N07 | Tool efficiency (100 points)</x:v>
      </x:c>
      <x:c r="N2" s="6" t="str">
        <x:v>D6_6b-N07 | Tool efficiency (100 points)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47" t="str">
        <x:v>Reference trajectory: 6 Stage-1 calls + 6 Stage-2 calls. Efficiency means every call changes the next decision boundary, not merely fewer calls.</x:v>
      </x:c>
      <x:c r="B4" s="147" t="str">
        <x:v>Reference trajectory: 6 Stage-1 calls + 6 Stage-2 calls. Efficiency means every call changes the next decision boundary, not merely fewer calls.</x:v>
      </x:c>
      <x:c r="C4" s="147" t="str">
        <x:v>Reference trajectory: 6 Stage-1 calls + 6 Stage-2 calls. Efficiency means every call changes the next decision boundary, not merely fewer calls.</x:v>
      </x:c>
      <x:c r="D4" s="147" t="str">
        <x:v>Reference trajectory: 6 Stage-1 calls + 6 Stage-2 calls. Efficiency means every call changes the next decision boundary, not merely fewer calls.</x:v>
      </x:c>
      <x:c r="E4" s="147" t="str">
        <x:v>Reference trajectory: 6 Stage-1 calls + 6 Stage-2 calls. Efficiency means every call changes the next decision boundary, not merely fewer calls.</x:v>
      </x:c>
      <x:c r="F4" s="147" t="str">
        <x:v>Reference trajectory: 6 Stage-1 calls + 6 Stage-2 calls. Efficiency means every call changes the next decision boundary, not merely fewer calls.</x:v>
      </x:c>
      <x:c r="G4" s="147" t="str">
        <x:v>Reference trajectory: 6 Stage-1 calls + 6 Stage-2 calls. Efficiency means every call changes the next decision boundary, not merely fewer calls.</x:v>
      </x:c>
      <x:c r="H4" s="147" t="str">
        <x:v>Reference trajectory: 6 Stage-1 calls + 6 Stage-2 calls. Efficiency means every call changes the next decision boundary, not merely fewer calls.</x:v>
      </x:c>
      <x:c r="I4" s="147" t="str">
        <x:v>Reference trajectory: 6 Stage-1 calls + 6 Stage-2 calls. Efficiency means every call changes the next decision boundary, not merely fewer calls.</x:v>
      </x:c>
      <x:c r="J4" s="147" t="str">
        <x:v>Reference trajectory: 6 Stage-1 calls + 6 Stage-2 calls. Efficiency means every call changes the next decision boundary, not merely fewer calls.</x:v>
      </x:c>
      <x:c r="K4" s="147" t="str">
        <x:v>Reference trajectory: 6 Stage-1 calls + 6 Stage-2 calls. Efficiency means every call changes the next decision boundary, not merely fewer calls.</x:v>
      </x:c>
      <x:c r="L4" s="147" t="str">
        <x:v>Reference trajectory: 6 Stage-1 calls + 6 Stage-2 calls. Efficiency means every call changes the next decision boundary, not merely fewer calls.</x:v>
      </x:c>
      <x:c r="M4" s="147" t="str">
        <x:v>Reference trajectory: 6 Stage-1 calls + 6 Stage-2 calls. Efficiency means every call changes the next decision boundary, not merely fewer calls.</x:v>
      </x:c>
      <x:c r="N4" s="147" t="str">
        <x:v>Reference trajectory: 6 Stage-1 calls + 6 Stage-2 calls. Efficiency means every call changes the next decision boundary, not merely fewer calls.</x:v>
      </x:c>
    </x:row>
    <x:row r="5">
      <x:c r="A5" s="147" t="str">
        <x:v>Reference trajectory: 6 Stage-1 calls + 6 Stage-2 calls. Efficiency means every call changes the next decision boundary, not merely fewer calls.</x:v>
      </x:c>
      <x:c r="B5" s="147" t="str">
        <x:v>Reference trajectory: 6 Stage-1 calls + 6 Stage-2 calls. Efficiency means every call changes the next decision boundary, not merely fewer calls.</x:v>
      </x:c>
      <x:c r="C5" s="147" t="str">
        <x:v>Reference trajectory: 6 Stage-1 calls + 6 Stage-2 calls. Efficiency means every call changes the next decision boundary, not merely fewer calls.</x:v>
      </x:c>
      <x:c r="D5" s="147" t="str">
        <x:v>Reference trajectory: 6 Stage-1 calls + 6 Stage-2 calls. Efficiency means every call changes the next decision boundary, not merely fewer calls.</x:v>
      </x:c>
      <x:c r="E5" s="147" t="str">
        <x:v>Reference trajectory: 6 Stage-1 calls + 6 Stage-2 calls. Efficiency means every call changes the next decision boundary, not merely fewer calls.</x:v>
      </x:c>
      <x:c r="F5" s="147" t="str">
        <x:v>Reference trajectory: 6 Stage-1 calls + 6 Stage-2 calls. Efficiency means every call changes the next decision boundary, not merely fewer calls.</x:v>
      </x:c>
      <x:c r="G5" s="147" t="str">
        <x:v>Reference trajectory: 6 Stage-1 calls + 6 Stage-2 calls. Efficiency means every call changes the next decision boundary, not merely fewer calls.</x:v>
      </x:c>
      <x:c r="H5" s="147" t="str">
        <x:v>Reference trajectory: 6 Stage-1 calls + 6 Stage-2 calls. Efficiency means every call changes the next decision boundary, not merely fewer calls.</x:v>
      </x:c>
      <x:c r="I5" s="147" t="str">
        <x:v>Reference trajectory: 6 Stage-1 calls + 6 Stage-2 calls. Efficiency means every call changes the next decision boundary, not merely fewer calls.</x:v>
      </x:c>
      <x:c r="J5" s="147" t="str">
        <x:v>Reference trajectory: 6 Stage-1 calls + 6 Stage-2 calls. Efficiency means every call changes the next decision boundary, not merely fewer calls.</x:v>
      </x:c>
      <x:c r="K5" s="147" t="str">
        <x:v>Reference trajectory: 6 Stage-1 calls + 6 Stage-2 calls. Efficiency means every call changes the next decision boundary, not merely fewer calls.</x:v>
      </x:c>
      <x:c r="L5" s="147" t="str">
        <x:v>Reference trajectory: 6 Stage-1 calls + 6 Stage-2 calls. Efficiency means every call changes the next decision boundary, not merely fewer calls.</x:v>
      </x:c>
      <x:c r="M5" s="147" t="str">
        <x:v>Reference trajectory: 6 Stage-1 calls + 6 Stage-2 calls. Efficiency means every call changes the next decision boundary, not merely fewer calls.</x:v>
      </x:c>
      <x:c r="N5" s="147" t="str">
        <x:v>Reference trajectory: 6 Stage-1 calls + 6 Stage-2 calls. Efficiency means every call changes the next decision boundary, not merely fewer calls.</x:v>
      </x:c>
    </x:row>
    <x:row r="6">
      <x:c r="A6" s="147" t="str">
        <x:v>Reference trajectory: 6 Stage-1 calls + 6 Stage-2 calls. Efficiency means every call changes the next decision boundary, not merely fewer calls.</x:v>
      </x:c>
      <x:c r="B6" s="147" t="str">
        <x:v>Reference trajectory: 6 Stage-1 calls + 6 Stage-2 calls. Efficiency means every call changes the next decision boundary, not merely fewer calls.</x:v>
      </x:c>
      <x:c r="C6" s="147" t="str">
        <x:v>Reference trajectory: 6 Stage-1 calls + 6 Stage-2 calls. Efficiency means every call changes the next decision boundary, not merely fewer calls.</x:v>
      </x:c>
      <x:c r="D6" s="147" t="str">
        <x:v>Reference trajectory: 6 Stage-1 calls + 6 Stage-2 calls. Efficiency means every call changes the next decision boundary, not merely fewer calls.</x:v>
      </x:c>
      <x:c r="E6" s="147" t="str">
        <x:v>Reference trajectory: 6 Stage-1 calls + 6 Stage-2 calls. Efficiency means every call changes the next decision boundary, not merely fewer calls.</x:v>
      </x:c>
      <x:c r="F6" s="147" t="str">
        <x:v>Reference trajectory: 6 Stage-1 calls + 6 Stage-2 calls. Efficiency means every call changes the next decision boundary, not merely fewer calls.</x:v>
      </x:c>
      <x:c r="G6" s="147" t="str">
        <x:v>Reference trajectory: 6 Stage-1 calls + 6 Stage-2 calls. Efficiency means every call changes the next decision boundary, not merely fewer calls.</x:v>
      </x:c>
      <x:c r="H6" s="147" t="str">
        <x:v>Reference trajectory: 6 Stage-1 calls + 6 Stage-2 calls. Efficiency means every call changes the next decision boundary, not merely fewer calls.</x:v>
      </x:c>
      <x:c r="I6" s="147" t="str">
        <x:v>Reference trajectory: 6 Stage-1 calls + 6 Stage-2 calls. Efficiency means every call changes the next decision boundary, not merely fewer calls.</x:v>
      </x:c>
      <x:c r="J6" s="147" t="str">
        <x:v>Reference trajectory: 6 Stage-1 calls + 6 Stage-2 calls. Efficiency means every call changes the next decision boundary, not merely fewer calls.</x:v>
      </x:c>
      <x:c r="K6" s="147" t="str">
        <x:v>Reference trajectory: 6 Stage-1 calls + 6 Stage-2 calls. Efficiency means every call changes the next decision boundary, not merely fewer calls.</x:v>
      </x:c>
      <x:c r="L6" s="147" t="str">
        <x:v>Reference trajectory: 6 Stage-1 calls + 6 Stage-2 calls. Efficiency means every call changes the next decision boundary, not merely fewer calls.</x:v>
      </x:c>
      <x:c r="M6" s="147" t="str">
        <x:v>Reference trajectory: 6 Stage-1 calls + 6 Stage-2 calls. Efficiency means every call changes the next decision boundary, not merely fewer calls.</x:v>
      </x:c>
      <x:c r="N6" s="147" t="str">
        <x:v>Reference trajectory: 6 Stage-1 calls + 6 Stage-2 calls. Efficiency means every call changes the next decision boundary, not merely fewer calls.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83" t="str">
        <x:v>Stage</x:v>
      </x:c>
      <x:c r="B8" s="183" t="str">
        <x:v>Tool</x:v>
      </x:c>
      <x:c r="C8" s="183" t="str">
        <x:v>Calls</x:v>
      </x:c>
      <x:c r="D8" s="183" t="str">
        <x:v>Key input</x:v>
      </x:c>
      <x:c r="E8" s="183" t="str">
        <x:v>Key observation</x:v>
      </x:c>
      <x:c r="F8" s="183" t="str">
        <x:v>State update</x:v>
      </x:c>
      <x:c r="G8" s="183" t="str">
        <x:v>Next step</x:v>
      </x:c>
      <x:c r="H8" s="183" t="str"/>
      <x:c r="I8" s="183" t="str"/>
      <x:c r="J8" s="183" t="str"/>
      <x:c r="K8" s="183" t="str"/>
      <x:c r="L8" s="183" t="str"/>
      <x:c r="M8" s="183" t="str"/>
      <x:c r="N8" s="183" t="str"/>
    </x:row>
    <x:row r="9" ht="52" customHeight="1">
      <x:c r="A9" s="187" t="str">
        <x:v>1 Metadata</x:v>
      </x:c>
      <x:c r="B9" s="187" t="str">
        <x:v>describe_*</x:v>
      </x:c>
      <x:c r="C9" s="187" t="n">
        <x:v>0</x:v>
      </x:c>
      <x:c r="D9" s="187" t="str">
        <x:v>Units, species and parameter scope</x:v>
      </x:c>
      <x:c r="E9" s="187" t="str">
        <x:v>Confirm valid inputs</x:v>
      </x:c>
      <x:c r="F9" s="187" t="str">
        <x:v>Lock the candidate table</x:v>
      </x:c>
      <x:c r="G9" s="187" t="str">
        <x:v>Run Stage 1</x:v>
      </x:c>
      <x:c r="H9" s="187" t="str"/>
      <x:c r="I9" s="187" t="str"/>
      <x:c r="J9" s="187" t="str"/>
      <x:c r="K9" s="187" t="str"/>
      <x:c r="L9" s="187" t="str"/>
      <x:c r="M9" s="187" t="str"/>
      <x:c r="N9" s="187" t="str"/>
    </x:row>
    <x:row r="10" ht="52" customHeight="1">
      <x:c r="A10" s="187" t="str">
        <x:v>2 Stage 1</x:v>
      </x:c>
      <x:c r="B10" s="187" t="str">
        <x:v>simulate_swro_system</x:v>
      </x:c>
      <x:c r="C10" s="187" t="n">
        <x:v>6</x:v>
      </x:c>
      <x:c r="D10" s="187" t="str">
        <x:v>Vary only declared design variables</x:v>
      </x:c>
      <x:c r="E10" s="187" t="str">
        <x:v>Locate pass/fail boundary</x:v>
      </x:c>
      <x:c r="F10" s="187" t="str">
        <x:v>Keep survivors or actual recovery</x:v>
      </x:c>
      <x:c r="G10" s="187" t="str">
        <x:v>Transfer lineage</x:v>
      </x:c>
      <x:c r="H10" s="187" t="str"/>
      <x:c r="I10" s="187" t="str"/>
      <x:c r="J10" s="187" t="str"/>
      <x:c r="K10" s="187" t="str"/>
      <x:c r="L10" s="187" t="str"/>
      <x:c r="M10" s="187" t="str"/>
      <x:c r="N10" s="187" t="str"/>
    </x:row>
    <x:row r="11" ht="52" customHeight="1">
      <x:c r="A11" s="187" t="str">
        <x:v>3 Coupling</x:v>
      </x:c>
      <x:c r="B11" s="187" t="str">
        <x:v>—</x:v>
      </x:c>
      <x:c r="C11" s="187" t="n">
        <x:v>0</x:v>
      </x:c>
      <x:c r="D11" s="187" t="str">
        <x:v>Stage-1 IDs and exact outputs</x:v>
      </x:c>
      <x:c r="E11" s="187" t="str">
        <x:v>No target-value substitution</x:v>
      </x:c>
      <x:c r="F11" s="187" t="str">
        <x:v>Create Stage-2 inputs</x:v>
      </x:c>
      <x:c r="G11" s="187" t="str">
        <x:v>Run Stage 2</x:v>
      </x:c>
      <x:c r="H11" s="187" t="str"/>
      <x:c r="I11" s="187" t="str"/>
      <x:c r="J11" s="187" t="str"/>
      <x:c r="K11" s="187" t="str"/>
      <x:c r="L11" s="187" t="str"/>
      <x:c r="M11" s="187" t="str"/>
      <x:c r="N11" s="187" t="str"/>
    </x:row>
    <x:row r="12" ht="52" customHeight="1">
      <x:c r="A12" s="187" t="str">
        <x:v>4 Stage 2</x:v>
      </x:c>
      <x:c r="B12" s="187" t="str">
        <x:v>simulate_ro</x:v>
      </x:c>
      <x:c r="C12" s="187" t="n">
        <x:v>6</x:v>
      </x:c>
      <x:c r="D12" s="187" t="str">
        <x:v>Inherited recovery/configuration</x:v>
      </x:c>
      <x:c r="E12" s="187" t="str">
        <x:v>Evaluate all second-stage constraints</x:v>
      </x:c>
      <x:c r="F12" s="187" t="str">
        <x:v>Lock final feasible set</x:v>
      </x:c>
      <x:c r="G12" s="187" t="str">
        <x:v>Check adjacent failures</x:v>
      </x:c>
      <x:c r="H12" s="187" t="str"/>
      <x:c r="I12" s="187" t="str"/>
      <x:c r="J12" s="187" t="str"/>
      <x:c r="K12" s="187" t="str"/>
      <x:c r="L12" s="187" t="str"/>
      <x:c r="M12" s="187" t="str"/>
      <x:c r="N12" s="187" t="str"/>
    </x:row>
    <x:row r="13" ht="52" customHeight="1">
      <x:c r="A13" s="187" t="str">
        <x:v>5 Stop</x:v>
      </x:c>
      <x:c r="B13" s="187" t="str">
        <x:v>—</x:v>
      </x:c>
      <x:c r="C13" s="187" t="n">
        <x:v>0</x:v>
      </x:c>
      <x:c r="D13" s="187" t="str">
        <x:v>Winner plus failure evidence</x:v>
      </x:c>
      <x:c r="E13" s="187" t="str">
        <x:v>No unresolved boundary</x:v>
      </x:c>
      <x:c r="F13" s="187" t="str">
        <x:v>Report recommendation and limits</x:v>
      </x:c>
      <x:c r="G13" s="187" t="str">
        <x:v>Stop</x:v>
      </x:c>
      <x:c r="H13" s="187" t="str"/>
      <x:c r="I13" s="187" t="str"/>
      <x:c r="J13" s="187" t="str"/>
      <x:c r="K13" s="187" t="str"/>
      <x:c r="L13" s="187" t="str"/>
      <x:c r="M13" s="187" t="str"/>
      <x:c r="N13" s="187" t="str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37" t="str">
        <x:v>Serial trajectory audit</x:v>
      </x:c>
      <x:c r="B16" s="37" t="str">
        <x:v>Serial trajectory audit</x:v>
      </x:c>
      <x:c r="C16" s="37" t="str">
        <x:v>Serial trajectory audit</x:v>
      </x:c>
      <x:c r="D16" s="37" t="str">
        <x:v>Serial trajectory audit</x:v>
      </x:c>
      <x:c r="E16" s="37" t="str">
        <x:v>Serial trajectory audit</x:v>
      </x:c>
      <x:c r="F16" s="37" t="str">
        <x:v>Serial trajectory audit</x:v>
      </x:c>
      <x:c r="G16" s="37" t="str">
        <x:v>Serial trajectory audit</x:v>
      </x:c>
      <x:c r="H16" s="37" t="str">
        <x:v>Serial trajectory audit</x:v>
      </x:c>
      <x:c r="I16" s="37" t="str">
        <x:v>Serial trajectory audit</x:v>
      </x:c>
      <x:c r="J16" s="37" t="str">
        <x:v>Serial trajectory audit</x:v>
      </x:c>
      <x:c r="K16" s="37" t="str">
        <x:v>Serial trajectory audit</x:v>
      </x:c>
      <x:c r="L16" s="37" t="str">
        <x:v>Serial trajectory audit</x:v>
      </x:c>
      <x:c r="M16" s="37" t="str">
        <x:v>Serial trajectory audit</x:v>
      </x:c>
      <x:c r="N16" s="37" t="str">
        <x:v>Serial trajectory audit</x:v>
      </x:c>
    </x:row>
    <x:row r="17">
      <x:c r="A17" s="84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B17" s="85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C17" s="85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D17" s="85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E17" s="85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F17" s="85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G17" s="85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H17" s="85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I17" s="85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J17" s="85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K17" s="85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L17" s="85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M17" s="85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N17" s="86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</x:row>
    <x:row r="18">
      <x:c r="A18" s="87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B18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C18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D18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E18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F18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G18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H18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I18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J18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K18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L18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M18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N18" s="89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</x:row>
    <x:row r="19">
      <x:c r="A19" s="87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B19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C19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D19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E19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F19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G19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H19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I19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J19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K19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L19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M19" s="88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N19" s="89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</x:row>
    <x:row r="20">
      <x:c r="A20" s="90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B20" s="91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C20" s="91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D20" s="91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E20" s="91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F20" s="91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G20" s="91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H20" s="91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I20" s="91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J20" s="91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K20" s="91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L20" s="91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M20" s="91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  <x:c r="N20" s="92" t="str">
        <x:v>Critical audit rule: Stage 2 must use the exact Stage-1 recovery or surviving configuration associated with the same candidate ID. Re-running Stage 2 with a rounded target recovery, a different membrane, or a different ERD breaks the trajectory even if the final recommendation happens to match.</x:v>
      </x:c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A1:N2"/>
    <x:mergeCell ref="A4:N6"/>
    <x:mergeCell ref="H8:N8"/>
    <x:mergeCell ref="H9:N9"/>
    <x:mergeCell ref="H10:N10"/>
    <x:mergeCell ref="H11:N11"/>
    <x:mergeCell ref="H12:N12"/>
    <x:mergeCell ref="H13:N13"/>
    <x:mergeCell ref="A16:N16"/>
    <x:mergeCell ref="A17:N20"/>
  </x:mergeCells>
  <x:pageMargins left="0.7" right="0.7" top="0.75" bottom="0.75" header="0.3" footer="0.3"/>
</x:worksheet>
</file>