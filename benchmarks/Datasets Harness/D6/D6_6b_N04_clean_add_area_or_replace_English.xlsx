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9a402dfaf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4eb65da12e0b4903"/>
    <x:sheet xmlns:r="http://schemas.openxmlformats.org/officeDocument/2006/relationships" name="Gold_Answer_A" sheetId="2" r:id="R95601fed609d4a6e"/>
    <x:sheet xmlns:r="http://schemas.openxmlformats.org/officeDocument/2006/relationships" name="Trajectory_Rubric" sheetId="3" r:id="Ra62c43a59e9c4b12"/>
    <x:sheet xmlns:r="http://schemas.openxmlformats.org/officeDocument/2006/relationships" name="Tool_Efficiency" sheetId="4" r:id="Rc0044223deb1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0"/>
    <x:numFmt numFmtId="202" formatCode="0.00000000"/>
    <x:numFmt numFmtId="203" formatCode="0.00%"/>
  </x:numFmts>
  <x:fonts count="7">
    <x:font>
      <x:sz val="11"/>
      <x:name val="Carlito"/>
    </x:font>
    <x:font>
      <x:sz val="10"/>
      <x:color rgb="FF1F2937"/>
      <x:name val="Aptos"/>
    </x:font>
    <x:font>
      <x:b/>
      <x:sz val="17"/>
      <x:color rgb="FFFFFFFF"/>
      <x:name val="Aptos"/>
    </x:font>
    <x:font>
      <x:sz val="10"/>
      <x:color rgb="FF9C6500"/>
      <x:name val="Aptos"/>
    </x:font>
    <x:font>
      <x:b/>
      <x:sz val="10"/>
      <x:color rgb="FFFFFFFF"/>
      <x:name val="Aptos"/>
    </x:font>
    <x:font>
      <x:b/>
      <x:sz val="10"/>
      <x:color rgb="FF17365D"/>
      <x:name val="Aptos"/>
    </x:font>
    <x:font>
      <x:b/>
      <x:sz val="10"/>
      <x:color rgb="FF37562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203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f681310ad48ea" /><Relationship Type="http://schemas.openxmlformats.org/officeDocument/2006/relationships/theme" Target="/xl/theme/theme1.xml" Id="Rc47e952e740f46df" /><Relationship Type="http://schemas.openxmlformats.org/officeDocument/2006/relationships/sharedStrings" Target="/xl/sharedStrings.xml" Id="Re1f1763a85a54101" /><Relationship Type="http://schemas.openxmlformats.org/officeDocument/2006/relationships/worksheet" Target="/xl/worksheets/sheet1.xml" Id="R4eb65da12e0b4903" /><Relationship Type="http://schemas.openxmlformats.org/officeDocument/2006/relationships/worksheet" Target="/xl/worksheets/sheet2.xml" Id="R95601fed609d4a6e" /><Relationship Type="http://schemas.openxmlformats.org/officeDocument/2006/relationships/worksheet" Target="/xl/worksheets/sheet3.xml" Id="Ra62c43a59e9c4b12" /><Relationship Type="http://schemas.openxmlformats.org/officeDocument/2006/relationships/worksheet" Target="/xl/worksheets/sheet4.xml" Id="Rc0044223deb144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b4779815544c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Production boundary by candidate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Production</c:v>
          </c:tx>
          <c:marker>
            <c:symbol val="none"/>
          </c:marker>
          <c:cat>
            <c:strRef>
              <c:f>'Gold_Answer_A'!$J$10:$J$13</c:f>
              <c:strCache>
                <c:ptCount val="0"/>
              </c:strCache>
            </c:strRef>
          </c:cat>
          <c:val>
            <c:numRef>
              <c:f>'Gold_Answer_A'!$K$10:$K$13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'Gold_Answer_A'!$J$10:$J$13</c:f>
              <c:strCache>
                <c:ptCount val="0"/>
              </c:strCache>
            </c:strRef>
          </c:cat>
          <c:val>
            <c:numRef>
              <c:f>'Gold_Answer_A'!$L$10:$L$13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b4779815544ca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ab0c8aa4a8e4f8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28" hidden="0" customWidth="1"/>
    <x:col min="9" max="9" width="24" hidden="0" customWidth="1"/>
    <x:col min="10" max="10" width="26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9" customHeight="1">
      <x:c r="A1" s="6" t="str">
        <x:v>N04｜Fouled-Membrane Decision: Clean, Add Area, or Replace Elements</x:v>
      </x:c>
      <x:c r="B1" s="6" t="str">
        <x:v>N04｜Fouled-Membrane Decision: Clean, Add Area, or Replace Elements</x:v>
      </x:c>
      <x:c r="C1" s="6" t="str">
        <x:v>N04｜Fouled-Membrane Decision: Clean, Add Area, or Replace Elements</x:v>
      </x:c>
      <x:c r="D1" s="6" t="str">
        <x:v>N04｜Fouled-Membrane Decision: Clean, Add Area, or Replace Elements</x:v>
      </x:c>
      <x:c r="E1" s="6" t="str">
        <x:v>N04｜Fouled-Membrane Decision: Clean, Add Area, or Replace Elements</x:v>
      </x:c>
      <x:c r="F1" s="6" t="str">
        <x:v>N04｜Fouled-Membrane Decision: Clean, Add Area, or Replace Elements</x:v>
      </x:c>
      <x:c r="G1" s="6" t="str">
        <x:v>N04｜Fouled-Membrane Decision: Clean, Add Area, or Replace Elements</x:v>
      </x:c>
      <x:c r="H1" s="6" t="str">
        <x:v>N04｜Fouled-Membrane Decision: Clean, Add Area, or Replace Elements</x:v>
      </x:c>
      <x:c r="I1" s="6" t="str">
        <x:v>N04｜Fouled-Membrane Decision: Clean, Add Area, or Replace Elements</x:v>
      </x:c>
      <x:c r="J1" s="6" t="str">
        <x:v>N04｜Fouled-Membrane Decision: Clean, Add Area, or Replace Elements</x:v>
      </x:c>
      <x:c r="K1" s="6" t="str">
        <x:v>N04｜Fouled-Membrane Decision: Clean, Add Area, or Replace Elements</x:v>
      </x:c>
      <x:c r="L1" s="6" t="str">
        <x:v>N04｜Fouled-Membrane Decision: Clean, Add Area, or Replace Elements</x:v>
      </x:c>
      <x:c r="M1" s="6" t="str">
        <x:v>N04｜Fouled-Membrane Decision: Clean, Add Area, or Replace Elements</x:v>
      </x:c>
      <x:c r="N1" s="6" t="str">
        <x:v>N04｜Fouled-Membrane Decision: Clean, Add Area, or Replace Elements</x:v>
      </x:c>
    </x:row>
    <x:row r="2" ht="29" customHeight="1">
      <x:c r="A2" s="6" t="str">
        <x:v>N04｜Fouled-Membrane Decision: Clean, Add Area, or Replace Elements</x:v>
      </x:c>
      <x:c r="B2" s="6" t="str">
        <x:v>N04｜Fouled-Membrane Decision: Clean, Add Area, or Replace Elements</x:v>
      </x:c>
      <x:c r="C2" s="6" t="str">
        <x:v>N04｜Fouled-Membrane Decision: Clean, Add Area, or Replace Elements</x:v>
      </x:c>
      <x:c r="D2" s="6" t="str">
        <x:v>N04｜Fouled-Membrane Decision: Clean, Add Area, or Replace Elements</x:v>
      </x:c>
      <x:c r="E2" s="6" t="str">
        <x:v>N04｜Fouled-Membrane Decision: Clean, Add Area, or Replace Elements</x:v>
      </x:c>
      <x:c r="F2" s="6" t="str">
        <x:v>N04｜Fouled-Membrane Decision: Clean, Add Area, or Replace Elements</x:v>
      </x:c>
      <x:c r="G2" s="6" t="str">
        <x:v>N04｜Fouled-Membrane Decision: Clean, Add Area, or Replace Elements</x:v>
      </x:c>
      <x:c r="H2" s="6" t="str">
        <x:v>N04｜Fouled-Membrane Decision: Clean, Add Area, or Replace Elements</x:v>
      </x:c>
      <x:c r="I2" s="6" t="str">
        <x:v>N04｜Fouled-Membrane Decision: Clean, Add Area, or Replace Elements</x:v>
      </x:c>
      <x:c r="J2" s="6" t="str">
        <x:v>N04｜Fouled-Membrane Decision: Clean, Add Area, or Replace Elements</x:v>
      </x:c>
      <x:c r="K2" s="6" t="str">
        <x:v>N04｜Fouled-Membrane Decision: Clean, Add Area, or Replace Elements</x:v>
      </x:c>
      <x:c r="L2" s="6" t="str">
        <x:v>N04｜Fouled-Membrane Decision: Clean, Add Area, or Replace Elements</x:v>
      </x:c>
      <x:c r="M2" s="6" t="str">
        <x:v>N04｜Fouled-Membrane Decision: Clean, Add Area, or Replace Elements</x:v>
      </x:c>
      <x:c r="N2" s="6" t="str">
        <x:v>N04｜Fouled-Membrane Decision: Clean, Add Area, or Replace Elements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2" customHeight="1">
      <x:c r="A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B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C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D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E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F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G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H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I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J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K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L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M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N4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</x:row>
    <x:row r="5" ht="32" customHeight="1">
      <x:c r="A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B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C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D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E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F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G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H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I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J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K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L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M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N5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</x:row>
    <x:row r="6" ht="32" customHeight="1">
      <x:c r="A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B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C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D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E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F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G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H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I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J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K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L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M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  <x:c r="N6" s="9" t="str">
        <x:v>An SWRO unit at 62 bar suffers lower production and higher salt passage. Options are as-is operation, chemical cleaning that partly restores A, adding 10 m² of the same aged membrane, or installing new elements. Require at least 0.390 kg/s permeate water and at most 350 ppm NaCl. Use simulate_ro with both A and B, then use equilibrate_feed at the selected recovery to find the unique HCl dose.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1" t="str">
        <x:v>RO / whole-plant model inputs</x:v>
      </x:c>
      <x:c r="B8" s="11" t="str">
        <x:v>RO / whole-plant model inputs</x:v>
      </x:c>
      <x:c r="C8" s="11" t="str">
        <x:v>RO / whole-plant model inputs</x:v>
      </x:c>
      <x:c r="D8" s="11" t="str">
        <x:v>RO / whole-plant model inputs</x:v>
      </x:c>
      <x:c r="E8" s="11" t="str">
        <x:v>RO / whole-plant model inputs</x:v>
      </x:c>
      <x:c r="F8" s="11" t="str">
        <x:v>RO / whole-plant model inputs</x:v>
      </x:c>
      <x:c r="G8" s="2"/>
      <x:c r="H8" s="11" t="str">
        <x:v>Candidate designs and hard constraints</x:v>
      </x:c>
      <x:c r="I8" s="11" t="str">
        <x:v>Candidate designs and hard constraints</x:v>
      </x:c>
      <x:c r="J8" s="11" t="str">
        <x:v>Candidate designs and hard constraints</x:v>
      </x:c>
      <x:c r="K8" s="11" t="str">
        <x:v>Candidate designs and hard constraints</x:v>
      </x:c>
      <x:c r="L8" s="11" t="str">
        <x:v>Candidate designs and hard constraints</x:v>
      </x:c>
      <x:c r="M8" s="11" t="str">
        <x:v>Candidate designs and hard constraints</x:v>
      </x:c>
      <x:c r="N8" s="11" t="str">
        <x:v>Candidate designs and hard constraints</x:v>
      </x:c>
    </x:row>
    <x:row r="9" ht="31" customHeight="1">
      <x:c r="A9" s="16" t="str">
        <x:v>Parameter</x:v>
      </x:c>
      <x:c r="B9" s="16" t="str">
        <x:v>Value</x:v>
      </x:c>
      <x:c r="C9" s="16" t="str">
        <x:v>Unit</x:v>
      </x:c>
      <x:c r="D9" s="2"/>
      <x:c r="E9" s="2"/>
      <x:c r="F9" s="2"/>
      <x:c r="G9" s="2"/>
      <x:c r="H9" s="18" t="str">
        <x:v>1. As-is: A=3.0E−12, B=5.0E−8, 60m²</x:v>
      </x:c>
      <x:c r="I9" s="18" t="str">
        <x:v>1. As-is: A=3.0E−12, B=5.0E−8, 60m²</x:v>
      </x:c>
      <x:c r="J9" s="18" t="str">
        <x:v>1. As-is: A=3.0E−12, B=5.0E−8, 60m²</x:v>
      </x:c>
      <x:c r="K9" s="18" t="str">
        <x:v>1. As-is: A=3.0E−12, B=5.0E−8, 60m²</x:v>
      </x:c>
      <x:c r="L9" s="18" t="str">
        <x:v>1. As-is: A=3.0E−12, B=5.0E−8, 60m²</x:v>
      </x:c>
      <x:c r="M9" s="18" t="str">
        <x:v>1. As-is: A=3.0E−12, B=5.0E−8, 60m²</x:v>
      </x:c>
      <x:c r="N9" s="18" t="str">
        <x:v>1. As-is: A=3.0E−12, B=5.0E−8, 60m²</x:v>
      </x:c>
    </x:row>
    <x:row r="10" ht="31" customHeight="1">
      <x:c r="A10" s="18" t="str">
        <x:v>Feed flow</x:v>
      </x:c>
      <x:c r="B10" s="19" t="n">
        <x:v>1</x:v>
      </x:c>
      <x:c r="C10" s="18" t="str">
        <x:v>kg/s</x:v>
      </x:c>
      <x:c r="D10" s="2"/>
      <x:c r="E10" s="2"/>
      <x:c r="F10" s="2"/>
      <x:c r="G10" s="2"/>
      <x:c r="H10" s="18" t="str">
        <x:v>2. Clean: A=3.6E−12, B unchanged, 60m²</x:v>
      </x:c>
      <x:c r="I10" s="18" t="str">
        <x:v>2. Clean: A=3.6E−12, B unchanged, 60m²</x:v>
      </x:c>
      <x:c r="J10" s="18" t="str">
        <x:v>2. Clean: A=3.6E−12, B unchanged, 60m²</x:v>
      </x:c>
      <x:c r="K10" s="18" t="str">
        <x:v>2. Clean: A=3.6E−12, B unchanged, 60m²</x:v>
      </x:c>
      <x:c r="L10" s="18" t="str">
        <x:v>2. Clean: A=3.6E−12, B unchanged, 60m²</x:v>
      </x:c>
      <x:c r="M10" s="18" t="str">
        <x:v>2. Clean: A=3.6E−12, B unchanged, 60m²</x:v>
      </x:c>
      <x:c r="N10" s="18" t="str">
        <x:v>2. Clean: A=3.6E−12, B unchanged, 60m²</x:v>
      </x:c>
    </x:row>
    <x:row r="11" ht="31" customHeight="1">
      <x:c r="A11" s="18" t="str">
        <x:v>NaCl mass fraction</x:v>
      </x:c>
      <x:c r="B11" s="20" t="n">
        <x:v>0.032</x:v>
      </x:c>
      <x:c r="C11" s="18" t="str">
        <x:v>kg/kg</x:v>
      </x:c>
      <x:c r="D11" s="2"/>
      <x:c r="E11" s="2"/>
      <x:c r="F11" s="2"/>
      <x:c r="G11" s="2"/>
      <x:c r="H11" s="18" t="str">
        <x:v>3. Add area: aged A/B, 70m²</x:v>
      </x:c>
      <x:c r="I11" s="18" t="str">
        <x:v>3. Add area: aged A/B, 70m²</x:v>
      </x:c>
      <x:c r="J11" s="18" t="str">
        <x:v>3. Add area: aged A/B, 70m²</x:v>
      </x:c>
      <x:c r="K11" s="18" t="str">
        <x:v>3. Add area: aged A/B, 70m²</x:v>
      </x:c>
      <x:c r="L11" s="18" t="str">
        <x:v>3. Add area: aged A/B, 70m²</x:v>
      </x:c>
      <x:c r="M11" s="18" t="str">
        <x:v>3. Add area: aged A/B, 70m²</x:v>
      </x:c>
      <x:c r="N11" s="18" t="str">
        <x:v>3. Add area: aged A/B, 70m²</x:v>
      </x:c>
    </x:row>
    <x:row r="12" ht="31" customHeight="1">
      <x:c r="A12" s="18" t="str">
        <x:v>Pressure</x:v>
      </x:c>
      <x:c r="B12" s="19" t="n">
        <x:v>62</x:v>
      </x:c>
      <x:c r="C12" s="18" t="str">
        <x:v>bar</x:v>
      </x:c>
      <x:c r="D12" s="2"/>
      <x:c r="E12" s="2"/>
      <x:c r="F12" s="2"/>
      <x:c r="G12" s="2"/>
      <x:c r="H12" s="18" t="str">
        <x:v>4. Replace: A=4.2E−12, B=3.5E−8, 60m²</x:v>
      </x:c>
      <x:c r="I12" s="18" t="str">
        <x:v>4. Replace: A=4.2E−12, B=3.5E−8, 60m²</x:v>
      </x:c>
      <x:c r="J12" s="18" t="str">
        <x:v>4. Replace: A=4.2E−12, B=3.5E−8, 60m²</x:v>
      </x:c>
      <x:c r="K12" s="18" t="str">
        <x:v>4. Replace: A=4.2E−12, B=3.5E−8, 60m²</x:v>
      </x:c>
      <x:c r="L12" s="18" t="str">
        <x:v>4. Replace: A=4.2E−12, B=3.5E−8, 60m²</x:v>
      </x:c>
      <x:c r="M12" s="18" t="str">
        <x:v>4. Replace: A=4.2E−12, B=3.5E−8, 60m²</x:v>
      </x:c>
      <x:c r="N12" s="18" t="str">
        <x:v>4. Replace: A=4.2E−12, B=3.5E−8, 60m²</x:v>
      </x:c>
    </x:row>
    <x:row r="13" ht="31" customHeight="1">
      <x:c r="A13" s="18" t="str">
        <x:v>Temperature</x:v>
      </x:c>
      <x:c r="B13" s="19" t="n">
        <x:v>25</x:v>
      </x:c>
      <x:c r="C13" s="18" t="str">
        <x:v>°C</x:v>
      </x:c>
      <x:c r="D13" s="2"/>
      <x:c r="E13" s="2"/>
      <x:c r="F13" s="2"/>
      <x:c r="G13" s="2"/>
      <x:c r="H13" s="18" t="str">
        <x:v>5. HCl: 0/0.0015/0.0020/0.0025 mol/s; pH ≥6.10</x:v>
      </x:c>
      <x:c r="I13" s="18" t="str">
        <x:v>5. HCl: 0/0.0015/0.0020/0.0025 mol/s; pH ≥6.10</x:v>
      </x:c>
      <x:c r="J13" s="18" t="str">
        <x:v>5. HCl: 0/0.0015/0.0020/0.0025 mol/s; pH ≥6.10</x:v>
      </x:c>
      <x:c r="K13" s="18" t="str">
        <x:v>5. HCl: 0/0.0015/0.0020/0.0025 mol/s; pH ≥6.10</x:v>
      </x:c>
      <x:c r="L13" s="18" t="str">
        <x:v>5. HCl: 0/0.0015/0.0020/0.0025 mol/s; pH ≥6.10</x:v>
      </x:c>
      <x:c r="M13" s="18" t="str">
        <x:v>5. HCl: 0/0.0015/0.0020/0.0025 mol/s; pH ≥6.10</x:v>
      </x:c>
      <x:c r="N13" s="18" t="str">
        <x:v>5. HCl: 0/0.0015/0.0020/0.0025 mol/s; pH ≥6.10</x:v>
      </x:c>
    </x:row>
    <x:row r="14" ht="31" customHeight="1">
      <x:c r="A14" s="18" t="str">
        <x:v>Base area</x:v>
      </x:c>
      <x:c r="B14" s="19" t="n">
        <x:v>60</x:v>
      </x:c>
      <x:c r="C14" s="18" t="str">
        <x:v>m²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31" customHeight="1">
      <x:c r="A15" s="18" t="str">
        <x:v>Pressure drop</x:v>
      </x:c>
      <x:c r="B15" s="19" t="n">
        <x:v>3</x:v>
      </x:c>
      <x:c r="C15" s="18" t="str">
        <x:v>bar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1" customHeight="1">
      <x:c r="A16" s="18" t="str">
        <x:v>NaCl limit</x:v>
      </x:c>
      <x:c r="B16" s="19" t="n">
        <x:v>350</x:v>
      </x:c>
      <x:c r="C16" s="18" t="str">
        <x:v>ppm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31" customHeight="1">
      <x:c r="A20" s="11" t="str">
        <x:v>Ionic composition for equilibrate_feed</x:v>
      </x:c>
      <x:c r="B20" s="11" t="str">
        <x:v>Ionic composition for equilibrate_feed</x:v>
      </x:c>
      <x:c r="C20" s="11" t="str">
        <x:v>Ionic composition for equilibrate_feed</x:v>
      </x:c>
      <x:c r="D20" s="11" t="str">
        <x:v>Ionic composition for equilibrate_feed</x:v>
      </x:c>
      <x:c r="E20" s="11" t="str">
        <x:v>Ionic composition for equilibrate_feed</x:v>
      </x:c>
      <x:c r="F20" s="11" t="str">
        <x:v>Ionic composition for equilibrate_feed</x:v>
      </x:c>
      <x:c r="G20" s="2"/>
      <x:c r="H20" s="11" t="str">
        <x:v>Required tasks and scope</x:v>
      </x:c>
      <x:c r="I20" s="11" t="str">
        <x:v>Required tasks and scope</x:v>
      </x:c>
      <x:c r="J20" s="11" t="str">
        <x:v>Required tasks and scope</x:v>
      </x:c>
      <x:c r="K20" s="11" t="str">
        <x:v>Required tasks and scope</x:v>
      </x:c>
      <x:c r="L20" s="11" t="str">
        <x:v>Required tasks and scope</x:v>
      </x:c>
      <x:c r="M20" s="11" t="str">
        <x:v>Required tasks and scope</x:v>
      </x:c>
      <x:c r="N20" s="11" t="str">
        <x:v>Required tasks and scope</x:v>
      </x:c>
    </x:row>
    <x:row r="21" ht="31" customHeight="1">
      <x:c r="A21" s="16" t="str">
        <x:v>Species</x:v>
      </x:c>
      <x:c r="B21" s="16" t="str">
        <x:v>Flow mol/s</x:v>
      </x:c>
      <x:c r="C21" s="16" t="str">
        <x:v>Note</x:v>
      </x:c>
      <x:c r="D21" s="2"/>
      <x:c r="E21" s="2"/>
      <x:c r="F21" s="2"/>
      <x:c r="G21" s="2"/>
      <x:c r="H21" s="18" t="str">
        <x:v>1. Use simulate_ro for all candidates with non-target inputs fixed.</x:v>
      </x:c>
      <x:c r="I21" s="18" t="str">
        <x:v>1. Use simulate_ro for all candidates with non-target inputs fixed.</x:v>
      </x:c>
      <x:c r="J21" s="18" t="str">
        <x:v>1. Use simulate_ro for all candidates with non-target inputs fixed.</x:v>
      </x:c>
      <x:c r="K21" s="18" t="str">
        <x:v>1. Use simulate_ro for all candidates with non-target inputs fixed.</x:v>
      </x:c>
      <x:c r="L21" s="18" t="str">
        <x:v>1. Use simulate_ro for all candidates with non-target inputs fixed.</x:v>
      </x:c>
      <x:c r="M21" s="18" t="str">
        <x:v>1. Use simulate_ro for all candidates with non-target inputs fixed.</x:v>
      </x:c>
      <x:c r="N21" s="18" t="str">
        <x:v>1. Use simulate_ro for all candidates with non-target inputs fixed.</x:v>
      </x:c>
    </x:row>
    <x:row r="22" ht="31" customHeight="1">
      <x:c r="A22" s="18" t="str">
        <x:v>H2O</x:v>
      </x:c>
      <x:c r="B22" s="21" t="n">
        <x:v>55.5</x:v>
      </x:c>
      <x:c r="C22" s="18" t="str">
        <x:v>Model input</x:v>
      </x:c>
      <x:c r="D22" s="2"/>
      <x:c r="E22" s="2"/>
      <x:c r="F22" s="2"/>
      <x:c r="G22" s="2"/>
      <x:c r="H22" s="18" t="str">
        <x:v>2. Apply production and quality/energy constraints jointly, not one metric alone.</x:v>
      </x:c>
      <x:c r="I22" s="18" t="str">
        <x:v>2. Apply production and quality/energy constraints jointly, not one metric alone.</x:v>
      </x:c>
      <x:c r="J22" s="18" t="str">
        <x:v>2. Apply production and quality/energy constraints jointly, not one metric alone.</x:v>
      </x:c>
      <x:c r="K22" s="18" t="str">
        <x:v>2. Apply production and quality/energy constraints jointly, not one metric alone.</x:v>
      </x:c>
      <x:c r="L22" s="18" t="str">
        <x:v>2. Apply production and quality/energy constraints jointly, not one metric alone.</x:v>
      </x:c>
      <x:c r="M22" s="18" t="str">
        <x:v>2. Apply production and quality/energy constraints jointly, not one metric alone.</x:v>
      </x:c>
      <x:c r="N22" s="18" t="str">
        <x:v>2. Apply production and quality/energy constraints jointly, not one metric alone.</x:v>
      </x:c>
    </x:row>
    <x:row r="23" ht="31" customHeight="1">
      <x:c r="A23" s="18" t="str">
        <x:v>Na</x:v>
      </x:c>
      <x:c r="B23" s="21" t="n">
        <x:v>0.45</x:v>
      </x:c>
      <x:c r="C23" s="18" t="str">
        <x:v>Model input</x:v>
      </x:c>
      <x:c r="D23" s="2"/>
      <x:c r="E23" s="2"/>
      <x:c r="F23" s="2"/>
      <x:c r="G23" s="2"/>
      <x:c r="H23" s="18" t="str">
        <x:v>3. Pass actual candidate recovery into equilibrate_feed; do not substitute nominal recovery.</x:v>
      </x:c>
      <x:c r="I23" s="18" t="str">
        <x:v>3. Pass actual candidate recovery into equilibrate_feed; do not substitute nominal recovery.</x:v>
      </x:c>
      <x:c r="J23" s="18" t="str">
        <x:v>3. Pass actual candidate recovery into equilibrate_feed; do not substitute nominal recovery.</x:v>
      </x:c>
      <x:c r="K23" s="18" t="str">
        <x:v>3. Pass actual candidate recovery into equilibrate_feed; do not substitute nominal recovery.</x:v>
      </x:c>
      <x:c r="L23" s="18" t="str">
        <x:v>3. Pass actual candidate recovery into equilibrate_feed; do not substitute nominal recovery.</x:v>
      </x:c>
      <x:c r="M23" s="18" t="str">
        <x:v>3. Pass actual candidate recovery into equilibrate_feed; do not substitute nominal recovery.</x:v>
      </x:c>
      <x:c r="N23" s="18" t="str">
        <x:v>3. Pass actual candidate recovery into equilibrate_feed; do not substitute nominal recovery.</x:v>
      </x:c>
    </x:row>
    <x:row r="24" ht="31" customHeight="1">
      <x:c r="A24" s="18" t="str">
        <x:v>Cl</x:v>
      </x:c>
      <x:c r="B24" s="21" t="n">
        <x:v>0.505</x:v>
      </x:c>
      <x:c r="C24" s="18" t="str">
        <x:v>Model input</x:v>
      </x:c>
      <x:c r="D24" s="2"/>
      <x:c r="E24" s="2"/>
      <x:c r="F24" s="2"/>
      <x:c r="G24" s="2"/>
      <x:c r="H24" s="18" t="str">
        <x:v>4. Prove the boundary with adjacent fail/pass cases and state the stopping rule.</x:v>
      </x:c>
      <x:c r="I24" s="18" t="str">
        <x:v>4. Prove the boundary with adjacent fail/pass cases and state the stopping rule.</x:v>
      </x:c>
      <x:c r="J24" s="18" t="str">
        <x:v>4. Prove the boundary with adjacent fail/pass cases and state the stopping rule.</x:v>
      </x:c>
      <x:c r="K24" s="18" t="str">
        <x:v>4. Prove the boundary with adjacent fail/pass cases and state the stopping rule.</x:v>
      </x:c>
      <x:c r="L24" s="18" t="str">
        <x:v>4. Prove the boundary with adjacent fail/pass cases and state the stopping rule.</x:v>
      </x:c>
      <x:c r="M24" s="18" t="str">
        <x:v>4. Prove the boundary with adjacent fail/pass cases and state the stopping rule.</x:v>
      </x:c>
      <x:c r="N24" s="18" t="str">
        <x:v>4. Prove the boundary with adjacent fail/pass cases and state the stopping rule.</x:v>
      </x:c>
    </x:row>
    <x:row r="25" ht="31" customHeight="1">
      <x:c r="A25" s="18" t="str">
        <x:v>Mg</x:v>
      </x:c>
      <x:c r="B25" s="21" t="n">
        <x:v>0.04</x:v>
      </x:c>
      <x:c r="C25" s="18" t="str">
        <x:v>Model input</x:v>
      </x:c>
      <x:c r="D25" s="2"/>
      <x:c r="E25" s="2"/>
      <x:c r="F25" s="2"/>
      <x:c r="G25" s="2"/>
      <x:c r="H25" s="18" t="str">
        <x:v>5. Record key simulations, final conclusion, and omitted kinetics/fouling/control uncertainty.</x:v>
      </x:c>
      <x:c r="I25" s="18" t="str">
        <x:v>5. Record key simulations, final conclusion, and omitted kinetics/fouling/control uncertainty.</x:v>
      </x:c>
      <x:c r="J25" s="18" t="str">
        <x:v>5. Record key simulations, final conclusion, and omitted kinetics/fouling/control uncertainty.</x:v>
      </x:c>
      <x:c r="K25" s="18" t="str">
        <x:v>5. Record key simulations, final conclusion, and omitted kinetics/fouling/control uncertainty.</x:v>
      </x:c>
      <x:c r="L25" s="18" t="str">
        <x:v>5. Record key simulations, final conclusion, and omitted kinetics/fouling/control uncertainty.</x:v>
      </x:c>
      <x:c r="M25" s="18" t="str">
        <x:v>5. Record key simulations, final conclusion, and omitted kinetics/fouling/control uncertainty.</x:v>
      </x:c>
      <x:c r="N25" s="18" t="str">
        <x:v>5. Record key simulations, final conclusion, and omitted kinetics/fouling/control uncertainty.</x:v>
      </x:c>
    </x:row>
    <x:row r="26" ht="31" customHeight="1">
      <x:c r="A26" s="18" t="str">
        <x:v>SO4</x:v>
      </x:c>
      <x:c r="B26" s="21" t="n">
        <x:v>0.025</x:v>
      </x:c>
      <x:c r="C26" s="18" t="str">
        <x:v>Model input</x:v>
      </x:c>
      <x:c r="D26" s="2"/>
      <x:c r="E26" s="2"/>
      <x:c r="F26" s="2"/>
      <x:c r="G26" s="2"/>
      <x:c r="H26" s="18" t="str">
        <x:v>Moderate-alkalinity seawater; acid controls Calcite and Dolomite.</x:v>
      </x:c>
      <x:c r="I26" s="18" t="str">
        <x:v>Moderate-alkalinity seawater; acid controls Calcite and Dolomite.</x:v>
      </x:c>
      <x:c r="J26" s="18" t="str">
        <x:v>Moderate-alkalinity seawater; acid controls Calcite and Dolomite.</x:v>
      </x:c>
      <x:c r="K26" s="18" t="str">
        <x:v>Moderate-alkalinity seawater; acid controls Calcite and Dolomite.</x:v>
      </x:c>
      <x:c r="L26" s="18" t="str">
        <x:v>Moderate-alkalinity seawater; acid controls Calcite and Dolomite.</x:v>
      </x:c>
      <x:c r="M26" s="18" t="str">
        <x:v>Moderate-alkalinity seawater; acid controls Calcite and Dolomite.</x:v>
      </x:c>
      <x:c r="N26" s="18" t="str">
        <x:v>Moderate-alkalinity seawater; acid controls Calcite and Dolomite.</x:v>
      </x:c>
    </x:row>
    <x:row r="27" ht="31" customHeight="1">
      <x:c r="A27" s="18" t="str">
        <x:v>Ca</x:v>
      </x:c>
      <x:c r="B27" s="21" t="n">
        <x:v>0.015</x:v>
      </x:c>
      <x:c r="C27" s="18" t="str">
        <x:v>Model input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31" customHeight="1">
      <x:c r="A28" s="18" t="str">
        <x:v>HCO3</x:v>
      </x:c>
      <x:c r="B28" s="21" t="n">
        <x:v>0.005</x:v>
      </x:c>
      <x:c r="C28" s="18" t="str">
        <x:v>Model input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31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3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N2"/>
    <x:mergeCell ref="A4:N6"/>
    <x:mergeCell ref="A8:F8"/>
    <x:mergeCell ref="H8:N8"/>
    <x:mergeCell ref="H9:N9"/>
    <x:mergeCell ref="H10:N10"/>
    <x:mergeCell ref="H11:N11"/>
    <x:mergeCell ref="H12:N12"/>
    <x:mergeCell ref="H13:N13"/>
    <x:mergeCell ref="A20:F20"/>
    <x:mergeCell ref="H20:N20"/>
    <x:mergeCell ref="H21:N21"/>
    <x:mergeCell ref="H22:N22"/>
    <x:mergeCell ref="H23:N23"/>
    <x:mergeCell ref="H24:N24"/>
    <x:mergeCell ref="H25:N25"/>
    <x:mergeCell ref="H26:N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9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9" customHeight="1">
      <x:c r="A1" s="6" t="str">
        <x:v>N04｜Gold Answer</x:v>
      </x:c>
      <x:c r="B1" s="6" t="str">
        <x:v>N04｜Gold Answer</x:v>
      </x:c>
      <x:c r="C1" s="6" t="str">
        <x:v>N04｜Gold Answer</x:v>
      </x:c>
      <x:c r="D1" s="6" t="str">
        <x:v>N04｜Gold Answer</x:v>
      </x:c>
      <x:c r="E1" s="6" t="str">
        <x:v>N04｜Gold Answer</x:v>
      </x:c>
      <x:c r="F1" s="6" t="str">
        <x:v>N04｜Gold Answer</x:v>
      </x:c>
      <x:c r="G1" s="6" t="str">
        <x:v>N04｜Gold Answer</x:v>
      </x:c>
      <x:c r="H1" s="6" t="str">
        <x:v>N04｜Gold Answer</x:v>
      </x:c>
      <x:c r="I1" s="6" t="str">
        <x:v>N04｜Gold Answer</x:v>
      </x:c>
      <x:c r="J1" s="6" t="str">
        <x:v>N04｜Gold Answer</x:v>
      </x:c>
      <x:c r="K1" s="6" t="str">
        <x:v>N04｜Gold Answer</x:v>
      </x:c>
      <x:c r="L1" s="6" t="str">
        <x:v>N04｜Gold Answer</x:v>
      </x:c>
      <x:c r="M1" s="6" t="str">
        <x:v>N04｜Gold Answer</x:v>
      </x:c>
      <x:c r="N1" s="6" t="str">
        <x:v>N04｜Gold Answer</x:v>
      </x:c>
    </x:row>
    <x:row r="2" ht="29" customHeight="1">
      <x:c r="A2" s="6" t="str">
        <x:v>N04｜Gold Answer</x:v>
      </x:c>
      <x:c r="B2" s="6" t="str">
        <x:v>N04｜Gold Answer</x:v>
      </x:c>
      <x:c r="C2" s="6" t="str">
        <x:v>N04｜Gold Answer</x:v>
      </x:c>
      <x:c r="D2" s="6" t="str">
        <x:v>N04｜Gold Answer</x:v>
      </x:c>
      <x:c r="E2" s="6" t="str">
        <x:v>N04｜Gold Answer</x:v>
      </x:c>
      <x:c r="F2" s="6" t="str">
        <x:v>N04｜Gold Answer</x:v>
      </x:c>
      <x:c r="G2" s="6" t="str">
        <x:v>N04｜Gold Answer</x:v>
      </x:c>
      <x:c r="H2" s="6" t="str">
        <x:v>N04｜Gold Answer</x:v>
      </x:c>
      <x:c r="I2" s="6" t="str">
        <x:v>N04｜Gold Answer</x:v>
      </x:c>
      <x:c r="J2" s="6" t="str">
        <x:v>N04｜Gold Answer</x:v>
      </x:c>
      <x:c r="K2" s="6" t="str">
        <x:v>N04｜Gold Answer</x:v>
      </x:c>
      <x:c r="L2" s="6" t="str">
        <x:v>N04｜Gold Answer</x:v>
      </x:c>
      <x:c r="M2" s="6" t="str">
        <x:v>N04｜Gold Answer</x:v>
      </x:c>
      <x:c r="N2" s="6" t="str">
        <x:v>N04｜Gold Answer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B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C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D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E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F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G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H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I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J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K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L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M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N4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</x:row>
    <x:row r="5">
      <x:c r="A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B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C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D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E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F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G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H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I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J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K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L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M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N5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</x:row>
    <x:row r="6">
      <x:c r="A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B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C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D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E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F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G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H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I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J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K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L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M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N6" s="24" t="str">
        <x:v>Recommend new membrane elements plus 0.0020 mol/s HCl. Permeate water is 0.42060 kg/s, NaCl 263.33 ppm, recovery 43.0858%; all SIs are below zero and pH is 6.209. Dose is about 262.51 g/h pure HCl or 0.7364 L/h of 31 wt% acid.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1" t="str">
        <x:v>Step 1｜simulate_ro</x:v>
      </x:c>
      <x:c r="B8" s="11" t="str">
        <x:v>Step 1｜simulate_ro</x:v>
      </x:c>
      <x:c r="C8" s="11" t="str">
        <x:v>Step 1｜simulate_ro</x:v>
      </x:c>
      <x:c r="D8" s="11" t="str">
        <x:v>Step 1｜simulate_ro</x:v>
      </x:c>
      <x:c r="E8" s="11" t="str">
        <x:v>Step 1｜simulate_ro</x:v>
      </x:c>
      <x:c r="F8" s="11" t="str">
        <x:v>Step 1｜simulate_ro</x:v>
      </x:c>
      <x:c r="G8" s="11" t="str">
        <x:v>Step 1｜simulate_ro</x:v>
      </x:c>
      <x:c r="H8" s="11" t="str">
        <x:v>Step 1｜simulate_ro</x:v>
      </x:c>
      <x:c r="I8" s="2"/>
      <x:c r="J8" s="2"/>
      <x:c r="K8" s="2"/>
      <x:c r="L8" s="2"/>
      <x:c r="M8" s="2"/>
      <x:c r="N8" s="2"/>
    </x:row>
    <x:row r="9">
      <x:c r="A9" s="16" t="str">
        <x:v>Option</x:v>
      </x:c>
      <x:c r="B9" s="16" t="str">
        <x:v>A/B or area</x:v>
      </x:c>
      <x:c r="C9" s="16" t="str">
        <x:v>Permeate water kg/s</x:v>
      </x:c>
      <x:c r="D9" s="16" t="str">
        <x:v>NaCl ppm</x:v>
      </x:c>
      <x:c r="E9" s="16" t="str">
        <x:v>Recovery %</x:v>
      </x:c>
      <x:c r="F9" s="16" t="str">
        <x:v>Flux LMH</x:v>
      </x:c>
      <x:c r="G9" s="16" t="str">
        <x:v>Brine NaCl g/L</x:v>
      </x:c>
      <x:c r="H9" s="16" t="str">
        <x:v>Decision</x:v>
      </x:c>
      <x:c r="I9" s="2"/>
      <x:c r="J9" s="2" t="str">
        <x:v>Candidate</x:v>
      </x:c>
      <x:c r="K9" s="2" t="str">
        <x:v>Production</x:v>
      </x:c>
      <x:c r="L9" s="2" t="str">
        <x:v>Target</x:v>
      </x:c>
      <x:c r="M9" s="2"/>
      <x:c r="N9" s="2"/>
    </x:row>
    <x:row r="10" ht="38" customHeight="1">
      <x:c r="A10" s="18" t="str">
        <x:v>维持现状</x:v>
      </x:c>
      <x:c r="B10" s="18" t="str">
        <x:v>A3.0/B5.0;60m²</x:v>
      </x:c>
      <x:c r="C10" s="20" t="n">
        <x:v>0.3628608876</x:v>
      </x:c>
      <x:c r="D10" s="20" t="n">
        <x:v>402.2184963</x:v>
      </x:c>
      <x:c r="E10" s="20" t="n">
        <x:v>37.17192891</x:v>
      </x:c>
      <x:c r="F10" s="20" t="n">
        <x:v>21.77165325</x:v>
      </x:c>
      <x:c r="G10" s="20" t="n">
        <x:v>51.64728876</x:v>
      </x:c>
      <x:c r="H10" s="18" t="str">
        <x:v>Flow and salinity fail</x:v>
      </x:c>
      <x:c r="I10" s="2"/>
      <x:c r="J10" s="2" t="str">
        <x:f>A10</x:f>
        <x:v>维持现状</x:v>
      </x:c>
      <x:c r="K10" s="2" t="n">
        <x:f>C10</x:f>
        <x:v>0.3628608876</x:v>
      </x:c>
      <x:c r="L10" s="2" t="n">
        <x:f>0.39</x:f>
        <x:v>0.39</x:v>
      </x:c>
      <x:c r="M10" s="2"/>
      <x:c r="N10" s="2"/>
    </x:row>
    <x:row r="11" ht="38" customHeight="1">
      <x:c r="A11" s="18" t="str">
        <x:v>化学清洗</x:v>
      </x:c>
      <x:c r="B11" s="18" t="str">
        <x:v>A3.6/B5.0;60m²</x:v>
      </x:c>
      <x:c r="C11" s="20" t="n">
        <x:v>0.3956592628</x:v>
      </x:c>
      <x:c r="D11" s="20" t="n">
        <x:v>385.2994672</x:v>
      </x:c>
      <x:c r="E11" s="20" t="n">
        <x:v>40.53167087</x:v>
      </x:c>
      <x:c r="F11" s="20" t="n">
        <x:v>23.73955577</x:v>
      </x:c>
      <x:c r="G11" s="20" t="n">
        <x:v>54.54818067</x:v>
      </x:c>
      <x:c r="H11" s="18" t="str">
        <x:v>Flow passes, salinity fails</x:v>
      </x:c>
      <x:c r="I11" s="2"/>
      <x:c r="J11" s="2" t="str">
        <x:f>A11</x:f>
        <x:v>化学清洗</x:v>
      </x:c>
      <x:c r="K11" s="2" t="n">
        <x:f>C11</x:f>
        <x:v>0.3956592628</x:v>
      </x:c>
      <x:c r="L11" s="2" t="n">
        <x:f>0.39</x:f>
        <x:v>0.39</x:v>
      </x:c>
      <x:c r="M11" s="2"/>
      <x:c r="N11" s="2"/>
    </x:row>
    <x:row r="12" ht="38" customHeight="1">
      <x:c r="A12" s="18" t="str">
        <x:v>增加旧膜</x:v>
      </x:c>
      <x:c r="B12" s="18" t="str">
        <x:v>A3.0/B5.0;70m²</x:v>
      </x:c>
      <x:c r="C12" s="20" t="n">
        <x:v>0.3977321039</x:v>
      </x:c>
      <x:c r="D12" s="20" t="n">
        <x:v>440.5656038</x:v>
      </x:c>
      <x:c r="E12" s="20" t="n">
        <x:v>40.74455681</x:v>
      </x:c>
      <x:c r="F12" s="20" t="n">
        <x:v>20.45479391</x:v>
      </x:c>
      <x:c r="G12" s="20" t="n">
        <x:v>54.70467427</x:v>
      </x:c>
      <x:c r="H12" s="18" t="str">
        <x:v>Flow passes, salinity worsens</x:v>
      </x:c>
      <x:c r="I12" s="2"/>
      <x:c r="J12" s="2" t="str">
        <x:f>A12</x:f>
        <x:v>增加旧膜</x:v>
      </x:c>
      <x:c r="K12" s="2" t="n">
        <x:f>C12</x:f>
        <x:v>0.3977321039</x:v>
      </x:c>
      <x:c r="L12" s="2" t="n">
        <x:f>0.39</x:f>
        <x:v>0.39</x:v>
      </x:c>
      <x:c r="M12" s="2"/>
      <x:c r="N12" s="2"/>
    </x:row>
    <x:row r="13" ht="38" customHeight="1">
      <x:c r="A13" s="25" t="str">
        <x:v>更换新膜</x:v>
      </x:c>
      <x:c r="B13" s="25" t="str">
        <x:v>A4.2/B3.5;60m²</x:v>
      </x:c>
      <x:c r="C13" s="26" t="n">
        <x:v>0.4206042253</x:v>
      </x:c>
      <x:c r="D13" s="26" t="n">
        <x:v>263.3280774</x:v>
      </x:c>
      <x:c r="E13" s="26" t="n">
        <x:v>43.08578898</x:v>
      </x:c>
      <x:c r="F13" s="26" t="n">
        <x:v>25.23625352</x:v>
      </x:c>
      <x:c r="G13" s="26" t="n">
        <x:v>57.06501939</x:v>
      </x:c>
      <x:c r="H13" s="25" t="str">
        <x:v>Unique dual pass / select</x:v>
      </x:c>
      <x:c r="I13" s="2"/>
      <x:c r="J13" s="2" t="str">
        <x:f>A13</x:f>
        <x:v>更换新膜</x:v>
      </x:c>
      <x:c r="K13" s="2" t="n">
        <x:f>C13</x:f>
        <x:v>0.4206042253</x:v>
      </x:c>
      <x:c r="L13" s="2" t="n">
        <x:f>0.39</x:f>
        <x:v>0.39</x:v>
      </x:c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1" t="str">
        <x:v>Step 2｜equilibrate_feed</x:v>
      </x:c>
      <x:c r="B17" s="11" t="str">
        <x:v>Step 2｜equilibrate_feed</x:v>
      </x:c>
      <x:c r="C17" s="11" t="str">
        <x:v>Step 2｜equilibrate_feed</x:v>
      </x:c>
      <x:c r="D17" s="11" t="str">
        <x:v>Step 2｜equilibrate_feed</x:v>
      </x:c>
      <x:c r="E17" s="11" t="str">
        <x:v>Step 2｜equilibrate_feed</x:v>
      </x:c>
      <x:c r="F17" s="11" t="str">
        <x:v>Step 2｜equilibrate_feed</x:v>
      </x:c>
      <x:c r="G17" s="11" t="str">
        <x:v>Step 2｜equilibrate_feed</x:v>
      </x:c>
      <x:c r="H17" s="11" t="str">
        <x:v>Step 2｜equilibrate_feed</x:v>
      </x:c>
      <x:c r="I17" s="11" t="str">
        <x:v>Step 2｜equilibrate_feed</x:v>
      </x:c>
      <x:c r="J17" s="2"/>
      <x:c r="K17" s="2"/>
      <x:c r="L17" s="2"/>
      <x:c r="M17" s="2"/>
      <x:c r="N17" s="2"/>
    </x:row>
    <x:row r="18">
      <x:c r="A18" s="16" t="str">
        <x:v>Acid case</x:v>
      </x:c>
      <x:c r="B18" s="16" t="str">
        <x:v>HCl mol/s</x:v>
      </x:c>
      <x:c r="C18" s="16" t="str">
        <x:v>—</x:v>
      </x:c>
      <x:c r="D18" s="16" t="str">
        <x:v>Calcite SI</x:v>
      </x:c>
      <x:c r="E18" s="16" t="str">
        <x:v>Dolomite SI</x:v>
      </x:c>
      <x:c r="F18" s="16" t="str">
        <x:v>Gypsum SI</x:v>
      </x:c>
      <x:c r="G18" s="16" t="str">
        <x:v>—</x:v>
      </x:c>
      <x:c r="H18" s="16" t="str">
        <x:v>pH</x:v>
      </x:c>
      <x:c r="I18" s="16" t="str">
        <x:v>Decision</x:v>
      </x:c>
      <x:c r="J18" s="2"/>
      <x:c r="K18" s="2"/>
      <x:c r="L18" s="2"/>
      <x:c r="M18" s="2"/>
      <x:c r="N18" s="2"/>
    </x:row>
    <x:row r="19" ht="39" customHeight="1">
      <x:c r="A19" s="18" t="str">
        <x:v>No acid</x:v>
      </x:c>
      <x:c r="B19" s="20" t="n">
        <x:v>0</x:v>
      </x:c>
      <x:c r="C19" s="27"/>
      <x:c r="D19" s="20" t="n">
        <x:v>0.8551550101</x:v>
      </x:c>
      <x:c r="E19" s="20" t="n">
        <x:v>2.448302938</x:v>
      </x:c>
      <x:c r="F19" s="20" t="n">
        <x:v>-0.2746005427</x:v>
      </x:c>
      <x:c r="G19" s="20"/>
      <x:c r="H19" s="20" t="n">
        <x:v>7.407385058</x:v>
      </x:c>
      <x:c r="I19" s="18" t="str">
        <x:v>Carbonate scaling</x:v>
      </x:c>
      <x:c r="J19" s="2"/>
      <x:c r="K19" s="2"/>
      <x:c r="L19" s="2"/>
      <x:c r="M19" s="2"/>
      <x:c r="N19" s="2"/>
    </x:row>
    <x:row r="20" ht="39" customHeight="1">
      <x:c r="A20" s="18" t="str">
        <x:v>HCl 0.0015</x:v>
      </x:c>
      <x:c r="B20" s="20" t="n">
        <x:v>0.0015</x:v>
      </x:c>
      <x:c r="C20" s="27"/>
      <x:c r="D20" s="20" t="n">
        <x:v>-0.3045914761</x:v>
      </x:c>
      <x:c r="E20" s="20" t="n">
        <x:v>0.1309087824</x:v>
      </x:c>
      <x:c r="F20" s="20" t="n">
        <x:v>-0.274689357</x:v>
      </x:c>
      <x:c r="G20" s="20"/>
      <x:c r="H20" s="20" t="n">
        <x:v>6.393282469</x:v>
      </x:c>
      <x:c r="I20" s="18" t="str">
        <x:v>Dolomite still supersaturated</x:v>
      </x:c>
      <x:c r="J20" s="2"/>
      <x:c r="K20" s="2"/>
      <x:c r="L20" s="2"/>
      <x:c r="M20" s="2"/>
      <x:c r="N20" s="2"/>
    </x:row>
    <x:row r="21" ht="39" customHeight="1">
      <x:c r="A21" s="25" t="str">
        <x:v>HCl 0.0020</x:v>
      </x:c>
      <x:c r="B21" s="26" t="n">
        <x:v>0.002</x:v>
      </x:c>
      <x:c r="C21" s="28"/>
      <x:c r="D21" s="26" t="n">
        <x:v>-0.5581766897</x:v>
      </x:c>
      <x:c r="E21" s="26" t="n">
        <x:v>-0.3756235063</x:v>
      </x:c>
      <x:c r="F21" s="26" t="n">
        <x:v>-0.2747523127</x:v>
      </x:c>
      <x:c r="G21" s="26"/>
      <x:c r="H21" s="26" t="n">
        <x:v>6.209052107</x:v>
      </x:c>
      <x:c r="I21" s="25" t="str">
        <x:v>Unique passing point / recommend</x:v>
      </x:c>
      <x:c r="J21" s="2"/>
      <x:c r="K21" s="2"/>
      <x:c r="L21" s="2"/>
      <x:c r="M21" s="2"/>
      <x:c r="N21" s="2"/>
    </x:row>
    <x:row r="22" ht="39" customHeight="1">
      <x:c r="A22" s="18" t="str">
        <x:v>HCl 0.0025</x:v>
      </x:c>
      <x:c r="B22" s="20" t="n">
        <x:v>0.0025</x:v>
      </x:c>
      <x:c r="C22" s="27"/>
      <x:c r="D22" s="20" t="n">
        <x:v>-0.8149207878</x:v>
      </x:c>
      <x:c r="E22" s="20" t="n">
        <x:v>-0.8884765774</x:v>
      </x:c>
      <x:c r="F22" s="20" t="n">
        <x:v>-0.2748172005</x:v>
      </x:c>
      <x:c r="G22" s="20"/>
      <x:c r="H22" s="20" t="n">
        <x:v>6.035248505</x:v>
      </x:c>
      <x:c r="I22" s="18" t="str">
        <x:v>pH below 6.10</x:v>
      </x:c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11" t="str">
        <x:v>Engineering calculations</x:v>
      </x:c>
      <x:c r="B25" s="11" t="str">
        <x:v>Engineering calculations</x:v>
      </x:c>
      <x:c r="C25" s="11" t="str">
        <x:v>Engineering calculations</x:v>
      </x:c>
      <x:c r="D25" s="2"/>
      <x:c r="E25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F25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G25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H25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I25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J25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K25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L25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M25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N25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</x:row>
    <x:row r="26">
      <x:c r="A26" s="16" t="str">
        <x:v>Metric</x:v>
      </x:c>
      <x:c r="B26" s="16" t="str">
        <x:v>Formula</x:v>
      </x:c>
      <x:c r="C26" s="16" t="str">
        <x:v>Result</x:v>
      </x:c>
      <x:c r="D26" s="2"/>
      <x:c r="E26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F26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G26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H26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I26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J26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K26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L26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M26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N26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</x:row>
    <x:row r="27">
      <x:c r="A27" s="18" t="str">
        <x:v>Daily permeate</x:v>
      </x:c>
      <x:c r="B27" s="18" t="str">
        <x:v>=C13*86400/1000</x:v>
      </x:c>
      <x:c r="C27" s="20" t="n">
        <x:f>C13*86400/1000</x:f>
        <x:v>36.34020506592</x:v>
      </x:c>
      <x:c r="D27" s="2"/>
      <x:c r="E27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F27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G27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H27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I27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J27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K27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L27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M27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N27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</x:row>
    <x:row r="28">
      <x:c r="A28" s="18" t="str">
        <x:v>Selected recovery</x:v>
      </x:c>
      <x:c r="B28" s="18" t="str">
        <x:v>=E13/100</x:v>
      </x:c>
      <x:c r="C28" s="20" t="n">
        <x:f>E13/100</x:f>
        <x:v>0.43085788979999995</x:v>
      </x:c>
      <x:c r="D28" s="2"/>
      <x:c r="E28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F28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G28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H28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I28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J28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K28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L28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M28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N28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</x:row>
    <x:row r="29">
      <x:c r="A29" s="18" t="str">
        <x:v>Pure HCl</x:v>
      </x:c>
      <x:c r="B29" s="18" t="str">
        <x:v>=B21*36.46*3600</x:v>
      </x:c>
      <x:c r="C29" s="20" t="n">
        <x:f>B21*36.46*3600</x:f>
        <x:v>262.512</x:v>
      </x:c>
      <x:c r="D29" s="2"/>
      <x:c r="E29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F29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G29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H29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I29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J29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K29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L29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M29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N29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</x:row>
    <x:row r="30">
      <x:c r="A30" s="18" t="str">
        <x:v>31 wt% acid</x:v>
      </x:c>
      <x:c r="B30" s="18" t="str">
        <x:v>=C29/1000/0.31/1.15</x:v>
      </x:c>
      <x:c r="C30" s="20" t="n">
        <x:f>C29/1000/0.31/1.15</x:f>
        <x:v>0.7363590462833101</x:v>
      </x:c>
      <x:c r="D30" s="2"/>
      <x:c r="E30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F30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G30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H30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I30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J30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K30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L30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M30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  <x:c r="N30" s="24" t="str">
        <x:v>Boundary evidence
Cleaning and extra aged area exceed 0.390 kg/s but produce 385.30 and 440.57 ppm. Only replacement passes both. Dolomite SI changes from +0.13091 at 0.0015 mol/s to −0.37562 at 0.0020, while 0.0025 gives pH 6.035.
Final conclusion
Recommend new membrane elements plus 0.0020 mol/s HCl. Permeate water is 0.42060 kg/s, NaCl 263.33 ppm, recovery 43.0858%; all SIs are below zero and pH is 6.209. Dose is about 262.51 g/h pure HCl or 0.7364 L/h of 31 wt% acid.</x:v>
      </x:c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11" t="str">
        <x:v>Model boundary and reproducibility</x:v>
      </x:c>
      <x:c r="B33" s="11" t="str">
        <x:v>Model boundary and reproducibility</x:v>
      </x:c>
      <x:c r="C33" s="11" t="str">
        <x:v>Model boundary and reproducibility</x:v>
      </x:c>
      <x:c r="D33" s="11" t="str">
        <x:v>Model boundary and reproducibility</x:v>
      </x:c>
      <x:c r="E33" s="11" t="str">
        <x:v>Model boundary and reproducibility</x:v>
      </x:c>
      <x:c r="F33" s="11" t="str">
        <x:v>Model boundary and reproducibility</x:v>
      </x:c>
      <x:c r="G33" s="11" t="str">
        <x:v>Model boundary and reproducibility</x:v>
      </x:c>
      <x:c r="H33" s="11" t="str">
        <x:v>Model boundary and reproducibility</x:v>
      </x:c>
      <x:c r="I33" s="11" t="str">
        <x:v>Model boundary and reproducibility</x:v>
      </x:c>
      <x:c r="J33" s="11" t="str">
        <x:v>Model boundary and reproducibility</x:v>
      </x:c>
      <x:c r="K33" s="11" t="str">
        <x:v>Model boundary and reproducibility</x:v>
      </x:c>
      <x:c r="L33" s="11" t="str">
        <x:v>Model boundary and reproducibility</x:v>
      </x:c>
      <x:c r="M33" s="11" t="str">
        <x:v>Model boundary and reproducibility</x:v>
      </x:c>
      <x:c r="N33" s="11" t="str">
        <x:v>Model boundary and reproducibility</x:v>
      </x:c>
    </x:row>
    <x:row r="34" ht="28" customHeight="1">
      <x:c r="A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5" ht="28" customHeight="1">
      <x:c r="A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6" ht="28" customHeight="1">
      <x:c r="A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7" ht="28" customHeight="1">
      <x:c r="A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N2"/>
    <x:mergeCell ref="A4:N6"/>
    <x:mergeCell ref="A8:H8"/>
    <x:mergeCell ref="A17:I17"/>
    <x:mergeCell ref="A25:C25"/>
    <x:mergeCell ref="E25:N30"/>
    <x:mergeCell ref="A33:N33"/>
    <x:mergeCell ref="A34:N37"/>
  </x:mergeCells>
  <x:pageMargins left="0.7" right="0.7" top="0.75" bottom="0.75" header="0.3" footer="0.3"/>
  <x:drawing xmlns:r="http://schemas.openxmlformats.org/officeDocument/2006/relationships" r:id="R7ab0c8aa4a8e4f8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53" hidden="0" customWidth="1"/>
    <x:col min="4" max="4" width="43" hidden="0" customWidth="1"/>
    <x:col min="5" max="5" width="43" hidden="0" customWidth="1"/>
    <x:col min="6" max="6" width="12" hidden="0" customWidth="1"/>
    <x:col min="7" max="7" width="12" hidden="0" customWidth="1"/>
  </x:cols>
  <x:sheetData>
    <x:row r="1" ht="29" customHeight="1">
      <x:c r="A1" s="6" t="str">
        <x:v>N04｜Trajectory Rubric (100 points)</x:v>
      </x:c>
      <x:c r="B1" s="6" t="str">
        <x:v>N04｜Trajectory Rubric (100 points)</x:v>
      </x:c>
      <x:c r="C1" s="6" t="str">
        <x:v>N04｜Trajectory Rubric (100 points)</x:v>
      </x:c>
      <x:c r="D1" s="6" t="str">
        <x:v>N04｜Trajectory Rubric (100 points)</x:v>
      </x:c>
      <x:c r="E1" s="6" t="str">
        <x:v>N04｜Trajectory Rubric (100 points)</x:v>
      </x:c>
      <x:c r="F1" s="6" t="str">
        <x:v>N04｜Trajectory Rubric (100 points)</x:v>
      </x:c>
      <x:c r="G1" s="6" t="str">
        <x:v>N04｜Trajectory Rubric (100 points)</x:v>
      </x:c>
      <x:c r="H1" s="2"/>
      <x:c r="I1" s="2"/>
      <x:c r="J1" s="2"/>
      <x:c r="K1" s="2"/>
      <x:c r="L1" s="2"/>
      <x:c r="M1" s="2"/>
      <x:c r="N1" s="2"/>
    </x:row>
    <x:row r="2" ht="29" customHeight="1">
      <x:c r="A2" s="6" t="str">
        <x:v>N04｜Trajectory Rubric (100 points)</x:v>
      </x:c>
      <x:c r="B2" s="6" t="str">
        <x:v>N04｜Trajectory Rubric (100 points)</x:v>
      </x:c>
      <x:c r="C2" s="6" t="str">
        <x:v>N04｜Trajectory Rubric (100 points)</x:v>
      </x:c>
      <x:c r="D2" s="6" t="str">
        <x:v>N04｜Trajectory Rubric (100 points)</x:v>
      </x:c>
      <x:c r="E2" s="6" t="str">
        <x:v>N04｜Trajectory Rubric (100 points)</x:v>
      </x:c>
      <x:c r="F2" s="6" t="str">
        <x:v>N04｜Trajectory Rubric (100 points)</x:v>
      </x:c>
      <x:c r="G2" s="6" t="str">
        <x:v>N04｜Trajectory Rubric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6" t="str">
        <x:v>Dimension</x:v>
      </x:c>
      <x:c r="B8" s="16" t="str">
        <x:v>Focus</x:v>
      </x:c>
      <x:c r="C8" s="16" t="str">
        <x:v>Full credit</x:v>
      </x:c>
      <x:c r="D8" s="16" t="str">
        <x:v>Partial credit</x:v>
      </x:c>
      <x:c r="E8" s="16" t="str">
        <x:v>Critical failure</x:v>
      </x:c>
      <x:c r="F8" s="16" t="str">
        <x:v>Weight</x:v>
      </x:c>
      <x:c r="G8" s="16" t="str">
        <x:v>Score</x:v>
      </x:c>
      <x:c r="H8" s="2"/>
      <x:c r="I8" s="2"/>
      <x:c r="J8" s="2"/>
      <x:c r="K8" s="2"/>
      <x:c r="L8" s="2"/>
      <x:c r="M8" s="2"/>
      <x:c r="N8" s="2"/>
    </x:row>
    <x:row r="9" ht="80" customHeight="1">
      <x:c r="A9" s="18" t="str">
        <x:v>TQ1 Problem representation</x:v>
      </x:c>
      <x:c r="B9" s="18" t="str">
        <x:v>Recognize production and second constraint</x:v>
      </x:c>
      <x:c r="C9" s="18" t="str">
        <x:v>Correctly represent: Clean: A=3.6E−12, B unchanged, 60m²</x:v>
      </x:c>
      <x:c r="D9" s="18" t="str">
        <x:v>Main goal correct but one constraint missing</x:v>
      </x:c>
      <x:c r="E9" s="18" t="str">
        <x:v>Select on production or SI alone</x:v>
      </x:c>
      <x:c r="F9" s="18" t="n">
        <x:v>15</x:v>
      </x:c>
      <x:c r="G9" s="18"/>
      <x:c r="H9" s="2"/>
      <x:c r="I9" s="2"/>
      <x:c r="J9" s="2"/>
      <x:c r="K9" s="2"/>
      <x:c r="L9" s="2"/>
      <x:c r="M9" s="2"/>
      <x:c r="N9" s="2"/>
    </x:row>
    <x:row r="10" ht="80" customHeight="1">
      <x:c r="A10" s="18" t="str">
        <x:v>TQ2 Tool choice</x:v>
      </x:c>
      <x:c r="B10" s="18" t="str">
        <x:v>Use simulate_ro and equilibrate_feed correctly</x:v>
      </x:c>
      <x:c r="C10" s="18" t="str">
        <x:v>Clear model roles and correct units</x:v>
      </x:c>
      <x:c r="D10" s="18" t="str">
        <x:v>Right tools but incomplete unit/metadata basis</x:v>
      </x:c>
      <x:c r="E10" s="18" t="str">
        <x:v>Wrong module/plant tool or one tool only</x:v>
      </x:c>
      <x:c r="F10" s="18" t="n">
        <x:v>15</x:v>
      </x:c>
      <x:c r="G10" s="18"/>
      <x:c r="H10" s="2"/>
      <x:c r="I10" s="2"/>
      <x:c r="J10" s="2"/>
      <x:c r="K10" s="2"/>
      <x:c r="L10" s="2"/>
      <x:c r="M10" s="2"/>
      <x:c r="N10" s="2"/>
    </x:row>
    <x:row r="11" ht="80" customHeight="1">
      <x:c r="A11" s="18" t="str">
        <x:v>TQ3 Controlled comparison</x:v>
      </x:c>
      <x:c r="B11" s="18" t="str">
        <x:v>Hold non-target inputs fixed</x:v>
      </x:c>
      <x:c r="C11" s="18" t="str">
        <x:v>Only stated design variables change</x:v>
      </x:c>
      <x:c r="D11" s="18" t="str">
        <x:v>Minor non-controlling difference</x:v>
      </x:c>
      <x:c r="E11" s="18" t="str">
        <x:v>Change salinity, temperature, or composition across candidates</x:v>
      </x:c>
      <x:c r="F11" s="18" t="n">
        <x:v>15</x:v>
      </x:c>
      <x:c r="G11" s="18"/>
      <x:c r="H11" s="2"/>
      <x:c r="I11" s="2"/>
      <x:c r="J11" s="2"/>
      <x:c r="K11" s="2"/>
      <x:c r="L11" s="2"/>
      <x:c r="M11" s="2"/>
      <x:c r="N11" s="2"/>
    </x:row>
    <x:row r="12" ht="80" customHeight="1">
      <x:c r="A12" s="18" t="str">
        <x:v>TQ4 Cross-model coupling</x:v>
      </x:c>
      <x:c r="B12" s="18" t="str">
        <x:v>Pass actual recovery</x:v>
      </x:c>
      <x:c r="C12" s="18" t="str">
        <x:v>Selected and necessary boundary cases use actual simulate_ro recovery</x:v>
      </x:c>
      <x:c r="D12" s="18" t="str">
        <x:v>Rounding only</x:v>
      </x:c>
      <x:c r="E12" s="18" t="str">
        <x:v>Use nominal or target recovery</x:v>
      </x:c>
      <x:c r="F12" s="18" t="n">
        <x:v>20</x:v>
      </x:c>
      <x:c r="G12" s="18"/>
      <x:c r="H12" s="2"/>
      <x:c r="I12" s="2"/>
      <x:c r="J12" s="2"/>
      <x:c r="K12" s="2"/>
      <x:c r="L12" s="2"/>
      <x:c r="M12" s="2"/>
      <x:c r="N12" s="2"/>
    </x:row>
    <x:row r="13" ht="80" customHeight="1">
      <x:c r="A13" s="18" t="str">
        <x:v>TQ5 Boundary proof</x:v>
      </x:c>
      <x:c r="B13" s="18" t="str">
        <x:v>Adjacent fail/pass evidence</x:v>
      </x:c>
      <x:c r="C13" s="18" t="str">
        <x:v>Cleaning and extra aged area exceed 0.390 kg/s but produce 385.30 and 440.57 ppm. Only replacement passes both. Dolomite SI changes from +0.13091 at 0.0015 mol/s to −0.37562 at 0.0020, while 0.0025 gives pH 6.035.</x:v>
      </x:c>
      <x:c r="D13" s="18" t="str">
        <x:v>Right answer but one boundary missing</x:v>
      </x:c>
      <x:c r="E13" s="18" t="str">
        <x:v>Report selected point only</x:v>
      </x:c>
      <x:c r="F13" s="18" t="n">
        <x:v>20</x:v>
      </x:c>
      <x:c r="G13" s="18"/>
      <x:c r="H13" s="2"/>
      <x:c r="I13" s="2"/>
      <x:c r="J13" s="2"/>
      <x:c r="K13" s="2"/>
      <x:c r="L13" s="2"/>
      <x:c r="M13" s="2"/>
      <x:c r="N13" s="2"/>
    </x:row>
    <x:row r="14" ht="80" customHeight="1">
      <x:c r="A14" s="18" t="str">
        <x:v>TQ6 Decision and scope</x:v>
      </x:c>
      <x:c r="B14" s="18" t="str">
        <x:v>Executable conclusion and model limits</x:v>
      </x:c>
      <x:c r="C14" s="18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D14" s="18" t="str">
        <x:v>Right conclusion but missing value or limitation</x:v>
      </x:c>
      <x:c r="E14" s="18" t="str">
        <x:v>Recommend failing case or treat SI as guarantee</x:v>
      </x:c>
      <x:c r="F14" s="18" t="n">
        <x:v>15</x:v>
      </x:c>
      <x:c r="G14" s="18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  <x:c r="H17" s="2"/>
      <x:c r="I17" s="2"/>
      <x:c r="J17" s="2"/>
      <x:c r="K17" s="2"/>
      <x:c r="L17" s="2"/>
      <x:c r="M17" s="2"/>
      <x:c r="N17" s="2"/>
    </x:row>
    <x:row r="18" ht="47" customHeight="1">
      <x:c r="A18" s="18" t="str">
        <x:v>Recommended case</x:v>
      </x:c>
      <x:c r="B18" s="18" t="str">
        <x:v>Recommend new membrane elements plus 0.0020 mol/s HCl. Permeate water is 0.42060 kg/s, NaCl 263.33 ppm, recovery 43.0858%; all SIs are below zero and pH is 6.209. Dose is about 262.51 g/h pure HCl or 0.7364 L/h of 31 wt% acid.</x:v>
      </x:c>
      <x:c r="C18" s="18"/>
      <x:c r="D18" s="18"/>
      <x:c r="E18" s="18"/>
      <x:c r="F18" s="18"/>
      <x:c r="G18" s="18"/>
      <x:c r="H18" s="2"/>
      <x:c r="I18" s="2"/>
      <x:c r="J18" s="2"/>
      <x:c r="K18" s="2"/>
      <x:c r="L18" s="2"/>
      <x:c r="M18" s="2"/>
      <x:c r="N18" s="2"/>
    </x:row>
    <x:row r="19" ht="47" customHeight="1">
      <x:c r="A19" s="18" t="str">
        <x:v>Boundary evidence</x:v>
      </x:c>
      <x:c r="B19" s="18" t="str">
        <x:v>Cleaning and extra aged area exceed 0.390 kg/s but produce 385.30 and 440.57 ppm. Only replacement passes both. Dolomite SI changes from +0.13091 at 0.0015 mol/s to −0.37562 at 0.0020, while 0.0025 gives pH 6.035.</x:v>
      </x:c>
      <x:c r="C19" s="18"/>
      <x:c r="D19" s="18"/>
      <x:c r="E19" s="18"/>
      <x:c r="F19" s="18"/>
      <x:c r="G19" s="18"/>
      <x:c r="H19" s="2"/>
      <x:c r="I19" s="2"/>
      <x:c r="J19" s="2"/>
      <x:c r="K19" s="2"/>
      <x:c r="L19" s="2"/>
      <x:c r="M19" s="2"/>
      <x:c r="N19" s="2"/>
    </x:row>
    <x:row r="20" ht="47" customHeight="1">
      <x:c r="A20" s="18" t="str">
        <x:v>Reference calls</x:v>
      </x:c>
      <x:c r="B20" s="18" t="str">
        <x:v>4 simulate_ro + 4 equilibrate_feed</x:v>
      </x:c>
      <x:c r="C20" s="18"/>
      <x:c r="D20" s="18"/>
      <x:c r="E20" s="18"/>
      <x:c r="F20" s="18"/>
      <x:c r="G20" s="18"/>
      <x:c r="H20" s="2"/>
      <x:c r="I20" s="2"/>
      <x:c r="J20" s="2"/>
      <x:c r="K20" s="2"/>
      <x:c r="L20" s="2"/>
      <x:c r="M20" s="2"/>
      <x:c r="N20" s="2"/>
    </x:row>
    <x:row r="21" ht="47" customHeight="1">
      <x:c r="A21" s="18" t="str">
        <x:v>Stopping rule</x:v>
      </x:c>
      <x:c r="B21" s="18" t="str">
        <x:v>All hard constraints pass and adjacent failure is proven</x:v>
      </x:c>
      <x:c r="C21" s="18"/>
      <x:c r="D21" s="18"/>
      <x:c r="E21" s="18"/>
      <x:c r="F21" s="18"/>
      <x:c r="G21" s="18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52" hidden="0" customWidth="1"/>
    <x:col min="4" max="4" width="43" hidden="0" customWidth="1"/>
    <x:col min="5" max="5" width="43" hidden="0" customWidth="1"/>
    <x:col min="6" max="6" width="51" hidden="0" customWidth="1"/>
    <x:col min="7" max="7" width="12" hidden="0" customWidth="1"/>
  </x:cols>
  <x:sheetData>
    <x:row r="1" ht="29" customHeight="1">
      <x:c r="A1" s="6" t="str">
        <x:v>N04｜Tool Efficiency (100 points)</x:v>
      </x:c>
      <x:c r="B1" s="6" t="str">
        <x:v>N04｜Tool Efficiency (100 points)</x:v>
      </x:c>
      <x:c r="C1" s="6" t="str">
        <x:v>N04｜Tool Efficiency (100 points)</x:v>
      </x:c>
      <x:c r="D1" s="6" t="str">
        <x:v>N04｜Tool Efficiency (100 points)</x:v>
      </x:c>
      <x:c r="E1" s="6" t="str">
        <x:v>N04｜Tool Efficiency (100 points)</x:v>
      </x:c>
      <x:c r="F1" s="6" t="str">
        <x:v>N04｜Tool Efficiency (100 points)</x:v>
      </x:c>
      <x:c r="G1" s="6" t="str">
        <x:v>N04｜Tool Efficiency (100 points)</x:v>
      </x:c>
      <x:c r="H1" s="2"/>
      <x:c r="I1" s="2"/>
      <x:c r="J1" s="2"/>
      <x:c r="K1" s="2"/>
      <x:c r="L1" s="2"/>
      <x:c r="M1" s="2"/>
      <x:c r="N1" s="2"/>
    </x:row>
    <x:row r="2" ht="29" customHeight="1">
      <x:c r="A2" s="6" t="str">
        <x:v>N04｜Tool Efficiency (100 points)</x:v>
      </x:c>
      <x:c r="B2" s="6" t="str">
        <x:v>N04｜Tool Efficiency (100 points)</x:v>
      </x:c>
      <x:c r="C2" s="6" t="str">
        <x:v>N04｜Tool Efficiency (100 points)</x:v>
      </x:c>
      <x:c r="D2" s="6" t="str">
        <x:v>N04｜Tool Efficiency (100 points)</x:v>
      </x:c>
      <x:c r="E2" s="6" t="str">
        <x:v>N04｜Tool Efficiency (100 points)</x:v>
      </x:c>
      <x:c r="F2" s="6" t="str">
        <x:v>N04｜Tool Efficiency (100 points)</x:v>
      </x:c>
      <x:c r="G2" s="6" t="str">
        <x:v>N04｜Tool Efficiency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Reference trajectory: 4 simulate_ro + 4 equilibrate_feed. Efficiency means every call changes the next decision, locks a boundary, or proves reusable—not merely fewer calls.</x:v>
      </x:c>
      <x:c r="B4" s="9" t="str">
        <x:v>Reference trajectory: 4 simulate_ro + 4 equilibrate_feed. Efficiency means every call changes the next decision, locks a boundary, or proves reusable—not merely fewer calls.</x:v>
      </x:c>
      <x:c r="C4" s="9" t="str">
        <x:v>Reference trajectory: 4 simulate_ro + 4 equilibrate_feed. Efficiency means every call changes the next decision, locks a boundary, or proves reusable—not merely fewer calls.</x:v>
      </x:c>
      <x:c r="D4" s="9" t="str">
        <x:v>Reference trajectory: 4 simulate_ro + 4 equilibrate_feed. Efficiency means every call changes the next decision, locks a boundary, or proves reusable—not merely fewer calls.</x:v>
      </x:c>
      <x:c r="E4" s="9" t="str">
        <x:v>Reference trajectory: 4 simulate_ro + 4 equilibrate_feed. Efficiency means every call changes the next decision, locks a boundary, or proves reusable—not merely fewer calls.</x:v>
      </x:c>
      <x:c r="F4" s="9" t="str">
        <x:v>Reference trajectory: 4 simulate_ro + 4 equilibrate_feed. Efficiency means every call changes the next decision, locks a boundary, or proves reusable—not merely fewer calls.</x:v>
      </x:c>
      <x:c r="G4" s="9" t="str">
        <x:v>Reference trajectory: 4 simulate_ro + 4 equilibrate_feed. Efficiency means every call changes the next decision, locks a boundary, or proves reusable—not merely fewer calls.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Reference trajectory: 4 simulate_ro + 4 equilibrate_feed. Efficiency means every call changes the next decision, locks a boundary, or proves reusable—not merely fewer calls.</x:v>
      </x:c>
      <x:c r="B5" s="9" t="str">
        <x:v>Reference trajectory: 4 simulate_ro + 4 equilibrate_feed. Efficiency means every call changes the next decision, locks a boundary, or proves reusable—not merely fewer calls.</x:v>
      </x:c>
      <x:c r="C5" s="9" t="str">
        <x:v>Reference trajectory: 4 simulate_ro + 4 equilibrate_feed. Efficiency means every call changes the next decision, locks a boundary, or proves reusable—not merely fewer calls.</x:v>
      </x:c>
      <x:c r="D5" s="9" t="str">
        <x:v>Reference trajectory: 4 simulate_ro + 4 equilibrate_feed. Efficiency means every call changes the next decision, locks a boundary, or proves reusable—not merely fewer calls.</x:v>
      </x:c>
      <x:c r="E5" s="9" t="str">
        <x:v>Reference trajectory: 4 simulate_ro + 4 equilibrate_feed. Efficiency means every call changes the next decision, locks a boundary, or proves reusable—not merely fewer calls.</x:v>
      </x:c>
      <x:c r="F5" s="9" t="str">
        <x:v>Reference trajectory: 4 simulate_ro + 4 equilibrate_feed. Efficiency means every call changes the next decision, locks a boundary, or proves reusable—not merely fewer calls.</x:v>
      </x:c>
      <x:c r="G5" s="9" t="str">
        <x:v>Reference trajectory: 4 simulate_ro + 4 equilibrate_feed. Efficiency means every call changes the next decision, locks a boundary, or proves reusable—not merely fewer calls.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Reference trajectory: 4 simulate_ro + 4 equilibrate_feed. Efficiency means every call changes the next decision, locks a boundary, or proves reusable—not merely fewer calls.</x:v>
      </x:c>
      <x:c r="B6" s="9" t="str">
        <x:v>Reference trajectory: 4 simulate_ro + 4 equilibrate_feed. Efficiency means every call changes the next decision, locks a boundary, or proves reusable—not merely fewer calls.</x:v>
      </x:c>
      <x:c r="C6" s="9" t="str">
        <x:v>Reference trajectory: 4 simulate_ro + 4 equilibrate_feed. Efficiency means every call changes the next decision, locks a boundary, or proves reusable—not merely fewer calls.</x:v>
      </x:c>
      <x:c r="D6" s="9" t="str">
        <x:v>Reference trajectory: 4 simulate_ro + 4 equilibrate_feed. Efficiency means every call changes the next decision, locks a boundary, or proves reusable—not merely fewer calls.</x:v>
      </x:c>
      <x:c r="E6" s="9" t="str">
        <x:v>Reference trajectory: 4 simulate_ro + 4 equilibrate_feed. Efficiency means every call changes the next decision, locks a boundary, or proves reusable—not merely fewer calls.</x:v>
      </x:c>
      <x:c r="F6" s="9" t="str">
        <x:v>Reference trajectory: 4 simulate_ro + 4 equilibrate_feed. Efficiency means every call changes the next decision, locks a boundary, or proves reusable—not merely fewer calls.</x:v>
      </x:c>
      <x:c r="G6" s="9" t="str">
        <x:v>Reference trajectory: 4 simulate_ro + 4 equilibrate_feed. Efficiency means every call changes the next decision, locks a boundary, or proves reusable—not merely fewer calls.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6" t="str">
        <x:v>Efficiency dimension</x:v>
      </x:c>
      <x:c r="B8" s="16" t="str">
        <x:v>Focus</x:v>
      </x:c>
      <x:c r="C8" s="16" t="str">
        <x:v>Full credit</x:v>
      </x:c>
      <x:c r="D8" s="16" t="str">
        <x:v>Medium</x:v>
      </x:c>
      <x:c r="E8" s="16" t="str">
        <x:v>Low</x:v>
      </x:c>
      <x:c r="F8" s="16" t="str">
        <x:v>Benchmark evidence</x:v>
      </x:c>
      <x:c r="G8" s="16" t="str">
        <x:v>Points</x:v>
      </x:c>
      <x:c r="H8" s="2"/>
      <x:c r="I8" s="2"/>
      <x:c r="J8" s="2"/>
      <x:c r="K8" s="2"/>
      <x:c r="L8" s="2"/>
      <x:c r="M8" s="2"/>
      <x:c r="N8" s="2"/>
    </x:row>
    <x:row r="9" ht="82" customHeight="1">
      <x:c r="A9" s="18" t="str">
        <x:v>E1 Tool routing</x:v>
      </x:c>
      <x:c r="B9" s="18" t="str">
        <x:v>Match model to decision level</x:v>
      </x:c>
      <x:c r="C9" s="18" t="str">
        <x:v>simulate_ro for production/energy; equilibrate_feed for scaling</x:v>
      </x:c>
      <x:c r="D9" s="18" t="str">
        <x:v>Right tools, unclear order</x:v>
      </x:c>
      <x:c r="E9" s="18" t="str">
        <x:v>Irrelevant tools or repeated solving</x:v>
      </x:c>
      <x:c r="F9" s="18" t="str">
        <x:v>Process first, chemistry second</x:v>
      </x:c>
      <x:c r="G9" s="18" t="n">
        <x:v>20</x:v>
      </x:c>
      <x:c r="H9" s="2"/>
      <x:c r="I9" s="2"/>
      <x:c r="J9" s="2"/>
      <x:c r="K9" s="2"/>
      <x:c r="L9" s="2"/>
      <x:c r="M9" s="2"/>
      <x:c r="N9" s="2"/>
    </x:row>
    <x:row r="10" ht="82" customHeight="1">
      <x:c r="A10" s="18" t="str">
        <x:v>E2 Input reuse</x:v>
      </x:c>
      <x:c r="B10" s="18" t="str">
        <x:v>Controlled variable/package comparison</x:v>
      </x:c>
      <x:c r="C10" s="18" t="str">
        <x:v>Hold all non-target inputs fixed</x:v>
      </x:c>
      <x:c r="D10" s="18" t="str">
        <x:v>Minor repeated-input error</x:v>
      </x:c>
      <x:c r="E10" s="18" t="str">
        <x:v>Candidates are not comparable</x:v>
      </x:c>
      <x:c r="F10" s="18" t="str">
        <x:v>Composition and fixed conditions held</x:v>
      </x:c>
      <x:c r="G10" s="18" t="n">
        <x:v>20</x:v>
      </x:c>
      <x:c r="H10" s="2"/>
      <x:c r="I10" s="2"/>
      <x:c r="J10" s="2"/>
      <x:c r="K10" s="2"/>
      <x:c r="L10" s="2"/>
      <x:c r="M10" s="2"/>
      <x:c r="N10" s="2"/>
    </x:row>
    <x:row r="11" ht="82" customHeight="1">
      <x:c r="A11" s="18" t="str">
        <x:v>E3 Information gain</x:v>
      </x:c>
      <x:c r="B11" s="18" t="str">
        <x:v>Screen production before necessary chemistry</x:v>
      </x:c>
      <x:c r="C11" s="18" t="str">
        <x:v>Prune hard-constraint failures early</x:v>
      </x:c>
      <x:c r="D11" s="18" t="str">
        <x:v>One or two low-value calls</x:v>
      </x:c>
      <x:c r="E11" s="18" t="str">
        <x:v>Blind Cartesian grid</x:v>
      </x:c>
      <x:c r="F11" s="18" t="str">
        <x:v>Cleaning and extra aged area exceed 0.390 kg/s but produce 385.30 and 440.57 ppm. Only replacement passes both. Dolomite SI changes from +0.13091 at 0.0015 mol/s to −0.37562 at 0.0020, while 0.0025 gives pH 6.035.</x:v>
      </x:c>
      <x:c r="G11" s="18" t="n">
        <x:v>20</x:v>
      </x:c>
      <x:c r="H11" s="2"/>
      <x:c r="I11" s="2"/>
      <x:c r="J11" s="2"/>
      <x:c r="K11" s="2"/>
      <x:c r="L11" s="2"/>
      <x:c r="M11" s="2"/>
      <x:c r="N11" s="2"/>
    </x:row>
    <x:row r="12" ht="82" customHeight="1">
      <x:c r="A12" s="18" t="str">
        <x:v>E4 Adaptive pruning</x:v>
      </x:c>
      <x:c r="B12" s="18" t="str">
        <x:v>Stop failed branches</x:v>
      </x:c>
      <x:c r="C12" s="18" t="str">
        <x:v>Use salinity, SEC, SI, or site constraints to prune</x:v>
      </x:c>
      <x:c r="D12" s="18" t="str">
        <x:v>Minor redundancy</x:v>
      </x:c>
      <x:c r="E12" s="18" t="str">
        <x:v>Continue rejected routes</x:v>
      </x:c>
      <x:c r="F12" s="18" t="str">
        <x:v>Every failure changes next action</x:v>
      </x:c>
      <x:c r="G12" s="18" t="n">
        <x:v>20</x:v>
      </x:c>
      <x:c r="H12" s="2"/>
      <x:c r="I12" s="2"/>
      <x:c r="J12" s="2"/>
      <x:c r="K12" s="2"/>
      <x:c r="L12" s="2"/>
      <x:c r="M12" s="2"/>
      <x:c r="N12" s="2"/>
    </x:row>
    <x:row r="13" ht="82" customHeight="1">
      <x:c r="A13" s="18" t="str">
        <x:v>E5 Stop transparency</x:v>
      </x:c>
      <x:c r="B13" s="18" t="str">
        <x:v>Stop with sufficient evidence</x:v>
      </x:c>
      <x:c r="C13" s="18" t="str">
        <x:v>Report calls, reuse, boundaries, and limitations</x:v>
      </x:c>
      <x:c r="D13" s="18" t="str">
        <x:v>Slight over-call or one unclear basis</x:v>
      </x:c>
      <x:c r="E13" s="18" t="str">
        <x:v>Hidden assumptions or enumeration</x:v>
      </x:c>
      <x:c r="F13" s="18" t="str">
        <x:v>Recommend: Recommend new membrane elements plus 0.0020 mol/s HCl. Permeate water is 0.42060 kg/s, NaCl 263.33 ppm, recovery 43.0858%; all SIs are below zero and pH is 6.209. Dose is about 262.51 g/h pure HCl or 0.7364 L/h of 31 wt% acid.</x:v>
      </x:c>
      <x:c r="G13" s="18" t="n">
        <x:v>20</x:v>
      </x:c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3" t="str">
        <x:v>Tool-efficiency total</x:v>
      </x:c>
      <x:c r="G15" s="23" t="n">
        <x:f>SUM(G9:G13)</x:f>
        <x:v>100</x:v>
      </x:c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11" t="str">
        <x:v>Efficient reference trajectory</x:v>
      </x:c>
      <x:c r="B18" s="11" t="str">
        <x:v>Efficient reference trajectory</x:v>
      </x:c>
      <x:c r="C18" s="11" t="str">
        <x:v>Efficient reference trajectory</x:v>
      </x:c>
      <x:c r="D18" s="11" t="str">
        <x:v>Efficient reference trajectory</x:v>
      </x:c>
      <x:c r="E18" s="11" t="str">
        <x:v>Efficient reference trajectory</x:v>
      </x:c>
      <x:c r="F18" s="11" t="str">
        <x:v>Efficient reference trajectory</x:v>
      </x:c>
      <x:c r="G18" s="11" t="str">
        <x:v>Efficient reference trajectory</x:v>
      </x:c>
      <x:c r="H18" s="2"/>
      <x:c r="I18" s="2"/>
      <x:c r="J18" s="2"/>
      <x:c r="K18" s="2"/>
      <x:c r="L18" s="2"/>
      <x:c r="M18" s="2"/>
      <x:c r="N18" s="2"/>
    </x:row>
    <x:row r="19">
      <x:c r="A19" s="16" t="str">
        <x:v>Stage</x:v>
      </x:c>
      <x:c r="B19" s="16" t="str">
        <x:v>Action/tool</x:v>
      </x:c>
      <x:c r="C19" s="16" t="str">
        <x:v>Call logic</x:v>
      </x:c>
      <x:c r="D19" s="16" t="str">
        <x:v>Key observation</x:v>
      </x:c>
      <x:c r="E19" s="16" t="str">
        <x:v>Prune/reuse</x:v>
      </x:c>
      <x:c r="F19" s="16" t="str">
        <x:v>Next</x:v>
      </x:c>
      <x:c r="G19" s="16" t="str">
        <x:v>Role</x:v>
      </x:c>
      <x:c r="H19" s="2"/>
      <x:c r="I19" s="2"/>
      <x:c r="J19" s="2"/>
      <x:c r="K19" s="2"/>
      <x:c r="L19" s="2"/>
      <x:c r="M19" s="2"/>
      <x:c r="N19" s="2"/>
    </x:row>
    <x:row r="20" ht="53" customHeight="1">
      <x:c r="A20" s="18" t="str">
        <x:v>1</x:v>
      </x:c>
      <x:c r="B20" s="18" t="str">
        <x:v>Read definitions</x:v>
      </x:c>
      <x:c r="C20" s="18" t="str">
        <x:v>Confirm units and scope</x:v>
      </x:c>
      <x:c r="D20" s="18" t="str">
        <x:v>Prepare controlled inputs</x:v>
      </x:c>
      <x:c r="E20" s="18" t="str">
        <x:v>—</x:v>
      </x:c>
      <x:c r="F20" s="18" t="str">
        <x:v>Run candidates</x:v>
      </x:c>
      <x:c r="G20" s="18" t="str">
        <x:v>Metadata</x:v>
      </x:c>
      <x:c r="H20" s="2"/>
      <x:c r="I20" s="2"/>
      <x:c r="J20" s="2"/>
      <x:c r="K20" s="2"/>
      <x:c r="L20" s="2"/>
      <x:c r="M20" s="2"/>
      <x:c r="N20" s="2"/>
    </x:row>
    <x:row r="21" ht="53" customHeight="1">
      <x:c r="A21" s="18" t="str">
        <x:v>2</x:v>
      </x:c>
      <x:c r="B21" s="18" t="str">
        <x:v>simulate_ro</x:v>
      </x:c>
      <x:c r="C21" s="18" t="str">
        <x:v>Compare all design points</x:v>
      </x:c>
      <x:c r="D21" s="18" t="str">
        <x:v>Lock production/quality/energy candidates</x:v>
      </x:c>
      <x:c r="E21" s="18" t="str">
        <x:v>Prune hard failures</x:v>
      </x:c>
      <x:c r="F21" s="18" t="str">
        <x:v>Pass actual recovery</x:v>
      </x:c>
      <x:c r="G21" s="18" t="str">
        <x:v>Process</x:v>
      </x:c>
      <x:c r="H21" s="2"/>
      <x:c r="I21" s="2"/>
      <x:c r="J21" s="2"/>
      <x:c r="K21" s="2"/>
      <x:c r="L21" s="2"/>
      <x:c r="M21" s="2"/>
      <x:c r="N21" s="2"/>
    </x:row>
    <x:row r="22" ht="53" customHeight="1">
      <x:c r="A22" s="18" t="str">
        <x:v>3</x:v>
      </x:c>
      <x:c r="B22" s="18" t="str">
        <x:v>equilibrate_feed</x:v>
      </x:c>
      <x:c r="C22" s="18" t="str">
        <x:v>Evaluate only necessary unique recoveries</x:v>
      </x:c>
      <x:c r="D22" s="18" t="str">
        <x:v>Identify controlling mineral and boundary</x:v>
      </x:c>
      <x:c r="E22" s="18" t="str">
        <x:v>Reuse duplicate recovery</x:v>
      </x:c>
      <x:c r="F22" s="18" t="str">
        <x:v>Form joint decision</x:v>
      </x:c>
      <x:c r="G22" s="18" t="str">
        <x:v>Chemistry</x:v>
      </x:c>
      <x:c r="H22" s="2"/>
      <x:c r="I22" s="2"/>
      <x:c r="J22" s="2"/>
      <x:c r="K22" s="2"/>
      <x:c r="L22" s="2"/>
      <x:c r="M22" s="2"/>
      <x:c r="N22" s="2"/>
    </x:row>
    <x:row r="23" ht="53" customHeight="1">
      <x:c r="A23" s="18" t="str">
        <x:v>4</x:v>
      </x:c>
      <x:c r="B23" s="18" t="str">
        <x:v>Boundary check</x:v>
      </x:c>
      <x:c r="C23" s="18" t="str">
        <x:v>Compare adjacent fail/pass</x:v>
      </x:c>
      <x:c r="D23" s="18" t="str">
        <x:v>Prove minimum/maximum/uniqueness</x:v>
      </x:c>
      <x:c r="E23" s="18" t="str">
        <x:v>Stop low-value calls</x:v>
      </x:c>
      <x:c r="F23" s="18" t="str">
        <x:v>Engineering conversion</x:v>
      </x:c>
      <x:c r="G23" s="18" t="str">
        <x:v>Convergence</x:v>
      </x:c>
      <x:c r="H23" s="2"/>
      <x:c r="I23" s="2"/>
      <x:c r="J23" s="2"/>
      <x:c r="K23" s="2"/>
      <x:c r="L23" s="2"/>
      <x:c r="M23" s="2"/>
      <x:c r="N23" s="2"/>
    </x:row>
    <x:row r="24" ht="53" customHeight="1">
      <x:c r="A24" s="18" t="str">
        <x:v>5</x:v>
      </x:c>
      <x:c r="B24" s="18" t="str">
        <x:v>Stop</x:v>
      </x:c>
      <x:c r="C24" s="18" t="str">
        <x:v>Report limits and conclusion</x:v>
      </x:c>
      <x:c r="D24" s="18" t="str">
        <x:v>Evidence sufficient</x:v>
      </x:c>
      <x:c r="E24" s="18" t="str">
        <x:v>Do not extend grid</x:v>
      </x:c>
      <x:c r="F24" s="18" t="str">
        <x:v>Write Gold Answer</x:v>
      </x:c>
      <x:c r="G24" s="18" t="str">
        <x:v>Decision</x:v>
      </x:c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