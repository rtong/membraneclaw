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be802afe974ec7" /></Relationships>
</file>

<file path=xl/workbook.xml><?xml version="1.0" encoding="utf-8"?>
<x:workbook xmlns:x="http://schemas.openxmlformats.org/spreadsheetml/2006/main">
  <x:sheets>
    <x:sheet xmlns:r="http://schemas.openxmlformats.org/officeDocument/2006/relationships" name="Question_Q" sheetId="1" r:id="Rbc9b70c97a164ace"/>
    <x:sheet xmlns:r="http://schemas.openxmlformats.org/officeDocument/2006/relationships" name="Gold_Answer_A" sheetId="2" r:id="Rd73ff265ba424349"/>
    <x:sheet xmlns:r="http://schemas.openxmlformats.org/officeDocument/2006/relationships" name="Trajectory_Rubric" sheetId="3" r:id="Rc5cc9bac974f49fb"/>
    <x:sheet xmlns:r="http://schemas.openxmlformats.org/officeDocument/2006/relationships" name="Tool_Efficiency" sheetId="4" r:id="R123b2ee6223342f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
    <x:numFmt numFmtId="201" formatCode="#,##0.000"/>
    <x:numFmt numFmtId="202" formatCode="0.0000"/>
    <x:numFmt numFmtId="203" formatCode="0.00E+00"/>
  </x:numFmts>
  <x:fonts count="8">
    <x:font>
      <x:sz val="11"/>
      <x:name val="Carlito"/>
    </x:font>
    <x:font>
      <x:b/>
      <x:sz val="16"/>
      <x:color rgb="FFFFFFFF"/>
      <x:name val="Carlito"/>
    </x:font>
    <x:font>
      <x:b/>
      <x:sz val="12"/>
      <x:color rgb="FF173B65"/>
      <x:name val="Carlito"/>
    </x:font>
    <x:font>
      <x:b/>
      <x:sz val="11"/>
      <x:color rgb="FF173B65"/>
      <x:name val="Carlito"/>
    </x:font>
    <x:font>
      <x:b/>
      <x:sz val="11"/>
      <x:color rgb="FFFFFFFF"/>
      <x:name val="Carlito"/>
    </x:font>
    <x:font>
      <x:sz val="11"/>
      <x:color rgb="FF9C6500"/>
      <x:name val="Carlito"/>
    </x:font>
    <x:font>
      <x:b/>
      <x:sz val="11"/>
      <x:color rgb="FF375623"/>
      <x:name val="Carlito"/>
    </x:font>
    <x:font>
      <x:b/>
      <x:sz val="11"/>
      <x:color rgb="FFC00000"/>
      <x:name val="Carlito"/>
    </x:font>
  </x:fonts>
  <x:fills count="9">
    <x:fill>
      <x:patternFill patternType="none"/>
    </x:fill>
    <x:fill>
      <x:patternFill patternType="gray125"/>
    </x:fill>
    <x:fill>
      <x:patternFill patternType="solid">
        <x:fgColor rgb="FF173B65"/>
      </x:patternFill>
    </x:fill>
    <x:fill>
      <x:patternFill patternType="solid">
        <x:fgColor rgb="FFEAF2F8"/>
      </x:patternFill>
    </x:fill>
    <x:fill>
      <x:patternFill patternType="solid">
        <x:fgColor rgb="FFDDEBF7"/>
      </x:patternFill>
    </x:fill>
    <x:fill>
      <x:patternFill patternType="solid">
        <x:fgColor rgb="FF2F75B5"/>
      </x:patternFill>
    </x:fill>
    <x:fill>
      <x:patternFill patternType="solid">
        <x:fgColor rgb="FFFFF2CC"/>
      </x:patternFill>
    </x:fill>
    <x:fill>
      <x:patternFill patternType="solid">
        <x:fgColor rgb="FFE2F0D9"/>
      </x:patternFill>
    </x:fill>
    <x:fill>
      <x:patternFill patternType="solid">
        <x:fgColor rgb="FFFCE4D6"/>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202" fontId="0" fillId="0" borderId="1"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6" fillId="7" borderId="1" xfId="0" applyNumberFormat="1" applyFont="1" applyFill="1" applyBorder="1" applyAlignment="1">
      <x:alignment vertical="center" wrapText="1"/>
    </x:xf>
    <x:xf numFmtId="0" fontId="6" fillId="7" borderId="1" xfId="0" applyNumberFormat="1" applyFont="1" applyFill="1" applyBorder="1" applyAlignment="1">
      <x:alignment horizontal="center" vertical="center" wrapText="1"/>
    </x:xf>
    <x:xf numFmtId="0" fontId="0" fillId="8" borderId="1" xfId="0" applyNumberFormat="1" applyFont="1" applyFill="1" applyBorder="1" applyAlignment="1">
      <x:alignment vertical="center" wrapText="1"/>
    </x:xf>
    <x:xf numFmtId="0" fontId="7" fillId="8" borderId="1" xfId="0" applyNumberFormat="1" applyFont="1" applyFill="1" applyBorder="1" applyAlignment="1">
      <x:alignment vertical="center" wrapText="1"/>
    </x:xf>
    <x:xf numFmtId="0" fontId="7" fillId="8" borderId="1" xfId="0" applyNumberFormat="1" applyFont="1" applyFill="1" applyBorder="1" applyAlignment="1">
      <x:alignment horizontal="center" vertical="center" wrapText="1"/>
    </x:xf>
    <x:xf numFmtId="0" fontId="6" fillId="7" borderId="0" xfId="0" applyNumberFormat="1" applyFont="1" applyFill="1" applyBorder="1" applyAlignment="1">
      <x:alignment horizontal="right"/>
    </x:xf>
    <x:xf numFmtId="203" fontId="0"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3e07ef301c47bf" /><Relationship Type="http://schemas.openxmlformats.org/officeDocument/2006/relationships/theme" Target="/xl/theme/theme1.xml" Id="Rb6256ce72f2247d2" /><Relationship Type="http://schemas.openxmlformats.org/officeDocument/2006/relationships/sharedStrings" Target="/xl/sharedStrings.xml" Id="R048c507542b74167" /><Relationship Type="http://schemas.openxmlformats.org/officeDocument/2006/relationships/worksheet" Target="/xl/worksheets/sheet1.xml" Id="Rbc9b70c97a164ace" /><Relationship Type="http://schemas.openxmlformats.org/officeDocument/2006/relationships/worksheet" Target="/xl/worksheets/sheet2.xml" Id="Rd73ff265ba424349" /><Relationship Type="http://schemas.openxmlformats.org/officeDocument/2006/relationships/worksheet" Target="/xl/worksheets/sheet3.xml" Id="Rc5cc9bac974f49fb" /><Relationship Type="http://schemas.openxmlformats.org/officeDocument/2006/relationships/worksheet" Target="/xl/worksheets/sheet4.xml" Id="R123b2ee6223342f6" /></Relationships>
</file>

<file path=xl/drawings/_rels/drawing1.xml.rels>&#65279;<?xml version="1.0" encoding="utf-8"?><Relationships xmlns="http://schemas.openxmlformats.org/package/2006/relationships"><Relationship Type="http://schemas.openxmlformats.org/officeDocument/2006/relationships/chart" Target="/xl/drawings/charts/chart1.xml" Id="Rc3ce82a2f4c4411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Train feed flow—key criterion trajectory</a:t>
            </a:r>
          </a:p>
        </c:rich>
      </c:tx>
      <c:overlay val="0"/>
    </c:title>
    <c:plotArea>
      <c:lineChart>
        <c:grouping val="standard"/>
        <c:varyColors val="0"/>
        <c:ser>
          <c:idx val="0"/>
          <c:order val="0"/>
          <c:tx>
            <c:v>Key output</c:v>
          </c:tx>
          <c:marker>
            <c:symbol val="none"/>
          </c:marker>
          <c:cat>
            <c:strRef>
              <c:f>'Gold_Answer_A'!$Q$20:$Q$27</c:f>
              <c:strCache>
                <c:ptCount val="0"/>
              </c:strCache>
            </c:strRef>
          </c:cat>
          <c:val>
            <c:numRef>
              <c:f>'Gold_Answer_A'!$R$20:$R$27</c:f>
              <c:numCache>
                <c:formatCode>General</c:formatCode>
                <c:ptCount val="0"/>
              </c:numCache>
            </c:numRef>
          </c:val>
          <c:smooth val="0"/>
        </c:ser>
        <c:ser>
          <c:idx val="1"/>
          <c:order val="1"/>
          <c:tx>
            <c:v>Recommended target</c:v>
          </c:tx>
          <c:marker>
            <c:symbol val="none"/>
          </c:marker>
          <c:cat>
            <c:strRef>
              <c:f>'Gold_Answer_A'!$Q$20:$Q$27</c:f>
              <c:strCache>
                <c:ptCount val="0"/>
              </c:strCache>
            </c:strRef>
          </c:cat>
          <c:val>
            <c:numRef>
              <c:f>'Gold_Answer_A'!$S$20:$S$27</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7</xdr:row>
      <xdr:rowOff>0</xdr:rowOff>
    </xdr:from>
    <xdr:to>
      <xdr:col>15</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ce82a2f4c44116"/>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1486cc7ad981493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16" hidden="0" customWidth="1"/>
    <x:col min="4" max="4" width="34" hidden="0" customWidth="1"/>
    <x:col min="5" max="5" width="4" hidden="0" customWidth="1"/>
    <x:col min="6" max="6" width="29" hidden="0" customWidth="1"/>
    <x:col min="7" max="7" width="34" hidden="0" customWidth="1"/>
    <x:col min="8" max="8" width="41" hidden="0" customWidth="1"/>
  </x:cols>
  <x:sheetData>
    <x:row r="1" ht="26" customHeight="1">
      <x:c r="A1" s="4" t="str">
        <x:v>D3-3a N05: Maximum Feed Loading Under Pump-Train Power Constraints</x:v>
      </x:c>
      <x:c r="B1" s="4" t="str">
        <x:v>D3-3a N05: Maximum Feed Loading Under Pump-Train Power Constraints</x:v>
      </x:c>
      <x:c r="C1" s="4" t="str">
        <x:v>D3-3a N05: Maximum Feed Loading Under Pump-Train Power Constraints</x:v>
      </x:c>
      <x:c r="D1" s="4" t="str">
        <x:v>D3-3a N05: Maximum Feed Loading Under Pump-Train Power Constraints</x:v>
      </x:c>
      <x:c r="E1" s="4" t="str">
        <x:v>D3-3a N05: Maximum Feed Loading Under Pump-Train Power Constraints</x:v>
      </x:c>
      <x:c r="F1" s="4" t="str">
        <x:v>D3-3a N05: Maximum Feed Loading Under Pump-Train Power Constraints</x:v>
      </x:c>
      <x:c r="G1" s="4" t="str">
        <x:v>D3-3a N05: Maximum Feed Loading Under Pump-Train Power Constraints</x:v>
      </x:c>
      <x:c r="H1" s="4" t="str">
        <x:v>D3-3a N05: Maximum Feed Loading Under Pump-Train Power Constraints</x:v>
      </x:c>
    </x:row>
    <x:row r="2" ht="26" customHeight="1">
      <x:c r="A2" s="4" t="str">
        <x:v>D3-3a N05: Maximum Feed Loading Under Pump-Train Power Constraints</x:v>
      </x:c>
      <x:c r="B2" s="4" t="str">
        <x:v>D3-3a N05: Maximum Feed Loading Under Pump-Train Power Constraints</x:v>
      </x:c>
      <x:c r="C2" s="4" t="str">
        <x:v>D3-3a N05: Maximum Feed Loading Under Pump-Train Power Constraints</x:v>
      </x:c>
      <x:c r="D2" s="4" t="str">
        <x:v>D3-3a N05: Maximum Feed Loading Under Pump-Train Power Constraints</x:v>
      </x:c>
      <x:c r="E2" s="4" t="str">
        <x:v>D3-3a N05: Maximum Feed Loading Under Pump-Train Power Constraints</x:v>
      </x:c>
      <x:c r="F2" s="4" t="str">
        <x:v>D3-3a N05: Maximum Feed Loading Under Pump-Train Power Constraints</x:v>
      </x:c>
      <x:c r="G2" s="4" t="str">
        <x:v>D3-3a N05: Maximum Feed Loading Under Pump-Train Power Constraints</x:v>
      </x:c>
      <x:c r="H2" s="4" t="str">
        <x:v>D3-3a N05: Maximum Feed Loading Under Pump-Train Power Constraints</x:v>
      </x:c>
    </x:row>
    <x:row r="4" ht="26" customHeight="1">
      <x:c r="A4"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B4"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C4"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D4"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E4"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F4"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G4"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H4"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row>
    <x:row r="5" ht="26" customHeight="1">
      <x:c r="A5"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B5"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C5"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D5"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E5"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F5"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G5"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H5"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row>
    <x:row r="6" ht="26" customHeight="1">
      <x:c r="A6"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B6"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C6"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D6"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E6"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F6"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G6"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H6"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row>
    <x:row r="7" ht="26" customHeight="1">
      <x:c r="A7"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B7"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C7"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D7"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E7"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F7"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G7"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c r="H7" s="8" t="str">
        <x:v>One SWRO train must temporarily overload while another is under maintenance. Hold pressure, membrane area and efficiencies fixed; vary train feed flow only. HPP P1 is rated at 1,100 kW and PX booster P2 at 150 kW. Find the maximum basic feed meeting both ratings and the maximum recommended feed with 4% power margin, P1≤1,056 kW and P2≤144 kW. Prove with adjacent 0.001 m³/s points and report recommended product, recovery and SEC.</x:v>
      </x:c>
    </x:row>
    <x:row r="9">
      <x:c r="A9" s="10" t="str">
        <x:v>Fixed case (except decision variable)</x:v>
      </x:c>
      <x:c r="B9" s="10" t="str">
        <x:v>Fixed case (except decision variable)</x:v>
      </x:c>
      <x:c r="C9" s="10" t="str">
        <x:v>Fixed case (except decision variable)</x:v>
      </x:c>
      <x:c r="D9" s="10" t="str">
        <x:v>Fixed case (except decision variable)</x:v>
      </x:c>
      <x:c r="F9" s="10" t="str">
        <x:v>Constraints and criteria</x:v>
      </x:c>
      <x:c r="G9" s="10" t="str">
        <x:v>Constraints and criteria</x:v>
      </x:c>
      <x:c r="H9" s="10" t="str">
        <x:v>Constraints and criteria</x:v>
      </x:c>
    </x:row>
    <x:row r="10">
      <x:c r="A10" s="16" t="str">
        <x:v>Parameter</x:v>
      </x:c>
      <x:c r="B10" s="16" t="str">
        <x:v>Value</x:v>
      </x:c>
      <x:c r="C10" s="16" t="str">
        <x:v>Unit</x:v>
      </x:c>
      <x:c r="D10" s="16" t="str">
        <x:v>Note</x:v>
      </x:c>
      <x:c r="F10" s="16" t="str">
        <x:v>Level</x:v>
      </x:c>
      <x:c r="G10" s="16" t="str">
        <x:v>Criterion</x:v>
      </x:c>
      <x:c r="H10" s="16" t="str">
        <x:v>Evidence</x:v>
      </x:c>
    </x:row>
    <x:row r="11">
      <x:c r="A11" s="19" t="str">
        <x:v>Feed flow</x:v>
      </x:c>
      <x:c r="B11" s="20" t="n">
        <x:v>0.3</x:v>
      </x:c>
      <x:c r="C11" s="19" t="str">
        <x:v>m³/s</x:v>
      </x:c>
      <x:c r="D11" s="19" t="str">
        <x:v>Fixed unless decision variable</x:v>
      </x:c>
      <x:c r="F11" s="19" t="str">
        <x:v>Basic</x:v>
      </x:c>
      <x:c r="G11" s="19" t="str">
        <x:v>P1≤1,100 and P2≤150 kW</x:v>
      </x:c>
      <x:c r="H11" s="19" t="str">
        <x:v>0.001 m³/s</x:v>
      </x:c>
    </x:row>
    <x:row r="12">
      <x:c r="A12" s="19" t="str">
        <x:v>TDS</x:v>
      </x:c>
      <x:c r="B12" s="20" t="n">
        <x:v>38</x:v>
      </x:c>
      <x:c r="C12" s="19" t="str">
        <x:v>g/L</x:v>
      </x:c>
      <x:c r="D12" s="19" t="str">
        <x:v>Fixed baseline</x:v>
      </x:c>
      <x:c r="F12" s="19" t="str">
        <x:v>Recommended margin</x:v>
      </x:c>
      <x:c r="G12" s="19" t="str">
        <x:v>P1≤1,056 and P2≤144 kW</x:v>
      </x:c>
      <x:c r="H12" s="19" t="str">
        <x:v>0.001 m³/s</x:v>
      </x:c>
    </x:row>
    <x:row r="13">
      <x:c r="A13" s="19" t="str">
        <x:v>TSS</x:v>
      </x:c>
      <x:c r="B13" s="20" t="n">
        <x:v>0.03</x:v>
      </x:c>
      <x:c r="C13" s="19" t="str">
        <x:v>g/L</x:v>
      </x:c>
      <x:c r="D13" s="19" t="str">
        <x:v>Pretreatment design</x:v>
      </x:c>
      <x:c r="F13" s="19" t="str">
        <x:v>Decision variable</x:v>
      </x:c>
      <x:c r="G13" s="19" t="str">
        <x:v>Train feed flow</x:v>
      </x:c>
      <x:c r="H13" s="19" t="str">
        <x:v>Vary this only</x:v>
      </x:c>
    </x:row>
    <x:row r="14">
      <x:c r="A14" s="19" t="str">
        <x:v>Temperature</x:v>
      </x:c>
      <x:c r="B14" s="20" t="n">
        <x:v>22</x:v>
      </x:c>
      <x:c r="C14" s="19" t="str">
        <x:v>°C</x:v>
      </x:c>
      <x:c r="D14" s="19" t="str">
        <x:v>Fixed</x:v>
      </x:c>
      <x:c r="F14" s="19" t="str">
        <x:v>Objective</x:v>
      </x:c>
      <x:c r="G14" s="19" t="str">
        <x:v>Maximize train feed flow</x:v>
      </x:c>
      <x:c r="H14" s="19" t="str">
        <x:v>Adjacent fail/pass</x:v>
      </x:c>
    </x:row>
    <x:row r="15">
      <x:c r="A15" s="19" t="str">
        <x:v>Active membrane area</x:v>
      </x:c>
      <x:c r="B15" s="20" t="n">
        <x:v>13500</x:v>
      </x:c>
      <x:c r="C15" s="19" t="str">
        <x:v>m²</x:v>
      </x:c>
      <x:c r="D15" s="19" t="str">
        <x:v>Fixed</x:v>
      </x:c>
    </x:row>
    <x:row r="16">
      <x:c r="A16" s="19" t="str">
        <x:v>A_comp</x:v>
      </x:c>
      <x:c r="B16" s="38" t="n">
        <x:v>4.2e-12</x:v>
      </x:c>
      <x:c r="C16" s="19" t="str">
        <x:v>m/s/Pa</x:v>
      </x:c>
      <x:c r="D16" s="19" t="str">
        <x:v>Fixed baseline</x:v>
      </x:c>
      <x:c r="F16" s="10" t="str">
        <x:v>Required deliverables</x:v>
      </x:c>
      <x:c r="G16" s="10" t="str">
        <x:v>Required deliverables</x:v>
      </x:c>
      <x:c r="H16" s="10" t="str">
        <x:v>Required deliverables</x:v>
      </x:c>
    </x:row>
    <x:row r="17" ht="36" customHeight="1">
      <x:c r="A17" s="19" t="str">
        <x:v>B_comp</x:v>
      </x:c>
      <x:c r="B17" s="38" t="n">
        <x:v>3.5e-8</x:v>
      </x:c>
      <x:c r="C17" s="19" t="str">
        <x:v>m/s</x:v>
      </x:c>
      <x:c r="D17" s="19" t="str">
        <x:v>Fixed</x:v>
      </x:c>
      <x:c r="F17" s="19" t="str">
        <x:v>1. Establish a coarse safe/fail bracket.</x:v>
      </x:c>
      <x:c r="G17" s="19" t="str">
        <x:v>1. Establish a coarse safe/fail bracket.</x:v>
      </x:c>
      <x:c r="H17" s="19" t="str">
        <x:v>1. Establish a coarse safe/fail bracket.</x:v>
      </x:c>
    </x:row>
    <x:row r="18" ht="36" customHeight="1">
      <x:c r="A18" s="19" t="str">
        <x:v>P1 outlet pressure</x:v>
      </x:c>
      <x:c r="B18" s="20" t="n">
        <x:v>70.3</x:v>
      </x:c>
      <x:c r="C18" s="19" t="str">
        <x:v>bar(a)</x:v>
      </x:c>
      <x:c r="D18" s="19" t="str">
        <x:v>Fixed</x:v>
      </x:c>
      <x:c r="F18" s="19" t="str">
        <x:v>2. Prove the adjacent basic pass/fail boundary.</x:v>
      </x:c>
      <x:c r="G18" s="19" t="str">
        <x:v>2. Prove the adjacent basic pass/fail boundary.</x:v>
      </x:c>
      <x:c r="H18" s="19" t="str">
        <x:v>2. Prove the adjacent basic pass/fail boundary.</x:v>
      </x:c>
    </x:row>
    <x:row r="19" ht="36" customHeight="1">
      <x:c r="A19" s="19" t="str">
        <x:v>P1 efficiency</x:v>
      </x:c>
      <x:c r="B19" s="20" t="n">
        <x:v>0.82</x:v>
      </x:c>
      <x:c r="C19" s="19" t="str">
        <x:v>-</x:v>
      </x:c>
      <x:c r="D19" s="19" t="str">
        <x:v>Fixed baseline</x:v>
      </x:c>
      <x:c r="F19" s="19" t="str">
        <x:v>3. Switch to the stricter recommended margin and prove its adjacent boundary.</x:v>
      </x:c>
      <x:c r="G19" s="19" t="str">
        <x:v>3. Switch to the stricter recommended margin and prove its adjacent boundary.</x:v>
      </x:c>
      <x:c r="H19" s="19" t="str">
        <x:v>3. Switch to the stricter recommended margin and prove its adjacent boundary.</x:v>
      </x:c>
    </x:row>
    <x:row r="20" ht="36" customHeight="1">
      <x:c r="A20" s="19" t="str">
        <x:v>PX efficiency</x:v>
      </x:c>
      <x:c r="B20" s="20" t="n">
        <x:v>0.96</x:v>
      </x:c>
      <x:c r="C20" s="19" t="str">
        <x:v>-</x:v>
      </x:c>
      <x:c r="D20" s="19" t="str">
        <x:v>Fixed baseline</x:v>
      </x:c>
      <x:c r="F20" s="19" t="str">
        <x:v>4. Report product, recovery, P1/P2, SEC and daily energy at the recommendation.</x:v>
      </x:c>
      <x:c r="G20" s="19" t="str">
        <x:v>4. Report product, recovery, P1/P2, SEC and daily energy at the recommendation.</x:v>
      </x:c>
      <x:c r="H20" s="19" t="str">
        <x:v>4. Report product, recovery, P1/P2, SEC and daily energy at the recommendation.</x:v>
      </x:c>
    </x:row>
    <x:row r="21" ht="36" customHeight="1">
      <x:c r="A21" s="19" t="str">
        <x:v>P2 efficiency</x:v>
      </x:c>
      <x:c r="B21" s="20" t="n">
        <x:v>0.82</x:v>
      </x:c>
      <x:c r="C21" s="19" t="str">
        <x:v>-</x:v>
      </x:c>
      <x:c r="D21" s="19" t="str">
        <x:v>Fixed</x:v>
      </x:c>
      <x:c r="F21" s="19" t="str">
        <x:v>5. Give an actionable operating, alarm, maintenance or expansion decision.</x:v>
      </x:c>
      <x:c r="G21" s="19" t="str">
        <x:v>5. Give an actionable operating, alarm, maintenance or expansion decision.</x:v>
      </x:c>
      <x:c r="H21" s="19" t="str">
        <x:v>5. Give an actionable operating, alarm, maintenance or expansion decision.</x:v>
      </x:c>
    </x:row>
    <x:row r="22">
      <x:c r="A22" s="19" t="str">
        <x:v>Energy recovery</x:v>
      </x:c>
      <x:c r="B22" s="20" t="str">
        <x:v>pressure_exchanger</x:v>
      </x:c>
      <x:c r="C22" s="19" t="str">
        <x:v>-</x:v>
      </x:c>
      <x:c r="D22" s="19" t="str">
        <x:v>Fixed</x:v>
      </x:c>
    </x:row>
    <x:row r="25">
      <x:c r="A25" s="24" t="str">
        <x:v>Scope: use full-plant simulate_swro_system and hold every input fixed except Train feed flow. The recommended margin is benchmark-specific, not a universal industry standard.</x:v>
      </x:c>
      <x:c r="B25" s="24" t="str">
        <x:v>Scope: use full-plant simulate_swro_system and hold every input fixed except Train feed flow. The recommended margin is benchmark-specific, not a universal industry standard.</x:v>
      </x:c>
      <x:c r="C25" s="24" t="str">
        <x:v>Scope: use full-plant simulate_swro_system and hold every input fixed except Train feed flow. The recommended margin is benchmark-specific, not a universal industry standard.</x:v>
      </x:c>
      <x:c r="D25" s="24" t="str">
        <x:v>Scope: use full-plant simulate_swro_system and hold every input fixed except Train feed flow. The recommended margin is benchmark-specific, not a universal industry standard.</x:v>
      </x:c>
      <x:c r="E25" s="24" t="str">
        <x:v>Scope: use full-plant simulate_swro_system and hold every input fixed except Train feed flow. The recommended margin is benchmark-specific, not a universal industry standard.</x:v>
      </x:c>
      <x:c r="F25" s="24" t="str">
        <x:v>Scope: use full-plant simulate_swro_system and hold every input fixed except Train feed flow. The recommended margin is benchmark-specific, not a universal industry standard.</x:v>
      </x:c>
      <x:c r="G25" s="24" t="str">
        <x:v>Scope: use full-plant simulate_swro_system and hold every input fixed except Train feed flow. The recommended margin is benchmark-specific, not a universal industry standard.</x:v>
      </x:c>
      <x:c r="H25" s="24" t="str">
        <x:v>Scope: use full-plant simulate_swro_system and hold every input fixed except Train feed flow. The recommended margin is benchmark-specific, not a universal industry standard.</x:v>
      </x:c>
    </x:row>
    <x:row r="26">
      <x:c r="A26" s="24" t="str">
        <x:v>Scope: use full-plant simulate_swro_system and hold every input fixed except Train feed flow. The recommended margin is benchmark-specific, not a universal industry standard.</x:v>
      </x:c>
      <x:c r="B26" s="24" t="str">
        <x:v>Scope: use full-plant simulate_swro_system and hold every input fixed except Train feed flow. The recommended margin is benchmark-specific, not a universal industry standard.</x:v>
      </x:c>
      <x:c r="C26" s="24" t="str">
        <x:v>Scope: use full-plant simulate_swro_system and hold every input fixed except Train feed flow. The recommended margin is benchmark-specific, not a universal industry standard.</x:v>
      </x:c>
      <x:c r="D26" s="24" t="str">
        <x:v>Scope: use full-plant simulate_swro_system and hold every input fixed except Train feed flow. The recommended margin is benchmark-specific, not a universal industry standard.</x:v>
      </x:c>
      <x:c r="E26" s="24" t="str">
        <x:v>Scope: use full-plant simulate_swro_system and hold every input fixed except Train feed flow. The recommended margin is benchmark-specific, not a universal industry standard.</x:v>
      </x:c>
      <x:c r="F26" s="24" t="str">
        <x:v>Scope: use full-plant simulate_swro_system and hold every input fixed except Train feed flow. The recommended margin is benchmark-specific, not a universal industry standard.</x:v>
      </x:c>
      <x:c r="G26" s="24" t="str">
        <x:v>Scope: use full-plant simulate_swro_system and hold every input fixed except Train feed flow. The recommended margin is benchmark-specific, not a universal industry standard.</x:v>
      </x:c>
      <x:c r="H26" s="24" t="str">
        <x:v>Scope: use full-plant simulate_swro_system and hold every input fixed except Train feed flow. The recommended margin is benchmark-specific, not a universal industry standard.</x:v>
      </x:c>
    </x:row>
    <x:row r="27">
      <x:c r="A27" s="24" t="str">
        <x:v>Scope: use full-plant simulate_swro_system and hold every input fixed except Train feed flow. The recommended margin is benchmark-specific, not a universal industry standard.</x:v>
      </x:c>
      <x:c r="B27" s="24" t="str">
        <x:v>Scope: use full-plant simulate_swro_system and hold every input fixed except Train feed flow. The recommended margin is benchmark-specific, not a universal industry standard.</x:v>
      </x:c>
      <x:c r="C27" s="24" t="str">
        <x:v>Scope: use full-plant simulate_swro_system and hold every input fixed except Train feed flow. The recommended margin is benchmark-specific, not a universal industry standard.</x:v>
      </x:c>
      <x:c r="D27" s="24" t="str">
        <x:v>Scope: use full-plant simulate_swro_system and hold every input fixed except Train feed flow. The recommended margin is benchmark-specific, not a universal industry standard.</x:v>
      </x:c>
      <x:c r="E27" s="24" t="str">
        <x:v>Scope: use full-plant simulate_swro_system and hold every input fixed except Train feed flow. The recommended margin is benchmark-specific, not a universal industry standard.</x:v>
      </x:c>
      <x:c r="F27" s="24" t="str">
        <x:v>Scope: use full-plant simulate_swro_system and hold every input fixed except Train feed flow. The recommended margin is benchmark-specific, not a universal industry standard.</x:v>
      </x:c>
      <x:c r="G27" s="24" t="str">
        <x:v>Scope: use full-plant simulate_swro_system and hold every input fixed except Train feed flow. The recommended margin is benchmark-specific, not a universal industry standard.</x:v>
      </x:c>
      <x:c r="H27" s="24" t="str">
        <x:v>Scope: use full-plant simulate_swro_system and hold every input fixed except Train feed flow. The recommended margin is benchmark-specific, not a universal industry standard.</x:v>
      </x:c>
    </x:row>
    <x:row r="28">
      <x:c r="A28" s="24" t="str">
        <x:v>Scope: use full-plant simulate_swro_system and hold every input fixed except Train feed flow. The recommended margin is benchmark-specific, not a universal industry standard.</x:v>
      </x:c>
      <x:c r="B28" s="24" t="str">
        <x:v>Scope: use full-plant simulate_swro_system and hold every input fixed except Train feed flow. The recommended margin is benchmark-specific, not a universal industry standard.</x:v>
      </x:c>
      <x:c r="C28" s="24" t="str">
        <x:v>Scope: use full-plant simulate_swro_system and hold every input fixed except Train feed flow. The recommended margin is benchmark-specific, not a universal industry standard.</x:v>
      </x:c>
      <x:c r="D28" s="24" t="str">
        <x:v>Scope: use full-plant simulate_swro_system and hold every input fixed except Train feed flow. The recommended margin is benchmark-specific, not a universal industry standard.</x:v>
      </x:c>
      <x:c r="E28" s="24" t="str">
        <x:v>Scope: use full-plant simulate_swro_system and hold every input fixed except Train feed flow. The recommended margin is benchmark-specific, not a universal industry standard.</x:v>
      </x:c>
      <x:c r="F28" s="24" t="str">
        <x:v>Scope: use full-plant simulate_swro_system and hold every input fixed except Train feed flow. The recommended margin is benchmark-specific, not a universal industry standard.</x:v>
      </x:c>
      <x:c r="G28" s="24" t="str">
        <x:v>Scope: use full-plant simulate_swro_system and hold every input fixed except Train feed flow. The recommended margin is benchmark-specific, not a universal industry standard.</x:v>
      </x:c>
      <x:c r="H28" s="24" t="str">
        <x:v>Scope: use full-plant simulate_swro_system and hold every input fixed except Train feed flow. The recommended margin is benchmark-specific, not a universal industry standard.</x:v>
      </x:c>
    </x:row>
  </x:sheetData>
  <x:mergeCells>
    <x:mergeCell ref="A1:H2"/>
    <x:mergeCell ref="A4:H7"/>
    <x:mergeCell ref="A9:D9"/>
    <x:mergeCell ref="F9:H9"/>
    <x:mergeCell ref="F16:H16"/>
    <x:mergeCell ref="F17:H17"/>
    <x:mergeCell ref="F18:H18"/>
    <x:mergeCell ref="F19:H19"/>
    <x:mergeCell ref="F20:H20"/>
    <x:mergeCell ref="F21:H21"/>
    <x:mergeCell ref="A25:H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7" hidden="0" customWidth="1"/>
    <x:col min="4" max="4" width="16" hidden="0" customWidth="1"/>
    <x:col min="5" max="5" width="15" hidden="0" customWidth="1"/>
    <x:col min="6" max="6" width="15" hidden="0" customWidth="1"/>
    <x:col min="7" max="7" width="15" hidden="0" customWidth="1"/>
    <x:col min="8" max="8" width="16" hidden="0" customWidth="1"/>
    <x:col min="9" max="9" width="14" hidden="0" customWidth="1"/>
    <x:col min="10" max="10" width="16" hidden="0" customWidth="1"/>
    <x:col min="11" max="11" width="14" hidden="0" customWidth="1"/>
    <x:col min="12" max="12" width="13" hidden="0" customWidth="1"/>
    <x:col min="13" max="13" width="12" hidden="0" customWidth="1"/>
    <x:col min="14" max="14" width="12" hidden="0" customWidth="1"/>
    <x:col min="15" max="15" width="28" hidden="0" customWidth="1"/>
    <x:col min="16" max="16" width="3" hidden="0" customWidth="1"/>
    <x:col min="17" max="17" width="14" hidden="0" customWidth="1"/>
    <x:col min="18" max="18" width="17" hidden="0" customWidth="1"/>
    <x:col min="19" max="19" width="17" hidden="0" customWidth="1"/>
  </x:cols>
  <x:sheetData>
    <x:row r="1" ht="26" customHeight="1">
      <x:c r="A1" s="4" t="str">
        <x:v>D3-3a N05: Stepwise Gold Answer — Maximum Feed Loading Under Pump-Train Power Constraints</x:v>
      </x:c>
      <x:c r="B1" s="4" t="str">
        <x:v>D3-3a N05: Stepwise Gold Answer — Maximum Feed Loading Under Pump-Train Power Constraints</x:v>
      </x:c>
      <x:c r="C1" s="4" t="str">
        <x:v>D3-3a N05: Stepwise Gold Answer — Maximum Feed Loading Under Pump-Train Power Constraints</x:v>
      </x:c>
      <x:c r="D1" s="4" t="str">
        <x:v>D3-3a N05: Stepwise Gold Answer — Maximum Feed Loading Under Pump-Train Power Constraints</x:v>
      </x:c>
      <x:c r="E1" s="4" t="str">
        <x:v>D3-3a N05: Stepwise Gold Answer — Maximum Feed Loading Under Pump-Train Power Constraints</x:v>
      </x:c>
      <x:c r="F1" s="4" t="str">
        <x:v>D3-3a N05: Stepwise Gold Answer — Maximum Feed Loading Under Pump-Train Power Constraints</x:v>
      </x:c>
      <x:c r="G1" s="4" t="str">
        <x:v>D3-3a N05: Stepwise Gold Answer — Maximum Feed Loading Under Pump-Train Power Constraints</x:v>
      </x:c>
      <x:c r="H1" s="4" t="str">
        <x:v>D3-3a N05: Stepwise Gold Answer — Maximum Feed Loading Under Pump-Train Power Constraints</x:v>
      </x:c>
      <x:c r="I1" s="4" t="str">
        <x:v>D3-3a N05: Stepwise Gold Answer — Maximum Feed Loading Under Pump-Train Power Constraints</x:v>
      </x:c>
      <x:c r="J1" s="4" t="str">
        <x:v>D3-3a N05: Stepwise Gold Answer — Maximum Feed Loading Under Pump-Train Power Constraints</x:v>
      </x:c>
      <x:c r="K1" s="4" t="str">
        <x:v>D3-3a N05: Stepwise Gold Answer — Maximum Feed Loading Under Pump-Train Power Constraints</x:v>
      </x:c>
      <x:c r="L1" s="4" t="str">
        <x:v>D3-3a N05: Stepwise Gold Answer — Maximum Feed Loading Under Pump-Train Power Constraints</x:v>
      </x:c>
      <x:c r="M1" s="4" t="str">
        <x:v>D3-3a N05: Stepwise Gold Answer — Maximum Feed Loading Under Pump-Train Power Constraints</x:v>
      </x:c>
      <x:c r="N1" s="4" t="str">
        <x:v>D3-3a N05: Stepwise Gold Answer — Maximum Feed Loading Under Pump-Train Power Constraints</x:v>
      </x:c>
      <x:c r="O1" s="4" t="str">
        <x:v>D3-3a N05: Stepwise Gold Answer — Maximum Feed Loading Under Pump-Train Power Constraints</x:v>
      </x:c>
      <x:c r="P1" s="4" t="str">
        <x:v>D3-3a N05: Stepwise Gold Answer — Maximum Feed Loading Under Pump-Train Power Constraints</x:v>
      </x:c>
      <x:c r="Q1" s="4" t="str">
        <x:v>D3-3a N05: Stepwise Gold Answer — Maximum Feed Loading Under Pump-Train Power Constraints</x:v>
      </x:c>
      <x:c r="R1" s="4" t="str">
        <x:v>D3-3a N05: Stepwise Gold Answer — Maximum Feed Loading Under Pump-Train Power Constraints</x:v>
      </x:c>
      <x:c r="S1" s="4" t="str">
        <x:v>D3-3a N05: Stepwise Gold Answer — Maximum Feed Loading Under Pump-Train Power Constraints</x:v>
      </x:c>
    </x:row>
    <x:row r="2" ht="26" customHeight="1">
      <x:c r="A2" s="4" t="str">
        <x:v>D3-3a N05: Stepwise Gold Answer — Maximum Feed Loading Under Pump-Train Power Constraints</x:v>
      </x:c>
      <x:c r="B2" s="4" t="str">
        <x:v>D3-3a N05: Stepwise Gold Answer — Maximum Feed Loading Under Pump-Train Power Constraints</x:v>
      </x:c>
      <x:c r="C2" s="4" t="str">
        <x:v>D3-3a N05: Stepwise Gold Answer — Maximum Feed Loading Under Pump-Train Power Constraints</x:v>
      </x:c>
      <x:c r="D2" s="4" t="str">
        <x:v>D3-3a N05: Stepwise Gold Answer — Maximum Feed Loading Under Pump-Train Power Constraints</x:v>
      </x:c>
      <x:c r="E2" s="4" t="str">
        <x:v>D3-3a N05: Stepwise Gold Answer — Maximum Feed Loading Under Pump-Train Power Constraints</x:v>
      </x:c>
      <x:c r="F2" s="4" t="str">
        <x:v>D3-3a N05: Stepwise Gold Answer — Maximum Feed Loading Under Pump-Train Power Constraints</x:v>
      </x:c>
      <x:c r="G2" s="4" t="str">
        <x:v>D3-3a N05: Stepwise Gold Answer — Maximum Feed Loading Under Pump-Train Power Constraints</x:v>
      </x:c>
      <x:c r="H2" s="4" t="str">
        <x:v>D3-3a N05: Stepwise Gold Answer — Maximum Feed Loading Under Pump-Train Power Constraints</x:v>
      </x:c>
      <x:c r="I2" s="4" t="str">
        <x:v>D3-3a N05: Stepwise Gold Answer — Maximum Feed Loading Under Pump-Train Power Constraints</x:v>
      </x:c>
      <x:c r="J2" s="4" t="str">
        <x:v>D3-3a N05: Stepwise Gold Answer — Maximum Feed Loading Under Pump-Train Power Constraints</x:v>
      </x:c>
      <x:c r="K2" s="4" t="str">
        <x:v>D3-3a N05: Stepwise Gold Answer — Maximum Feed Loading Under Pump-Train Power Constraints</x:v>
      </x:c>
      <x:c r="L2" s="4" t="str">
        <x:v>D3-3a N05: Stepwise Gold Answer — Maximum Feed Loading Under Pump-Train Power Constraints</x:v>
      </x:c>
      <x:c r="M2" s="4" t="str">
        <x:v>D3-3a N05: Stepwise Gold Answer — Maximum Feed Loading Under Pump-Train Power Constraints</x:v>
      </x:c>
      <x:c r="N2" s="4" t="str">
        <x:v>D3-3a N05: Stepwise Gold Answer — Maximum Feed Loading Under Pump-Train Power Constraints</x:v>
      </x:c>
      <x:c r="O2" s="4" t="str">
        <x:v>D3-3a N05: Stepwise Gold Answer — Maximum Feed Loading Under Pump-Train Power Constraints</x:v>
      </x:c>
      <x:c r="P2" s="4" t="str">
        <x:v>D3-3a N05: Stepwise Gold Answer — Maximum Feed Loading Under Pump-Train Power Constraints</x:v>
      </x:c>
      <x:c r="Q2" s="4" t="str">
        <x:v>D3-3a N05: Stepwise Gold Answer — Maximum Feed Loading Under Pump-Train Power Constraints</x:v>
      </x:c>
      <x:c r="R2" s="4" t="str">
        <x:v>D3-3a N05: Stepwise Gold Answer — Maximum Feed Loading Under Pump-Train Power Constraints</x:v>
      </x:c>
      <x:c r="S2" s="4" t="str">
        <x:v>D3-3a N05: Stepwise Gold Answer — Maximum Feed Loading Under Pump-Train Power Constraints</x:v>
      </x:c>
    </x:row>
    <x:row r="4">
      <x:c r="A4" s="28" t="str">
        <x:v>Reference efficient trajectory: eight simulate_swro_system calls, first bracketing, then locking the basic and recommended boundaries. Sole variable: Train feed flow; resolution: 0.001 m³/s.</x:v>
      </x:c>
      <x:c r="B4" s="28" t="str">
        <x:v>Reference efficient trajectory: eight simulate_swro_system calls, first bracketing, then locking the basic and recommended boundaries. Sole variable: Train feed flow; resolution: 0.001 m³/s.</x:v>
      </x:c>
      <x:c r="C4" s="28" t="str">
        <x:v>Reference efficient trajectory: eight simulate_swro_system calls, first bracketing, then locking the basic and recommended boundaries. Sole variable: Train feed flow; resolution: 0.001 m³/s.</x:v>
      </x:c>
      <x:c r="D4" s="28" t="str">
        <x:v>Reference efficient trajectory: eight simulate_swro_system calls, first bracketing, then locking the basic and recommended boundaries. Sole variable: Train feed flow; resolution: 0.001 m³/s.</x:v>
      </x:c>
      <x:c r="E4" s="28" t="str">
        <x:v>Reference efficient trajectory: eight simulate_swro_system calls, first bracketing, then locking the basic and recommended boundaries. Sole variable: Train feed flow; resolution: 0.001 m³/s.</x:v>
      </x:c>
      <x:c r="F4" s="28" t="str">
        <x:v>Reference efficient trajectory: eight simulate_swro_system calls, first bracketing, then locking the basic and recommended boundaries. Sole variable: Train feed flow; resolution: 0.001 m³/s.</x:v>
      </x:c>
      <x:c r="G4" s="28" t="str">
        <x:v>Reference efficient trajectory: eight simulate_swro_system calls, first bracketing, then locking the basic and recommended boundaries. Sole variable: Train feed flow; resolution: 0.001 m³/s.</x:v>
      </x:c>
      <x:c r="H4" s="28" t="str">
        <x:v>Reference efficient trajectory: eight simulate_swro_system calls, first bracketing, then locking the basic and recommended boundaries. Sole variable: Train feed flow; resolution: 0.001 m³/s.</x:v>
      </x:c>
      <x:c r="I4" s="28" t="str">
        <x:v>Reference efficient trajectory: eight simulate_swro_system calls, first bracketing, then locking the basic and recommended boundaries. Sole variable: Train feed flow; resolution: 0.001 m³/s.</x:v>
      </x:c>
      <x:c r="J4" s="28" t="str">
        <x:v>Reference efficient trajectory: eight simulate_swro_system calls, first bracketing, then locking the basic and recommended boundaries. Sole variable: Train feed flow; resolution: 0.001 m³/s.</x:v>
      </x:c>
      <x:c r="K4" s="28" t="str">
        <x:v>Reference efficient trajectory: eight simulate_swro_system calls, first bracketing, then locking the basic and recommended boundaries. Sole variable: Train feed flow; resolution: 0.001 m³/s.</x:v>
      </x:c>
      <x:c r="L4" s="28" t="str">
        <x:v>Reference efficient trajectory: eight simulate_swro_system calls, first bracketing, then locking the basic and recommended boundaries. Sole variable: Train feed flow; resolution: 0.001 m³/s.</x:v>
      </x:c>
      <x:c r="M4" s="28" t="str">
        <x:v>Reference efficient trajectory: eight simulate_swro_system calls, first bracketing, then locking the basic and recommended boundaries. Sole variable: Train feed flow; resolution: 0.001 m³/s.</x:v>
      </x:c>
      <x:c r="N4" s="28" t="str">
        <x:v>Reference efficient trajectory: eight simulate_swro_system calls, first bracketing, then locking the basic and recommended boundaries. Sole variable: Train feed flow; resolution: 0.001 m³/s.</x:v>
      </x:c>
      <x:c r="O4" s="28" t="str">
        <x:v>Reference efficient trajectory: eight simulate_swro_system calls, first bracketing, then locking the basic and recommended boundaries. Sole variable: Train feed flow; resolution: 0.001 m³/s.</x:v>
      </x:c>
      <x:c r="P4" s="28" t="str">
        <x:v>Reference efficient trajectory: eight simulate_swro_system calls, first bracketing, then locking the basic and recommended boundaries. Sole variable: Train feed flow; resolution: 0.001 m³/s.</x:v>
      </x:c>
      <x:c r="Q4" s="28" t="str">
        <x:v>Reference efficient trajectory: eight simulate_swro_system calls, first bracketing, then locking the basic and recommended boundaries. Sole variable: Train feed flow; resolution: 0.001 m³/s.</x:v>
      </x:c>
      <x:c r="R4" s="28" t="str">
        <x:v>Reference efficient trajectory: eight simulate_swro_system calls, first bracketing, then locking the basic and recommended boundaries. Sole variable: Train feed flow; resolution: 0.001 m³/s.</x:v>
      </x:c>
      <x:c r="S4" s="28" t="str">
        <x:v>Reference efficient trajectory: eight simulate_swro_system calls, first bracketing, then locking the basic and recommended boundaries. Sole variable: Train feed flow; resolution: 0.001 m³/s.</x:v>
      </x:c>
    </x:row>
    <x:row r="5">
      <x:c r="A5" s="28" t="str">
        <x:v>Reference efficient trajectory: eight simulate_swro_system calls, first bracketing, then locking the basic and recommended boundaries. Sole variable: Train feed flow; resolution: 0.001 m³/s.</x:v>
      </x:c>
      <x:c r="B5" s="28" t="str">
        <x:v>Reference efficient trajectory: eight simulate_swro_system calls, first bracketing, then locking the basic and recommended boundaries. Sole variable: Train feed flow; resolution: 0.001 m³/s.</x:v>
      </x:c>
      <x:c r="C5" s="28" t="str">
        <x:v>Reference efficient trajectory: eight simulate_swro_system calls, first bracketing, then locking the basic and recommended boundaries. Sole variable: Train feed flow; resolution: 0.001 m³/s.</x:v>
      </x:c>
      <x:c r="D5" s="28" t="str">
        <x:v>Reference efficient trajectory: eight simulate_swro_system calls, first bracketing, then locking the basic and recommended boundaries. Sole variable: Train feed flow; resolution: 0.001 m³/s.</x:v>
      </x:c>
      <x:c r="E5" s="28" t="str">
        <x:v>Reference efficient trajectory: eight simulate_swro_system calls, first bracketing, then locking the basic and recommended boundaries. Sole variable: Train feed flow; resolution: 0.001 m³/s.</x:v>
      </x:c>
      <x:c r="F5" s="28" t="str">
        <x:v>Reference efficient trajectory: eight simulate_swro_system calls, first bracketing, then locking the basic and recommended boundaries. Sole variable: Train feed flow; resolution: 0.001 m³/s.</x:v>
      </x:c>
      <x:c r="G5" s="28" t="str">
        <x:v>Reference efficient trajectory: eight simulate_swro_system calls, first bracketing, then locking the basic and recommended boundaries. Sole variable: Train feed flow; resolution: 0.001 m³/s.</x:v>
      </x:c>
      <x:c r="H5" s="28" t="str">
        <x:v>Reference efficient trajectory: eight simulate_swro_system calls, first bracketing, then locking the basic and recommended boundaries. Sole variable: Train feed flow; resolution: 0.001 m³/s.</x:v>
      </x:c>
      <x:c r="I5" s="28" t="str">
        <x:v>Reference efficient trajectory: eight simulate_swro_system calls, first bracketing, then locking the basic and recommended boundaries. Sole variable: Train feed flow; resolution: 0.001 m³/s.</x:v>
      </x:c>
      <x:c r="J5" s="28" t="str">
        <x:v>Reference efficient trajectory: eight simulate_swro_system calls, first bracketing, then locking the basic and recommended boundaries. Sole variable: Train feed flow; resolution: 0.001 m³/s.</x:v>
      </x:c>
      <x:c r="K5" s="28" t="str">
        <x:v>Reference efficient trajectory: eight simulate_swro_system calls, first bracketing, then locking the basic and recommended boundaries. Sole variable: Train feed flow; resolution: 0.001 m³/s.</x:v>
      </x:c>
      <x:c r="L5" s="28" t="str">
        <x:v>Reference efficient trajectory: eight simulate_swro_system calls, first bracketing, then locking the basic and recommended boundaries. Sole variable: Train feed flow; resolution: 0.001 m³/s.</x:v>
      </x:c>
      <x:c r="M5" s="28" t="str">
        <x:v>Reference efficient trajectory: eight simulate_swro_system calls, first bracketing, then locking the basic and recommended boundaries. Sole variable: Train feed flow; resolution: 0.001 m³/s.</x:v>
      </x:c>
      <x:c r="N5" s="28" t="str">
        <x:v>Reference efficient trajectory: eight simulate_swro_system calls, first bracketing, then locking the basic and recommended boundaries. Sole variable: Train feed flow; resolution: 0.001 m³/s.</x:v>
      </x:c>
      <x:c r="O5" s="28" t="str">
        <x:v>Reference efficient trajectory: eight simulate_swro_system calls, first bracketing, then locking the basic and recommended boundaries. Sole variable: Train feed flow; resolution: 0.001 m³/s.</x:v>
      </x:c>
      <x:c r="P5" s="28" t="str">
        <x:v>Reference efficient trajectory: eight simulate_swro_system calls, first bracketing, then locking the basic and recommended boundaries. Sole variable: Train feed flow; resolution: 0.001 m³/s.</x:v>
      </x:c>
      <x:c r="Q5" s="28" t="str">
        <x:v>Reference efficient trajectory: eight simulate_swro_system calls, first bracketing, then locking the basic and recommended boundaries. Sole variable: Train feed flow; resolution: 0.001 m³/s.</x:v>
      </x:c>
      <x:c r="R5" s="28" t="str">
        <x:v>Reference efficient trajectory: eight simulate_swro_system calls, first bracketing, then locking the basic and recommended boundaries. Sole variable: Train feed flow; resolution: 0.001 m³/s.</x:v>
      </x:c>
      <x:c r="S5" s="28" t="str">
        <x:v>Reference efficient trajectory: eight simulate_swro_system calls, first bracketing, then locking the basic and recommended boundaries. Sole variable: Train feed flow; resolution: 0.001 m³/s.</x:v>
      </x:c>
    </x:row>
    <x:row r="6">
      <x:c r="A6" s="28" t="str">
        <x:v>Reference efficient trajectory: eight simulate_swro_system calls, first bracketing, then locking the basic and recommended boundaries. Sole variable: Train feed flow; resolution: 0.001 m³/s.</x:v>
      </x:c>
      <x:c r="B6" s="28" t="str">
        <x:v>Reference efficient trajectory: eight simulate_swro_system calls, first bracketing, then locking the basic and recommended boundaries. Sole variable: Train feed flow; resolution: 0.001 m³/s.</x:v>
      </x:c>
      <x:c r="C6" s="28" t="str">
        <x:v>Reference efficient trajectory: eight simulate_swro_system calls, first bracketing, then locking the basic and recommended boundaries. Sole variable: Train feed flow; resolution: 0.001 m³/s.</x:v>
      </x:c>
      <x:c r="D6" s="28" t="str">
        <x:v>Reference efficient trajectory: eight simulate_swro_system calls, first bracketing, then locking the basic and recommended boundaries. Sole variable: Train feed flow; resolution: 0.001 m³/s.</x:v>
      </x:c>
      <x:c r="E6" s="28" t="str">
        <x:v>Reference efficient trajectory: eight simulate_swro_system calls, first bracketing, then locking the basic and recommended boundaries. Sole variable: Train feed flow; resolution: 0.001 m³/s.</x:v>
      </x:c>
      <x:c r="F6" s="28" t="str">
        <x:v>Reference efficient trajectory: eight simulate_swro_system calls, first bracketing, then locking the basic and recommended boundaries. Sole variable: Train feed flow; resolution: 0.001 m³/s.</x:v>
      </x:c>
      <x:c r="G6" s="28" t="str">
        <x:v>Reference efficient trajectory: eight simulate_swro_system calls, first bracketing, then locking the basic and recommended boundaries. Sole variable: Train feed flow; resolution: 0.001 m³/s.</x:v>
      </x:c>
      <x:c r="H6" s="28" t="str">
        <x:v>Reference efficient trajectory: eight simulate_swro_system calls, first bracketing, then locking the basic and recommended boundaries. Sole variable: Train feed flow; resolution: 0.001 m³/s.</x:v>
      </x:c>
      <x:c r="I6" s="28" t="str">
        <x:v>Reference efficient trajectory: eight simulate_swro_system calls, first bracketing, then locking the basic and recommended boundaries. Sole variable: Train feed flow; resolution: 0.001 m³/s.</x:v>
      </x:c>
      <x:c r="J6" s="28" t="str">
        <x:v>Reference efficient trajectory: eight simulate_swro_system calls, first bracketing, then locking the basic and recommended boundaries. Sole variable: Train feed flow; resolution: 0.001 m³/s.</x:v>
      </x:c>
      <x:c r="K6" s="28" t="str">
        <x:v>Reference efficient trajectory: eight simulate_swro_system calls, first bracketing, then locking the basic and recommended boundaries. Sole variable: Train feed flow; resolution: 0.001 m³/s.</x:v>
      </x:c>
      <x:c r="L6" s="28" t="str">
        <x:v>Reference efficient trajectory: eight simulate_swro_system calls, first bracketing, then locking the basic and recommended boundaries. Sole variable: Train feed flow; resolution: 0.001 m³/s.</x:v>
      </x:c>
      <x:c r="M6" s="28" t="str">
        <x:v>Reference efficient trajectory: eight simulate_swro_system calls, first bracketing, then locking the basic and recommended boundaries. Sole variable: Train feed flow; resolution: 0.001 m³/s.</x:v>
      </x:c>
      <x:c r="N6" s="28" t="str">
        <x:v>Reference efficient trajectory: eight simulate_swro_system calls, first bracketing, then locking the basic and recommended boundaries. Sole variable: Train feed flow; resolution: 0.001 m³/s.</x:v>
      </x:c>
      <x:c r="O6" s="28" t="str">
        <x:v>Reference efficient trajectory: eight simulate_swro_system calls, first bracketing, then locking the basic and recommended boundaries. Sole variable: Train feed flow; resolution: 0.001 m³/s.</x:v>
      </x:c>
      <x:c r="P6" s="28" t="str">
        <x:v>Reference efficient trajectory: eight simulate_swro_system calls, first bracketing, then locking the basic and recommended boundaries. Sole variable: Train feed flow; resolution: 0.001 m³/s.</x:v>
      </x:c>
      <x:c r="Q6" s="28" t="str">
        <x:v>Reference efficient trajectory: eight simulate_swro_system calls, first bracketing, then locking the basic and recommended boundaries. Sole variable: Train feed flow; resolution: 0.001 m³/s.</x:v>
      </x:c>
      <x:c r="R6" s="28" t="str">
        <x:v>Reference efficient trajectory: eight simulate_swro_system calls, first bracketing, then locking the basic and recommended boundaries. Sole variable: Train feed flow; resolution: 0.001 m³/s.</x:v>
      </x:c>
      <x:c r="S6" s="28" t="str">
        <x:v>Reference efficient trajectory: eight simulate_swro_system calls, first bracketing, then locking the basic and recommended boundaries. Sole variable: Train feed flow; resolution: 0.001 m³/s.</x:v>
      </x:c>
    </x:row>
    <x:row r="8">
      <x:c r="A8" s="10" t="str">
        <x:v>Reference agent trajectory</x:v>
      </x:c>
      <x:c r="B8" s="10" t="str">
        <x:v>Reference agent trajectory</x:v>
      </x:c>
      <x:c r="C8" s="10" t="str">
        <x:v>Reference agent trajectory</x:v>
      </x:c>
      <x:c r="D8" s="10" t="str">
        <x:v>Reference agent trajectory</x:v>
      </x:c>
      <x:c r="E8" s="10" t="str">
        <x:v>Reference agent trajectory</x:v>
      </x:c>
      <x:c r="F8" s="10" t="str">
        <x:v>Reference agent trajectory</x:v>
      </x:c>
      <x:c r="G8" s="10" t="str">
        <x:v>Reference agent trajectory</x:v>
      </x:c>
    </x:row>
    <x:row r="9">
      <x:c r="A9" s="16" t="str">
        <x:v>Stage</x:v>
      </x:c>
      <x:c r="B9" s="16" t="str">
        <x:v>Known state</x:v>
      </x:c>
      <x:c r="C9" s="16" t="str">
        <x:v>Action</x:v>
      </x:c>
      <x:c r="D9" s="16" t="str">
        <x:v>Key observation</x:v>
      </x:c>
      <x:c r="E9" s="16" t="str">
        <x:v>State update</x:v>
      </x:c>
      <x:c r="F9" s="16" t="str">
        <x:v>Next step</x:v>
      </x:c>
      <x:c r="G9" s="16" t="str">
        <x:v>Capability</x:v>
      </x:c>
    </x:row>
    <x:row r="10" ht="45" customHeight="1">
      <x:c r="A10" s="19" t="str">
        <x:v>1 Baseline</x:v>
      </x:c>
      <x:c r="B10" s="19" t="str">
        <x:v>Control direction unknown</x:v>
      </x:c>
      <x:c r="C10" s="19" t="str">
        <x:v>0.25</x:v>
      </x:c>
      <x:c r="D10" s="19" t="str">
        <x:v>low-load baseline</x:v>
      </x:c>
      <x:c r="E10" s="19" t="str">
        <x:v>Establish baseline</x:v>
      </x:c>
      <x:c r="F10" s="19" t="str">
        <x:v>Test opposite end</x:v>
      </x:c>
      <x:c r="G10" s="19" t="str">
        <x:v>Problem diagnosis</x:v>
      </x:c>
    </x:row>
    <x:row r="11" ht="45" customHeight="1">
      <x:c r="A11" s="19" t="str">
        <x:v>2 Coarse bracket</x:v>
      </x:c>
      <x:c r="B11" s="19" t="str">
        <x:v>Baseline known</x:v>
      </x:c>
      <x:c r="C11" s="19" t="str">
        <x:v>0.35</x:v>
      </x:c>
      <x:c r="D11" s="19" t="str">
        <x:v>near both limits</x:v>
      </x:c>
      <x:c r="E11" s="19" t="str">
        <x:v>Create pass/fail bracket</x:v>
      </x:c>
      <x:c r="F11" s="19" t="str">
        <x:v>Test midpoints</x:v>
      </x:c>
      <x:c r="G11" s="19" t="str">
        <x:v>Plan→Observe</x:v>
      </x:c>
    </x:row>
    <x:row r="12" ht="45" customHeight="1">
      <x:c r="A12" s="19" t="str">
        <x:v>3 Narrow</x:v>
      </x:c>
      <x:c r="B12" s="19" t="str">
        <x:v>0.25 / 0.35</x:v>
      </x:c>
      <x:c r="C12" s="19" t="str">
        <x:v>0.28→0.32</x:v>
      </x:c>
      <x:c r="D12" s="19" t="str">
        <x:v>comfortable margin; near recommended limit</x:v>
      </x:c>
      <x:c r="E12" s="19" t="str">
        <x:v>Locate both targets</x:v>
      </x:c>
      <x:c r="F12" s="19" t="str">
        <x:v>Move to final resolution</x:v>
      </x:c>
      <x:c r="G12" s="19" t="str">
        <x:v>Adaptive search</x:v>
      </x:c>
    </x:row>
    <x:row r="13" ht="45" customHeight="1">
      <x:c r="A13" s="19" t="str">
        <x:v>4 Basic boundary</x:v>
      </x:c>
      <x:c r="B13" s="19" t="str">
        <x:v>Basic target unresolved</x:v>
      </x:c>
      <x:c r="C13" s="19" t="str">
        <x:v>0.353↔0.352</x:v>
      </x:c>
      <x:c r="D13" s="19" t="str">
        <x:v>Adjacent fail/pass</x:v>
      </x:c>
      <x:c r="E13" s="19" t="str">
        <x:v>Lock basic boundary</x:v>
      </x:c>
      <x:c r="F13" s="19" t="str">
        <x:v>Switch to margin target</x:v>
      </x:c>
      <x:c r="G13" s="19" t="str">
        <x:v>Boundary proof</x:v>
      </x:c>
    </x:row>
    <x:row r="14" ht="45" customHeight="1">
      <x:c r="A14" s="19" t="str">
        <x:v>5 Recommended boundary</x:v>
      </x:c>
      <x:c r="B14" s="19" t="str">
        <x:v>Use stricter margin</x:v>
      </x:c>
      <x:c r="C14" s="19" t="str">
        <x:v>0.32↔0.319</x:v>
      </x:c>
      <x:c r="D14" s="19" t="str">
        <x:v>Adjacent fail/pass</x:v>
      </x:c>
      <x:c r="E14" s="19" t="str">
        <x:v>Lock recommendation</x:v>
      </x:c>
      <x:c r="F14" s="19" t="str">
        <x:v>Calculate energy</x:v>
      </x:c>
      <x:c r="G14" s="19" t="str">
        <x:v>Target switch</x:v>
      </x:c>
    </x:row>
    <x:row r="15" ht="45" customHeight="1">
      <x:c r="A15" s="19" t="str">
        <x:v>6 Decision</x:v>
      </x:c>
      <x:c r="B15" s="19" t="str">
        <x:v>Both boundaries proven</x:v>
      </x:c>
      <x:c r="C15" s="19" t="str">
        <x:v>Summarize outputs</x:v>
      </x:c>
      <x:c r="D15" s="19" t="str">
        <x:v>Maximum basic feed is 0.352 m³/s, controlled by P2 power. Recommended limit is 0.319 m³/s, controlled by the 4% P1 margin. Recommended product is 10,765.90 m³/d, system recovery 39.06% and SEC 3.0263 kWh/m³.</x:v>
      </x:c>
      <x:c r="E15" s="19" t="str">
        <x:v>Set operating rule</x:v>
      </x:c>
      <x:c r="F15" s="19" t="str">
        <x:v>Stop</x:v>
      </x:c>
      <x:c r="G15" s="19" t="str">
        <x:v>Engineering decision</x:v>
      </x:c>
    </x:row>
    <x:row r="18">
      <x:c r="A18" s="10" t="str">
        <x:v>Eight actual simulate_swro_system calls</x:v>
      </x:c>
      <x:c r="B18" s="10" t="str">
        <x:v>Eight actual simulate_swro_system calls</x:v>
      </x:c>
      <x:c r="C18" s="10" t="str">
        <x:v>Eight actual simulate_swro_system calls</x:v>
      </x:c>
      <x:c r="D18" s="10" t="str">
        <x:v>Eight actual simulate_swro_system calls</x:v>
      </x:c>
      <x:c r="E18" s="10" t="str">
        <x:v>Eight actual simulate_swro_system calls</x:v>
      </x:c>
      <x:c r="F18" s="10" t="str">
        <x:v>Eight actual simulate_swro_system calls</x:v>
      </x:c>
      <x:c r="G18" s="10" t="str">
        <x:v>Eight actual simulate_swro_system calls</x:v>
      </x:c>
      <x:c r="H18" s="10" t="str">
        <x:v>Eight actual simulate_swro_system calls</x:v>
      </x:c>
      <x:c r="I18" s="10" t="str">
        <x:v>Eight actual simulate_swro_system calls</x:v>
      </x:c>
      <x:c r="J18" s="10" t="str">
        <x:v>Eight actual simulate_swro_system calls</x:v>
      </x:c>
      <x:c r="K18" s="10" t="str">
        <x:v>Eight actual simulate_swro_system calls</x:v>
      </x:c>
      <x:c r="L18" s="10" t="str">
        <x:v>Eight actual simulate_swro_system calls</x:v>
      </x:c>
      <x:c r="M18" s="10" t="str">
        <x:v>Eight actual simulate_swro_system calls</x:v>
      </x:c>
      <x:c r="N18" s="10" t="str">
        <x:v>Eight actual simulate_swro_system calls</x:v>
      </x:c>
      <x:c r="O18" s="10" t="str">
        <x:v>Eight actual simulate_swro_system calls</x:v>
      </x:c>
    </x:row>
    <x:row r="19">
      <x:c r="A19" s="16" t="str">
        <x:v>Call</x:v>
      </x:c>
      <x:c r="B19" s="16" t="str">
        <x:v>Train feed flow</x:v>
      </x:c>
      <x:c r="C19" s="16" t="str">
        <x:v>Product m³/d</x:v>
      </x:c>
      <x:c r="D19" s="16" t="str">
        <x:v>System recovery %</x:v>
      </x:c>
      <x:c r="E19" s="16" t="str">
        <x:v>P1 power kW</x:v>
      </x:c>
      <x:c r="F19" s="16" t="str">
        <x:v>P2 power kW</x:v>
      </x:c>
      <x:c r="G19" s="16" t="str">
        <x:v>Pump-train kW</x:v>
      </x:c>
      <x:c r="H19" s="16" t="str">
        <x:v>SEC kWh/m³</x:v>
      </x:c>
      <x:c r="I19" s="16" t="str">
        <x:v>Net plant kW</x:v>
      </x:c>
      <x:c r="J19" s="16" t="str">
        <x:v>Daily energy kWh/d</x:v>
      </x:c>
      <x:c r="K19" s="16" t="str">
        <x:v>LCOW $/m³</x:v>
      </x:c>
      <x:c r="L19" s="16" t="str">
        <x:v>Basic</x:v>
      </x:c>
      <x:c r="M19" s="16" t="str">
        <x:v>Margin</x:v>
      </x:c>
      <x:c r="N19" s="16" t="str">
        <x:v>m³/s</x:v>
      </x:c>
      <x:c r="O19" s="16" t="str">
        <x:v>Observation/decision</x:v>
      </x:c>
      <x:c r="Q19" t="str">
        <x:v>Train feed flow</x:v>
      </x:c>
      <x:c r="R19" t="str">
        <x:v>Key output</x:v>
      </x:c>
      <x:c r="S19" t="str">
        <x:v>Recommended target</x:v>
      </x:c>
    </x:row>
    <x:row r="20" ht="29" customHeight="1">
      <x:c r="A20" s="19" t="n">
        <x:v>1</x:v>
      </x:c>
      <x:c r="B20" s="20" t="n">
        <x:v>0.25</x:v>
      </x:c>
      <x:c r="C20" s="29" t="n">
        <x:v>9703.209425319128</x:v>
      </x:c>
      <x:c r="D20" s="29" t="n">
        <x:v>44.92226585795893</x:v>
      </x:c>
      <x:c r="E20" s="29" t="n">
        <x:v>949.9495774648877</x:v>
      </x:c>
      <x:c r="F20" s="29" t="n">
        <x:v>72.28896840286929</x:v>
      </x:c>
      <x:c r="G20" s="29" t="n">
        <x:f>E20+F20</x:f>
        <x:v>1022.238545867757</x:v>
      </x:c>
      <x:c r="H20" s="29" t="n">
        <x:v>2.9364101973318455</x:v>
      </x:c>
      <x:c r="I20" s="29" t="n">
        <x:f>C20/24*H20</x:f>
        <x:v>1187.1917959730652</x:v>
      </x:c>
      <x:c r="J20" s="29" t="n">
        <x:f>C20*H20</x:f>
        <x:v>28492.603103353566</x:v>
      </x:c>
      <x:c r="K20" s="30" t="n">
        <x:v>0.8460270136966638</x:v>
      </x:c>
      <x:c r="L20" s="33" t="str">
        <x:v>PASS</x:v>
      </x:c>
      <x:c r="M20" s="33" t="str">
        <x:v>PASS</x:v>
      </x:c>
      <x:c r="N20" s="19" t="str">
        <x:v>m³/s</x:v>
      </x:c>
      <x:c r="O20" s="19" t="str">
        <x:v>low-load baseline</x:v>
      </x:c>
      <x:c r="Q20" t="n">
        <x:v>0.25</x:v>
      </x:c>
      <x:c r="R20" t="n">
        <x:v>949.9495774648877</x:v>
      </x:c>
      <x:c r="S20" t="n">
        <x:v>1056</x:v>
      </x:c>
    </x:row>
    <x:row r="21" ht="29" customHeight="1">
      <x:c r="A21" s="19" t="n">
        <x:v>2</x:v>
      </x:c>
      <x:c r="B21" s="20" t="n">
        <x:v>0.35</x:v>
      </x:c>
      <x:c r="C21" s="29" t="n">
        <x:v>11137.61958422857</x:v>
      </x:c>
      <x:c r="D21" s="29" t="n">
        <x:v>36.83075259334845</x:v>
      </x:c>
      <x:c r="E21" s="29" t="n">
        <x:v>1090.5894261753015</x:v>
      </x:c>
      <x:c r="F21" s="29" t="n">
        <x:v>147.5098946698341</x:v>
      </x:c>
      <x:c r="G21" s="29" t="n">
        <x:f>E21+F21</x:f>
        <x:v>1238.0993208451355</x:v>
      </x:c>
      <x:c r="H21" s="29" t="n">
        <x:v>3.0761292885585427</x:v>
      </x:c>
      <x:c r="I21" s="29" t="n">
        <x:f>C21/24*H21</x:f>
        <x:v>1427.5315753278635</x:v>
      </x:c>
      <x:c r="J21" s="29" t="n">
        <x:f>C21*H21</x:f>
        <x:v>34260.75780786872</x:v>
      </x:c>
      <x:c r="K21" s="30" t="n">
        <x:v>0.8825756686378996</x:v>
      </x:c>
      <x:c r="L21" s="33" t="str">
        <x:v>PASS</x:v>
      </x:c>
      <x:c r="M21" s="36" t="str">
        <x:v>FAIL</x:v>
      </x:c>
      <x:c r="N21" s="19" t="str">
        <x:v>m³/s</x:v>
      </x:c>
      <x:c r="O21" s="19" t="str">
        <x:v>near both limits</x:v>
      </x:c>
      <x:c r="Q21" t="n">
        <x:v>0.28</x:v>
      </x:c>
      <x:c r="R21" t="n">
        <x:v>999.6044872328985</x:v>
      </x:c>
      <x:c r="S21" t="n">
        <x:v>1056</x:v>
      </x:c>
    </x:row>
    <x:row r="22" ht="29" customHeight="1">
      <x:c r="A22" s="19" t="n">
        <x:v>3</x:v>
      </x:c>
      <x:c r="B22" s="20" t="n">
        <x:v>0.28</x:v>
      </x:c>
      <x:c r="C22" s="29" t="n">
        <x:v>10209.684243899928</x:v>
      </x:c>
      <x:c r="D22" s="29" t="n">
        <x:v>42.2027291827874</x:v>
      </x:c>
      <x:c r="E22" s="29" t="n">
        <x:v>999.6044872328985</x:v>
      </x:c>
      <x:c r="F22" s="29" t="n">
        <x:v>91.18580419237688</x:v>
      </x:c>
      <x:c r="G22" s="29" t="n">
        <x:f>E22+F22</x:f>
        <x:v>1090.7902914252754</x:v>
      </x:c>
      <x:c r="H22" s="29" t="n">
        <x:v>2.9721872292412077</x:v>
      </x:c>
      <x:c r="I22" s="29" t="n">
        <x:f>C22/24*H22</x:f>
        <x:v>1264.378880179356</x:v>
      </x:c>
      <x:c r="J22" s="29" t="n">
        <x:f>C22*H22</x:f>
        <x:v>30345.09312430454</x:v>
      </x:c>
      <x:c r="K22" s="30" t="n">
        <x:v>0.8538155279944327</x:v>
      </x:c>
      <x:c r="L22" s="33" t="str">
        <x:v>PASS</x:v>
      </x:c>
      <x:c r="M22" s="33" t="str">
        <x:v>PASS</x:v>
      </x:c>
      <x:c r="N22" s="19" t="str">
        <x:v>m³/s</x:v>
      </x:c>
      <x:c r="O22" s="19" t="str">
        <x:v>comfortable margin</x:v>
      </x:c>
      <x:c r="Q22" t="n">
        <x:v>0.319</x:v>
      </x:c>
      <x:c r="R22" t="n">
        <x:v>1054.1398260697795</x:v>
      </x:c>
      <x:c r="S22" t="n">
        <x:v>1056</x:v>
      </x:c>
    </x:row>
    <x:row r="23" ht="29" customHeight="1">
      <x:c r="A23" s="19" t="n">
        <x:v>4</x:v>
      </x:c>
      <x:c r="B23" s="20" t="n">
        <x:v>0.32</x:v>
      </x:c>
      <x:c r="C23" s="29" t="n">
        <x:v>10778.800885014381</x:v>
      </x:c>
      <x:c r="D23" s="29" t="n">
        <x:v>38.985824960266136</x:v>
      </x:c>
      <x:c r="E23" s="29" t="n">
        <x:v>1055.4051339801617</x:v>
      </x:c>
      <x:c r="F23" s="29" t="n">
        <x:v>121.11224410207387</x:v>
      </x:c>
      <x:c r="G23" s="29" t="n">
        <x:f>E23+F23</x:f>
        <x:v>1176.5173780822356</x:v>
      </x:c>
      <x:c r="H23" s="29" t="n">
        <x:v>3.027762564324839</x:v>
      </x:c>
      <x:c r="I23" s="29" t="n">
        <x:f>C23/24*H23</x:f>
        <x:v>1359.8187419982494</x:v>
      </x:c>
      <x:c r="J23" s="29" t="n">
        <x:f>C23*H23</x:f>
        <x:v>32635.649807957987</x:v>
      </x:c>
      <x:c r="K23" s="30" t="n">
        <x:v>0.8686513684312225</x:v>
      </x:c>
      <x:c r="L23" s="33" t="str">
        <x:v>PASS</x:v>
      </x:c>
      <x:c r="M23" s="33" t="str">
        <x:v>PASS</x:v>
      </x:c>
      <x:c r="N23" s="19" t="str">
        <x:v>m³/s</x:v>
      </x:c>
      <x:c r="O23" s="19" t="str">
        <x:v>near recommended limit</x:v>
      </x:c>
      <x:c r="Q23" t="n">
        <x:v>0.32</x:v>
      </x:c>
      <x:c r="R23" t="n">
        <x:v>1055.4051339801617</x:v>
      </x:c>
      <x:c r="S23" t="n">
        <x:v>1056</x:v>
      </x:c>
    </x:row>
    <x:row r="24" ht="29" customHeight="1">
      <x:c r="A24" s="19" t="n">
        <x:v>5</x:v>
      </x:c>
      <x:c r="B24" s="20" t="n">
        <x:v>0.352</x:v>
      </x:c>
      <x:c r="C24" s="29" t="n">
        <x:v>11159.686601616964</x:v>
      </x:c>
      <x:c r="D24" s="29" t="n">
        <x:v>36.69404527572919</x:v>
      </x:c>
      <x:c r="E24" s="29" t="n">
        <x:v>1092.7533150124325</x:v>
      </x:c>
      <x:c r="F24" s="29" t="n">
        <x:v>149.39938387650426</x:v>
      </x:c>
      <x:c r="G24" s="29" t="n">
        <x:f>E24+F24</x:f>
        <x:v>1242.1526988889368</x:v>
      </x:c>
      <x:c r="H24" s="29" t="n">
        <x:v>3.0795751464038523</x:v>
      </x:c>
      <x:c r="I24" s="29" t="n">
        <x:f>C24/24*H24</x:f>
        <x:v>1431.9622291664862</x:v>
      </x:c>
      <x:c r="J24" s="29" t="n">
        <x:f>C24*H24</x:f>
        <x:v>34367.09349999567</x:v>
      </x:c>
      <x:c r="K24" s="30" t="n">
        <x:v>0.8835811176331166</x:v>
      </x:c>
      <x:c r="L24" s="33" t="str">
        <x:v>PASS</x:v>
      </x:c>
      <x:c r="M24" s="36" t="str">
        <x:v>FAIL</x:v>
      </x:c>
      <x:c r="N24" s="19" t="str">
        <x:v>m³/s</x:v>
      </x:c>
      <x:c r="O24" s="19" t="str">
        <x:v>basic pass</x:v>
      </x:c>
      <x:c r="Q24" t="n">
        <x:v>0.32</x:v>
      </x:c>
      <x:c r="R24" t="n">
        <x:v>1055.4051339801617</x:v>
      </x:c>
      <x:c r="S24" t="n">
        <x:v>1056</x:v>
      </x:c>
    </x:row>
    <x:row r="25" ht="29" customHeight="1">
      <x:c r="A25" s="19" t="n">
        <x:v>6</x:v>
      </x:c>
      <x:c r="B25" s="20" t="n">
        <x:v>0.353</x:v>
      </x:c>
      <x:c r="C25" s="29" t="n">
        <x:v>11170.63738376296</x:v>
      </x:c>
      <x:c r="D25" s="29" t="n">
        <x:v>36.626001284502415</x:v>
      </x:c>
      <x:c r="E25" s="29" t="n">
        <x:v>1093.827151391809</x:v>
      </x:c>
      <x:c r="F25" s="29" t="n">
        <x:v>150.35040709168422</x:v>
      </x:c>
      <x:c r="G25" s="29" t="n">
        <x:f>E25+F25</x:f>
        <x:v>1244.1775584834932</x:v>
      </x:c>
      <x:c r="H25" s="29" t="n">
        <x:v>3.081308844034878</x:v>
      </x:c>
      <x:c r="I25" s="29" t="n">
        <x:f>C25/24*H25</x:f>
        <x:v>1434.1743235039767</x:v>
      </x:c>
      <x:c r="J25" s="29" t="n">
        <x:f>C25*H25</x:f>
        <x:v>34420.18376409544</x:v>
      </x:c>
      <x:c r="K25" s="30" t="n">
        <x:v>0.8840873294478038</x:v>
      </x:c>
      <x:c r="L25" s="36" t="str">
        <x:v>FAIL</x:v>
      </x:c>
      <x:c r="M25" s="36" t="str">
        <x:v>FAIL</x:v>
      </x:c>
      <x:c r="N25" s="19" t="str">
        <x:v>m³/s</x:v>
      </x:c>
      <x:c r="O25" s="19" t="str">
        <x:v>basic fails on P2</x:v>
      </x:c>
      <x:c r="Q25" t="n">
        <x:v>0.35</x:v>
      </x:c>
      <x:c r="R25" t="n">
        <x:v>1090.5894261753015</x:v>
      </x:c>
      <x:c r="S25" t="n">
        <x:v>1056</x:v>
      </x:c>
    </x:row>
    <x:row r="26" ht="29" customHeight="1">
      <x:c r="A26" s="19" t="n">
        <x:v>7</x:v>
      </x:c>
      <x:c r="B26" s="20" t="n">
        <x:v>0.319</x:v>
      </x:c>
      <x:c r="C26" s="29" t="n">
        <x:v>10765.896472769682</x:v>
      </x:c>
      <x:c r="D26" s="29" t="n">
        <x:v>39.06121731963921</x:v>
      </x:c>
      <x:c r="E26" s="29" t="n">
        <x:v>1054.1398260697795</x:v>
      </x:c>
      <x:c r="F26" s="29" t="n">
        <x:v>120.2930577495106</x:v>
      </x:c>
      <x:c r="G26" s="29" t="n">
        <x:f>E26+F26</x:f>
        <x:v>1174.43288381929</x:v>
      </x:c>
      <x:c r="H26" s="29" t="n">
        <x:v>3.026253607864827</x:v>
      </x:c>
      <x:c r="I26" s="29" t="n">
        <x:f>C26/24*H26</x:f>
        <x:v>1357.5138767757694</x:v>
      </x:c>
      <x:c r="J26" s="29" t="n">
        <x:f>C26*H26</x:f>
        <x:v>32580.333042618466</x:v>
      </x:c>
      <x:c r="K26" s="30" t="n">
        <x:v>0.8682261319735922</x:v>
      </x:c>
      <x:c r="L26" s="33" t="str">
        <x:v>PASS</x:v>
      </x:c>
      <x:c r="M26" s="33" t="str">
        <x:v>PASS</x:v>
      </x:c>
      <x:c r="N26" s="19" t="str">
        <x:v>m³/s</x:v>
      </x:c>
      <x:c r="O26" s="19" t="str">
        <x:v>margin pass</x:v>
      </x:c>
      <x:c r="Q26" t="n">
        <x:v>0.352</x:v>
      </x:c>
      <x:c r="R26" t="n">
        <x:v>1092.7533150124325</x:v>
      </x:c>
      <x:c r="S26" t="n">
        <x:v>1056</x:v>
      </x:c>
    </x:row>
    <x:row r="27" ht="29" customHeight="1">
      <x:c r="A27" s="19" t="n">
        <x:v>8</x:v>
      </x:c>
      <x:c r="B27" s="20" t="n">
        <x:v>0.32</x:v>
      </x:c>
      <x:c r="C27" s="29" t="n">
        <x:v>10778.800885014381</x:v>
      </x:c>
      <x:c r="D27" s="29" t="n">
        <x:v>38.985824960266136</x:v>
      </x:c>
      <x:c r="E27" s="29" t="n">
        <x:v>1055.4051339801617</x:v>
      </x:c>
      <x:c r="F27" s="29" t="n">
        <x:v>121.11224410207387</x:v>
      </x:c>
      <x:c r="G27" s="29" t="n">
        <x:f>E27+F27</x:f>
        <x:v>1176.5173780822356</x:v>
      </x:c>
      <x:c r="H27" s="29" t="n">
        <x:v>3.027762564324839</x:v>
      </x:c>
      <x:c r="I27" s="29" t="n">
        <x:f>C27/24*H27</x:f>
        <x:v>1359.8187419982494</x:v>
      </x:c>
      <x:c r="J27" s="29" t="n">
        <x:f>C27*H27</x:f>
        <x:v>32635.649807957987</x:v>
      </x:c>
      <x:c r="K27" s="30" t="n">
        <x:v>0.8686513684312225</x:v>
      </x:c>
      <x:c r="L27" s="33" t="str">
        <x:v>PASS</x:v>
      </x:c>
      <x:c r="M27" s="33" t="str">
        <x:v>PASS</x:v>
      </x:c>
      <x:c r="N27" s="19" t="str">
        <x:v>m³/s</x:v>
      </x:c>
      <x:c r="O27" s="19" t="str">
        <x:v>margin fails on P1</x:v>
      </x:c>
      <x:c r="Q27" t="n">
        <x:v>0.353</x:v>
      </x:c>
      <x:c r="R27" t="n">
        <x:v>1093.827151391809</x:v>
      </x:c>
      <x:c r="S27" t="n">
        <x:v>1056</x:v>
      </x:c>
    </x:row>
    <x:row r="30">
      <x:c r="A30" s="10" t="str">
        <x:v>Final boundaries and engineering conclusion</x:v>
      </x:c>
      <x:c r="B30" s="10" t="str">
        <x:v>Final boundaries and engineering conclusion</x:v>
      </x:c>
      <x:c r="C30" s="10" t="str">
        <x:v>Final boundaries and engineering conclusion</x:v>
      </x:c>
      <x:c r="D30" s="10" t="str">
        <x:v>Final boundaries and engineering conclusion</x:v>
      </x:c>
      <x:c r="E30" s="10" t="str">
        <x:v>Final boundaries and engineering conclusion</x:v>
      </x:c>
      <x:c r="F30" s="10" t="str">
        <x:v>Final boundaries and engineering conclusion</x:v>
      </x:c>
      <x:c r="G30" s="10" t="str">
        <x:v>Final boundaries and engineering conclusion</x:v>
      </x:c>
      <x:c r="I30"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J30"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K30"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L30"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M30"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N30"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O30"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row>
    <x:row r="31">
      <x:c r="A31" s="16" t="str">
        <x:v>Level</x:v>
      </x:c>
      <x:c r="B31" s="16" t="str">
        <x:v>Fail point</x:v>
      </x:c>
      <x:c r="C31" s="16" t="str">
        <x:v>Pass point</x:v>
      </x:c>
      <x:c r="D31" s="16" t="str">
        <x:v>Resolution</x:v>
      </x:c>
      <x:c r="E31" s="16" t="str">
        <x:v>Recommended pump kW</x:v>
      </x:c>
      <x:c r="F31" s="16" t="str">
        <x:v>Recommended SEC</x:v>
      </x:c>
      <x:c r="G31" s="16" t="str">
        <x:v>Conclusion</x:v>
      </x:c>
      <x:c r="I31"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J31"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K31"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L31"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M31"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N31"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O31"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row>
    <x:row r="32" ht="42" customHeight="1">
      <x:c r="A32" s="19" t="str">
        <x:v>Basic boundary</x:v>
      </x:c>
      <x:c r="B32" s="19" t="n">
        <x:v>0.353</x:v>
      </x:c>
      <x:c r="C32" s="19" t="n">
        <x:v>0.352</x:v>
      </x:c>
      <x:c r="D32" s="19" t="str">
        <x:v>0.001 m³/s</x:v>
      </x:c>
      <x:c r="E32" s="29" t="n">
        <x:f>E26+F26</x:f>
        <x:v>1174.43288381929</x:v>
      </x:c>
      <x:c r="F32" s="29"/>
      <x:c r="G32" s="19" t="str">
        <x:v>Adjacent proof</x:v>
      </x:c>
      <x:c r="I32"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J32"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K32"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L32"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M32"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N32"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O32"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row>
    <x:row r="33" ht="42" customHeight="1">
      <x:c r="A33" s="19" t="str">
        <x:v>Recommended boundary</x:v>
      </x:c>
      <x:c r="B33" s="19" t="n">
        <x:v>0.32</x:v>
      </x:c>
      <x:c r="C33" s="19" t="n">
        <x:v>0.319</x:v>
      </x:c>
      <x:c r="D33" s="19" t="str">
        <x:v>0.001 m³/s</x:v>
      </x:c>
      <x:c r="E33" s="29" t="n">
        <x:f>E26+F26</x:f>
        <x:v>1174.43288381929</x:v>
      </x:c>
      <x:c r="F33" s="29"/>
      <x:c r="G33" s="19" t="str">
        <x:v>Adjacent proof</x:v>
      </x:c>
      <x:c r="I33"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J33"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K33"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L33"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M33"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N33"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O33"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row>
    <x:row r="34" ht="42" customHeight="1">
      <x:c r="A34" s="19" t="str">
        <x:v>Recommended case</x:v>
      </x:c>
      <x:c r="B34" s="19" t="str">
        <x:v>-</x:v>
      </x:c>
      <x:c r="C34" s="19" t="n">
        <x:v>0.319</x:v>
      </x:c>
      <x:c r="D34" s="19" t="str">
        <x:v>m³/s</x:v>
      </x:c>
      <x:c r="E34" s="29" t="n">
        <x:f>E26+F26</x:f>
        <x:v>1174.43288381929</x:v>
      </x:c>
      <x:c r="F34" s="29" t="n">
        <x:v>3.026253607864827</x:v>
      </x:c>
      <x:c r="G34" s="19" t="str">
        <x:v>Maximum basic feed is 0.352 m³/s, controlled by P2 power. Recommended limit is 0.319 m³/s, controlled by the 4% P1 margin. Recommended product is 10,765.90 m³/d, system recovery 39.06% and SEC 3.0263 kWh/m³.</x:v>
      </x:c>
      <x:c r="I34"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J34"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K34"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L34"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M34"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N34"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O34"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row>
    <x:row r="35" ht="42" customHeight="1">
      <x:c r="A35" s="19" t="str">
        <x:v>Final conclusion</x:v>
      </x:c>
      <x:c r="B35" s="19" t="str">
        <x:v>-</x:v>
      </x:c>
      <x:c r="C35" s="19" t="str">
        <x:v>-</x:v>
      </x:c>
      <x:c r="D35" s="19" t="str">
        <x:v>-</x:v>
      </x:c>
      <x:c r="E35" s="29" t="n">
        <x:f>E26+F26</x:f>
        <x:v>1174.43288381929</x:v>
      </x:c>
      <x:c r="F35" s="29" t="n">
        <x:v>3.026253607864827</x:v>
      </x:c>
      <x:c r="G35" s="19" t="str">
        <x:v>Maximum basic feed is 0.352 m³/s, controlled by P2 power. Recommended limit is 0.319 m³/s, controlled by the 4% P1 margin. Recommended product is 10,765.90 m³/d, system recovery 39.06% and SEC 3.0263 kWh/m³.</x:v>
      </x:c>
      <x:c r="I35"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J35"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K35"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L35"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M35"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N35"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c r="O35" s="28" t="str">
        <x:v>Final conclusion
Maximum basic feed is 0.352 m³/s, controlled by P2 power. Recommended limit is 0.319 m³/s, controlled by the 4% P1 margin. Recommended product is 10,765.90 m³/d, system recovery 39.06% and SEC 3.0263 kWh/m³.
Key simulation results: product 10765.90 m³/d, recovery 39.06%, P1=1054.14 kW and P2=120.29 kW.</x:v>
      </x:c>
    </x:row>
  </x:sheetData>
  <x:mergeCells>
    <x:mergeCell ref="A1:S2"/>
    <x:mergeCell ref="A4:S6"/>
    <x:mergeCell ref="A8:G8"/>
    <x:mergeCell ref="A18:O18"/>
    <x:mergeCell ref="A30:G30"/>
    <x:mergeCell ref="I30:O35"/>
  </x:mergeCells>
  <x:pageMargins left="0.7" right="0.7" top="0.75" bottom="0.75" header="0.3" footer="0.3"/>
  <x:drawing xmlns:r="http://schemas.openxmlformats.org/officeDocument/2006/relationships" r:id="R1486cc7ad9814937"/>
</x:worksheet>
</file>

<file path=xl/worksheets/sheet3.xml><?xml version="1.0" encoding="utf-8"?>
<x:worksheet xmlns:x="http://schemas.openxmlformats.org/spreadsheetml/2006/main">
  <x:sheetViews>
    <x:sheetView showGridLines="0" workbookViewId="0"/>
  </x:sheetViews>
  <x:sheetFormatPr defaultRowHeight="15"/>
  <x:cols>
    <x:col min="1" max="1" width="27" hidden="0" customWidth="1"/>
    <x:col min="2" max="2" width="32" hidden="0" customWidth="1"/>
    <x:col min="3" max="3" width="52" hidden="0" customWidth="1"/>
    <x:col min="4" max="4" width="44" hidden="0" customWidth="1"/>
    <x:col min="5" max="5" width="44" hidden="0" customWidth="1"/>
    <x:col min="6" max="6" width="10" hidden="0" customWidth="1"/>
    <x:col min="7" max="7" width="10" hidden="0" customWidth="1"/>
  </x:cols>
  <x:sheetData>
    <x:row r="1" ht="26" customHeight="1">
      <x:c r="A1" s="4" t="str">
        <x:v>D3-3a N05: Trajectory Rubric (100 points)</x:v>
      </x:c>
      <x:c r="B1" s="4" t="str">
        <x:v>D3-3a N05: Trajectory Rubric (100 points)</x:v>
      </x:c>
      <x:c r="C1" s="4" t="str">
        <x:v>D3-3a N05: Trajectory Rubric (100 points)</x:v>
      </x:c>
      <x:c r="D1" s="4" t="str">
        <x:v>D3-3a N05: Trajectory Rubric (100 points)</x:v>
      </x:c>
      <x:c r="E1" s="4" t="str">
        <x:v>D3-3a N05: Trajectory Rubric (100 points)</x:v>
      </x:c>
      <x:c r="F1" s="4" t="str">
        <x:v>D3-3a N05: Trajectory Rubric (100 points)</x:v>
      </x:c>
      <x:c r="G1" s="4" t="str">
        <x:v>D3-3a N05: Trajectory Rubric (100 points)</x:v>
      </x:c>
    </x:row>
    <x:row r="2" ht="26" customHeight="1">
      <x:c r="A2" s="4" t="str">
        <x:v>D3-3a N05: Trajectory Rubric (100 points)</x:v>
      </x:c>
      <x:c r="B2" s="4" t="str">
        <x:v>D3-3a N05: Trajectory Rubric (100 points)</x:v>
      </x:c>
      <x:c r="C2" s="4" t="str">
        <x:v>D3-3a N05: Trajectory Rubric (100 points)</x:v>
      </x:c>
      <x:c r="D2" s="4" t="str">
        <x:v>D3-3a N05: Trajectory Rubric (100 points)</x:v>
      </x:c>
      <x:c r="E2" s="4" t="str">
        <x:v>D3-3a N05: Trajectory Rubric (100 points)</x:v>
      </x:c>
      <x:c r="F2" s="4" t="str">
        <x:v>D3-3a N05: Trajectory Rubric (100 points)</x:v>
      </x:c>
      <x:c r="G2" s="4" t="str">
        <x:v>D3-3a N05: Trajectory Rubric (100 points)</x:v>
      </x:c>
    </x:row>
    <x:row r="4">
      <x:c r="A4" s="24" t="str">
        <x:v>Evaluate whether the agent converts the operating problem into a one-variable, two-criterion full-plant boundary search and forms an engineering decision from actual simulation outputs.</x:v>
      </x:c>
      <x:c r="B4" s="24" t="str">
        <x:v>Evaluate whether the agent converts the operating problem into a one-variable, two-criterion full-plant boundary search and forms an engineering decision from actual simulation outputs.</x:v>
      </x:c>
      <x:c r="C4" s="24" t="str">
        <x:v>Evaluate whether the agent converts the operating problem into a one-variable, two-criterion full-plant boundary search and forms an engineering decision from actual simulation outputs.</x:v>
      </x:c>
      <x:c r="D4" s="24" t="str">
        <x:v>Evaluate whether the agent converts the operating problem into a one-variable, two-criterion full-plant boundary search and forms an engineering decision from actual simulation outputs.</x:v>
      </x:c>
      <x:c r="E4" s="24" t="str">
        <x:v>Evaluate whether the agent converts the operating problem into a one-variable, two-criterion full-plant boundary search and forms an engineering decision from actual simulation outputs.</x:v>
      </x:c>
      <x:c r="F4" s="24" t="str">
        <x:v>Evaluate whether the agent converts the operating problem into a one-variable, two-criterion full-plant boundary search and forms an engineering decision from actual simulation outputs.</x:v>
      </x:c>
      <x:c r="G4" s="24" t="str">
        <x:v>Evaluate whether the agent converts the operating problem into a one-variable, two-criterion full-plant boundary search and forms an engineering decision from actual simulation outputs.</x:v>
      </x:c>
    </x:row>
    <x:row r="5">
      <x:c r="A5" s="24" t="str">
        <x:v>Evaluate whether the agent converts the operating problem into a one-variable, two-criterion full-plant boundary search and forms an engineering decision from actual simulation outputs.</x:v>
      </x:c>
      <x:c r="B5" s="24" t="str">
        <x:v>Evaluate whether the agent converts the operating problem into a one-variable, two-criterion full-plant boundary search and forms an engineering decision from actual simulation outputs.</x:v>
      </x:c>
      <x:c r="C5" s="24" t="str">
        <x:v>Evaluate whether the agent converts the operating problem into a one-variable, two-criterion full-plant boundary search and forms an engineering decision from actual simulation outputs.</x:v>
      </x:c>
      <x:c r="D5" s="24" t="str">
        <x:v>Evaluate whether the agent converts the operating problem into a one-variable, two-criterion full-plant boundary search and forms an engineering decision from actual simulation outputs.</x:v>
      </x:c>
      <x:c r="E5" s="24" t="str">
        <x:v>Evaluate whether the agent converts the operating problem into a one-variable, two-criterion full-plant boundary search and forms an engineering decision from actual simulation outputs.</x:v>
      </x:c>
      <x:c r="F5" s="24" t="str">
        <x:v>Evaluate whether the agent converts the operating problem into a one-variable, two-criterion full-plant boundary search and forms an engineering decision from actual simulation outputs.</x:v>
      </x:c>
      <x:c r="G5" s="24" t="str">
        <x:v>Evaluate whether the agent converts the operating problem into a one-variable, two-criterion full-plant boundary search and forms an engineering decision from actual simulation outputs.</x:v>
      </x:c>
    </x:row>
    <x:row r="6">
      <x:c r="A6" s="24" t="str">
        <x:v>Evaluate whether the agent converts the operating problem into a one-variable, two-criterion full-plant boundary search and forms an engineering decision from actual simulation outputs.</x:v>
      </x:c>
      <x:c r="B6" s="24" t="str">
        <x:v>Evaluate whether the agent converts the operating problem into a one-variable, two-criterion full-plant boundary search and forms an engineering decision from actual simulation outputs.</x:v>
      </x:c>
      <x:c r="C6" s="24" t="str">
        <x:v>Evaluate whether the agent converts the operating problem into a one-variable, two-criterion full-plant boundary search and forms an engineering decision from actual simulation outputs.</x:v>
      </x:c>
      <x:c r="D6" s="24" t="str">
        <x:v>Evaluate whether the agent converts the operating problem into a one-variable, two-criterion full-plant boundary search and forms an engineering decision from actual simulation outputs.</x:v>
      </x:c>
      <x:c r="E6" s="24" t="str">
        <x:v>Evaluate whether the agent converts the operating problem into a one-variable, two-criterion full-plant boundary search and forms an engineering decision from actual simulation outputs.</x:v>
      </x:c>
      <x:c r="F6" s="24" t="str">
        <x:v>Evaluate whether the agent converts the operating problem into a one-variable, two-criterion full-plant boundary search and forms an engineering decision from actual simulation outputs.</x:v>
      </x:c>
      <x:c r="G6" s="24" t="str">
        <x:v>Evaluate whether the agent converts the operating problem into a one-variable, two-criterion full-plant boundary search and forms an engineering decision from actual simulation outputs.</x:v>
      </x:c>
    </x:row>
    <x:row r="8">
      <x:c r="A8" s="16" t="str">
        <x:v>Dimension</x:v>
      </x:c>
      <x:c r="B8" s="16" t="str">
        <x:v>Evaluation question</x:v>
      </x:c>
      <x:c r="C8" s="16" t="str">
        <x:v>Full credit</x:v>
      </x:c>
      <x:c r="D8" s="16" t="str">
        <x:v>Partial credit</x:v>
      </x:c>
      <x:c r="E8" s="16" t="str">
        <x:v>Zero/major error</x:v>
      </x:c>
      <x:c r="F8" s="16" t="str">
        <x:v>Points</x:v>
      </x:c>
      <x:c r="G8" s="16" t="str">
        <x:v>Score</x:v>
      </x:c>
    </x:row>
    <x:row r="9" ht="62" customHeight="1">
      <x:c r="A9" s="19" t="str">
        <x:v>TQ1 State</x:v>
      </x:c>
      <x:c r="B9" s="19" t="str">
        <x:v>Identify sole variable and two criteria</x:v>
      </x:c>
      <x:c r="C9" s="19" t="str">
        <x:v>Vary only Train feed flow; basic=P1≤1,100 and P2≤150 kW; margin=P1≤1,056 and P2≤144 kW</x:v>
      </x:c>
      <x:c r="D9" s="19" t="str">
        <x:v>Main goal found but margin mixed</x:v>
      </x:c>
      <x:c r="E9" s="19" t="str">
        <x:v>Changes fixed inputs or wrong variable</x:v>
      </x:c>
      <x:c r="F9" s="19" t="n">
        <x:v>15</x:v>
      </x:c>
      <x:c r="G9" s="19"/>
    </x:row>
    <x:row r="10" ht="62" customHeight="1">
      <x:c r="A10" s="19" t="str">
        <x:v>TQ2 Planning</x:v>
      </x:c>
      <x:c r="B10" s="19" t="str">
        <x:v>Coarse bracket then two refinements</x:v>
      </x:c>
      <x:c r="C10" s="19" t="str">
        <x:v>Prove both adjacent pairs at 0.001 m³/s</x:v>
      </x:c>
      <x:c r="D10" s="19" t="str">
        <x:v>Iterates but misses one adjacent proof</x:v>
      </x:c>
      <x:c r="E10" s="19" t="str">
        <x:v>Direct answer or brute-force full grid</x:v>
      </x:c>
      <x:c r="F10" s="19" t="n">
        <x:v>15</x:v>
      </x:c>
      <x:c r="G10" s="19"/>
    </x:row>
    <x:row r="11" ht="62" customHeight="1">
      <x:c r="A11" s="19" t="str">
        <x:v>TQ3 Tool calls</x:v>
      </x:c>
      <x:c r="B11" s="19" t="str">
        <x:v>Correct tool, inputs and units</x:v>
      </x:c>
      <x:c r="C11" s="19" t="str">
        <x:v>Use simulate_swro_system with fixed invariants</x:v>
      </x:c>
      <x:c r="D11" s="19" t="str">
        <x:v>Minor noncritical deviations</x:v>
      </x:c>
      <x:c r="E11" s="19" t="str">
        <x:v>Uses simulate_ro for plant energy or changes multiple variables</x:v>
      </x:c>
      <x:c r="F11" s="19" t="n">
        <x:v>20</x:v>
      </x:c>
      <x:c r="G11" s="19"/>
    </x:row>
    <x:row r="12" ht="62" customHeight="1">
      <x:c r="A12" s="19" t="str">
        <x:v>TQ4 Observation</x:v>
      </x:c>
      <x:c r="B12" s="19" t="str">
        <x:v>Interpret product, power and SEC correctly</x:v>
      </x:c>
      <x:c r="C12" s="19" t="str">
        <x:v>Update pass/fail correctly; distinguish pump vs net plant power</x:v>
      </x:c>
      <x:c r="D12" s="19" t="str">
        <x:v>Roughly correct but key output missing</x:v>
      </x:c>
      <x:c r="E12" s="19" t="str">
        <x:v>Wrong direction or power-basis confusion</x:v>
      </x:c>
      <x:c r="F12" s="19" t="n">
        <x:v>20</x:v>
      </x:c>
      <x:c r="G12" s="19"/>
    </x:row>
    <x:row r="13" ht="62" customHeight="1">
      <x:c r="A13" s="19" t="str">
        <x:v>TQ5 Adaptive replanning</x:v>
      </x:c>
      <x:c r="B13" s="19" t="str">
        <x:v>Let prior output choose next call</x:v>
      </x:c>
      <x:c r="C13" s="19" t="str">
        <x:v>Bracket coarsely; switch target after basic limit</x:v>
      </x:c>
      <x:c r="D13" s="19" t="str">
        <x:v>Partly adaptive with enumeration</x:v>
      </x:c>
      <x:c r="E13" s="19" t="str">
        <x:v>Calls ignore feedback</x:v>
      </x:c>
      <x:c r="F13" s="19" t="n">
        <x:v>20</x:v>
      </x:c>
      <x:c r="G13" s="19"/>
    </x:row>
    <x:row r="14" ht="62" customHeight="1">
      <x:c r="A14" s="19" t="str">
        <x:v>TQ6 Decision</x:v>
      </x:c>
      <x:c r="B14" s="19" t="str">
        <x:v>Give actionable conclusion</x:v>
      </x:c>
      <x:c r="C14" s="19" t="str">
        <x:v>Maximum basic feed is 0.352 m³/s, controlled by P2 power. Recommended limit is 0.319 m³/s, controlled by the 4% P1 margin. Recommended product is 10,765.90 m³/d, system recovery 39.06% and SEC 3.0263 kWh/m³.</x:v>
      </x:c>
      <x:c r="D14" s="19" t="str">
        <x:v>Mostly correct but one output missing</x:v>
      </x:c>
      <x:c r="E14" s="19" t="str">
        <x:v>No adjacent proof or wrong recommended boundary</x:v>
      </x:c>
      <x:c r="F14" s="19" t="n">
        <x:v>10</x:v>
      </x:c>
      <x:c r="G14" s="19"/>
    </x:row>
    <x:row r="17">
      <x:c r="A17" s="10" t="str">
        <x:v>Source-pattern calibration</x:v>
      </x:c>
      <x:c r="B17" s="10" t="str">
        <x:v>Source-pattern calibration</x:v>
      </x:c>
      <x:c r="C17" s="10" t="str">
        <x:v>Source-pattern calibration</x:v>
      </x:c>
      <x:c r="D17" s="10" t="str">
        <x:v>Source-pattern calibration</x:v>
      </x:c>
      <x:c r="E17" s="10" t="str">
        <x:v>Source-pattern calibration</x:v>
      </x:c>
      <x:c r="F17" s="10" t="str">
        <x:v>Source-pattern calibration</x:v>
      </x:c>
      <x:c r="G17" s="10" t="str">
        <x:v>Source-pattern calibration</x:v>
      </x:c>
    </x:row>
    <x:row r="18">
      <x:c r="A18" s="19" t="str">
        <x:v>Core pattern</x:v>
      </x:c>
      <x:c r="B18" s="19" t="str">
        <x:v>Plant simulation → one-variable dual boundary → adjacent proof → energy accounting → decision</x:v>
      </x:c>
      <x:c r="C18" s="19"/>
      <x:c r="D18" s="19"/>
      <x:c r="E18" s="19"/>
      <x:c r="F18" s="19"/>
      <x:c r="G18" s="19"/>
    </x:row>
    <x:row r="19">
      <x:c r="A19" s="19" t="str">
        <x:v>Constraints</x:v>
      </x:c>
      <x:c r="B19" s="19" t="str">
        <x:v>All inputs fixed except decision variable</x:v>
      </x:c>
      <x:c r="C19" s="19"/>
      <x:c r="D19" s="19"/>
      <x:c r="E19" s="19"/>
      <x:c r="F19" s="19"/>
      <x:c r="G19" s="19"/>
    </x:row>
    <x:row r="20">
      <x:c r="A20" s="19" t="str">
        <x:v>Reference budget</x:v>
      </x:c>
      <x:c r="B20" s="19" t="str">
        <x:v>About eight high-information calls</x:v>
      </x:c>
      <x:c r="C20" s="19"/>
      <x:c r="D20" s="19"/>
      <x:c r="E20" s="19"/>
      <x:c r="F20" s="19"/>
      <x:c r="G20" s="19"/>
    </x:row>
  </x:sheetData>
  <x:mergeCells>
    <x:mergeCell ref="A1:G2"/>
    <x:mergeCell ref="A4:G6"/>
    <x:mergeCell ref="A17:G17"/>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34" hidden="0" customWidth="1"/>
    <x:col min="3" max="3" width="48" hidden="0" customWidth="1"/>
    <x:col min="4" max="4" width="42" hidden="0" customWidth="1"/>
    <x:col min="5" max="5" width="42" hidden="0" customWidth="1"/>
    <x:col min="6" max="6" width="44" hidden="0" customWidth="1"/>
    <x:col min="7" max="7" width="10" hidden="0" customWidth="1"/>
  </x:cols>
  <x:sheetData>
    <x:row r="1" ht="26" customHeight="1">
      <x:c r="A1" s="4" t="str">
        <x:v>D3-3a N05: Tool-Efficiency Rubric (100 points)</x:v>
      </x:c>
      <x:c r="B1" s="4" t="str">
        <x:v>D3-3a N05: Tool-Efficiency Rubric (100 points)</x:v>
      </x:c>
      <x:c r="C1" s="4" t="str">
        <x:v>D3-3a N05: Tool-Efficiency Rubric (100 points)</x:v>
      </x:c>
      <x:c r="D1" s="4" t="str">
        <x:v>D3-3a N05: Tool-Efficiency Rubric (100 points)</x:v>
      </x:c>
      <x:c r="E1" s="4" t="str">
        <x:v>D3-3a N05: Tool-Efficiency Rubric (100 points)</x:v>
      </x:c>
      <x:c r="F1" s="4" t="str">
        <x:v>D3-3a N05: Tool-Efficiency Rubric (100 points)</x:v>
      </x:c>
      <x:c r="G1" s="4" t="str">
        <x:v>D3-3a N05: Tool-Efficiency Rubric (100 points)</x:v>
      </x:c>
    </x:row>
    <x:row r="2" ht="26" customHeight="1">
      <x:c r="A2" s="4" t="str">
        <x:v>D3-3a N05: Tool-Efficiency Rubric (100 points)</x:v>
      </x:c>
      <x:c r="B2" s="4" t="str">
        <x:v>D3-3a N05: Tool-Efficiency Rubric (100 points)</x:v>
      </x:c>
      <x:c r="C2" s="4" t="str">
        <x:v>D3-3a N05: Tool-Efficiency Rubric (100 points)</x:v>
      </x:c>
      <x:c r="D2" s="4" t="str">
        <x:v>D3-3a N05: Tool-Efficiency Rubric (100 points)</x:v>
      </x:c>
      <x:c r="E2" s="4" t="str">
        <x:v>D3-3a N05: Tool-Efficiency Rubric (100 points)</x:v>
      </x:c>
      <x:c r="F2" s="4" t="str">
        <x:v>D3-3a N05: Tool-Efficiency Rubric (100 points)</x:v>
      </x:c>
      <x:c r="G2" s="4" t="str">
        <x:v>D3-3a N05: Tool-Efficiency Rubric (100 points)</x:v>
      </x:c>
    </x:row>
    <x:row r="4">
      <x:c r="A4" s="24" t="str">
        <x:v>Reference path uses about eight simulate_swro_system calls. Score information gain, feedback-driven adaptation and sufficient stopping evidence, not exact sequence matching.</x:v>
      </x:c>
      <x:c r="B4" s="24" t="str">
        <x:v>Reference path uses about eight simulate_swro_system calls. Score information gain, feedback-driven adaptation and sufficient stopping evidence, not exact sequence matching.</x:v>
      </x:c>
      <x:c r="C4" s="24" t="str">
        <x:v>Reference path uses about eight simulate_swro_system calls. Score information gain, feedback-driven adaptation and sufficient stopping evidence, not exact sequence matching.</x:v>
      </x:c>
      <x:c r="D4" s="24" t="str">
        <x:v>Reference path uses about eight simulate_swro_system calls. Score information gain, feedback-driven adaptation and sufficient stopping evidence, not exact sequence matching.</x:v>
      </x:c>
      <x:c r="E4" s="24" t="str">
        <x:v>Reference path uses about eight simulate_swro_system calls. Score information gain, feedback-driven adaptation and sufficient stopping evidence, not exact sequence matching.</x:v>
      </x:c>
      <x:c r="F4" s="24" t="str">
        <x:v>Reference path uses about eight simulate_swro_system calls. Score information gain, feedback-driven adaptation and sufficient stopping evidence, not exact sequence matching.</x:v>
      </x:c>
      <x:c r="G4" s="24" t="str">
        <x:v>Reference path uses about eight simulate_swro_system calls. Score information gain, feedback-driven adaptation and sufficient stopping evidence, not exact sequence matching.</x:v>
      </x:c>
    </x:row>
    <x:row r="5">
      <x:c r="A5" s="24" t="str">
        <x:v>Reference path uses about eight simulate_swro_system calls. Score information gain, feedback-driven adaptation and sufficient stopping evidence, not exact sequence matching.</x:v>
      </x:c>
      <x:c r="B5" s="24" t="str">
        <x:v>Reference path uses about eight simulate_swro_system calls. Score information gain, feedback-driven adaptation and sufficient stopping evidence, not exact sequence matching.</x:v>
      </x:c>
      <x:c r="C5" s="24" t="str">
        <x:v>Reference path uses about eight simulate_swro_system calls. Score information gain, feedback-driven adaptation and sufficient stopping evidence, not exact sequence matching.</x:v>
      </x:c>
      <x:c r="D5" s="24" t="str">
        <x:v>Reference path uses about eight simulate_swro_system calls. Score information gain, feedback-driven adaptation and sufficient stopping evidence, not exact sequence matching.</x:v>
      </x:c>
      <x:c r="E5" s="24" t="str">
        <x:v>Reference path uses about eight simulate_swro_system calls. Score information gain, feedback-driven adaptation and sufficient stopping evidence, not exact sequence matching.</x:v>
      </x:c>
      <x:c r="F5" s="24" t="str">
        <x:v>Reference path uses about eight simulate_swro_system calls. Score information gain, feedback-driven adaptation and sufficient stopping evidence, not exact sequence matching.</x:v>
      </x:c>
      <x:c r="G5" s="24" t="str">
        <x:v>Reference path uses about eight simulate_swro_system calls. Score information gain, feedback-driven adaptation and sufficient stopping evidence, not exact sequence matching.</x:v>
      </x:c>
    </x:row>
    <x:row r="6">
      <x:c r="A6" s="24" t="str">
        <x:v>Reference path uses about eight simulate_swro_system calls. Score information gain, feedback-driven adaptation and sufficient stopping evidence, not exact sequence matching.</x:v>
      </x:c>
      <x:c r="B6" s="24" t="str">
        <x:v>Reference path uses about eight simulate_swro_system calls. Score information gain, feedback-driven adaptation and sufficient stopping evidence, not exact sequence matching.</x:v>
      </x:c>
      <x:c r="C6" s="24" t="str">
        <x:v>Reference path uses about eight simulate_swro_system calls. Score information gain, feedback-driven adaptation and sufficient stopping evidence, not exact sequence matching.</x:v>
      </x:c>
      <x:c r="D6" s="24" t="str">
        <x:v>Reference path uses about eight simulate_swro_system calls. Score information gain, feedback-driven adaptation and sufficient stopping evidence, not exact sequence matching.</x:v>
      </x:c>
      <x:c r="E6" s="24" t="str">
        <x:v>Reference path uses about eight simulate_swro_system calls. Score information gain, feedback-driven adaptation and sufficient stopping evidence, not exact sequence matching.</x:v>
      </x:c>
      <x:c r="F6" s="24" t="str">
        <x:v>Reference path uses about eight simulate_swro_system calls. Score information gain, feedback-driven adaptation and sufficient stopping evidence, not exact sequence matching.</x:v>
      </x:c>
      <x:c r="G6" s="24" t="str">
        <x:v>Reference path uses about eight simulate_swro_system calls. Score information gain, feedback-driven adaptation and sufficient stopping evidence, not exact sequence matching.</x:v>
      </x:c>
    </x:row>
    <x:row r="8">
      <x:c r="A8" s="16" t="str">
        <x:v>Dimension</x:v>
      </x:c>
      <x:c r="B8" s="16" t="str">
        <x:v>Evaluation question</x:v>
      </x:c>
      <x:c r="C8" s="16" t="str">
        <x:v>Full credit</x:v>
      </x:c>
      <x:c r="D8" s="16" t="str">
        <x:v>Partial credit</x:v>
      </x:c>
      <x:c r="E8" s="16" t="str">
        <x:v>Low/zero</x:v>
      </x:c>
      <x:c r="F8" s="16" t="str">
        <x:v>Reference evidence</x:v>
      </x:c>
      <x:c r="G8" s="16" t="str">
        <x:v>Points</x:v>
      </x:c>
    </x:row>
    <x:row r="9" ht="68" customHeight="1">
      <x:c r="A9" s="19" t="str">
        <x:v>E1 Tool choice</x:v>
      </x:c>
      <x:c r="B9" s="19" t="str">
        <x:v>Use full-plant tool</x:v>
      </x:c>
      <x:c r="C9" s="19" t="str">
        <x:v>Primarily simulate_swro_system</x:v>
      </x:c>
      <x:c r="D9" s="19" t="str">
        <x:v>A few irrelevant metadata calls</x:v>
      </x:c>
      <x:c r="E9" s="19" t="str">
        <x:v>Wrong single-membrane tool or many irrelevant calls</x:v>
      </x:c>
      <x:c r="F9" s="19" t="str">
        <x:v>Train feed flow</x:v>
      </x:c>
      <x:c r="G9" s="19" t="n">
        <x:v>20</x:v>
      </x:c>
    </x:row>
    <x:row r="10" ht="68" customHeight="1">
      <x:c r="A10" s="19" t="str">
        <x:v>E2 Information gain</x:v>
      </x:c>
      <x:c r="B10" s="19" t="str">
        <x:v>Bracket first</x:v>
      </x:c>
      <x:c r="C10" s="19" t="str">
        <x:v>Endpoints/coarse points establish direction before refinement</x:v>
      </x:c>
      <x:c r="D10" s="19" t="str">
        <x:v>Some low-information points</x:v>
      </x:c>
      <x:c r="E10" s="19" t="str">
        <x:v>Dense full-grid scan first</x:v>
      </x:c>
      <x:c r="F10" s="19" t="str">
        <x:v>0.25→0.35→0.28→0.32</x:v>
      </x:c>
      <x:c r="G10" s="19" t="n">
        <x:v>20</x:v>
      </x:c>
    </x:row>
    <x:row r="11" ht="68" customHeight="1">
      <x:c r="A11" s="19" t="str">
        <x:v>E3 Adaptive iteration</x:v>
      </x:c>
      <x:c r="B11" s="19" t="str">
        <x:v>Choose next point from feedback</x:v>
      </x:c>
      <x:c r="C11" s="19" t="str">
        <x:v>Switch to margin after basic boundary</x:v>
      </x:c>
      <x:c r="D11" s="19" t="str">
        <x:v>Partly preset enumeration</x:v>
      </x:c>
      <x:c r="E11" s="19" t="str">
        <x:v>Sequence ignores results</x:v>
      </x:c>
      <x:c r="F11" s="19" t="str">
        <x:v>0.353/0.352; 0.32/0.319</x:v>
      </x:c>
      <x:c r="G11" s="19" t="n">
        <x:v>20</x:v>
      </x:c>
    </x:row>
    <x:row r="12" ht="68" customHeight="1">
      <x:c r="A12" s="19" t="str">
        <x:v>E4 Pruning</x:v>
      </x:c>
      <x:c r="B12" s="19" t="str">
        <x:v>Stop resolved branches</x:v>
      </x:c>
      <x:c r="C12" s="19" t="str">
        <x:v>Stop after adjacent proof</x:v>
      </x:c>
      <x:c r="D12" s="19" t="str">
        <x:v>One or two repeats</x:v>
      </x:c>
      <x:c r="E12" s="19" t="str">
        <x:v>Keep testing eliminated regions</x:v>
      </x:c>
      <x:c r="F12" s="19" t="str">
        <x:v>0.001 m³/s</x:v>
      </x:c>
      <x:c r="G12" s="19" t="n">
        <x:v>20</x:v>
      </x:c>
    </x:row>
    <x:row r="13" ht="68" customHeight="1">
      <x:c r="A13" s="19" t="str">
        <x:v>E5 Convergence</x:v>
      </x:c>
      <x:c r="B13" s="19" t="str">
        <x:v>Complete proof in reasonable budget</x:v>
      </x:c>
      <x:c r="C13" s="19" t="str">
        <x:v>About 7–9 calls with full evidence</x:v>
      </x:c>
      <x:c r="D13" s="19" t="str">
        <x:v>10–12 with minor redundancy</x:v>
      </x:c>
      <x:c r="E13" s="19" t="str">
        <x:v>&gt;12 enumerative or insufficient evidence</x:v>
      </x:c>
      <x:c r="F13" s="19" t="str">
        <x:v>Reference 8; alternatives can score equally</x:v>
      </x:c>
      <x:c r="G13" s="19" t="n">
        <x:v>20</x:v>
      </x:c>
    </x:row>
    <x:row r="15">
      <x:c r="F15" s="37" t="str">
        <x:v>Tool-efficiency total</x:v>
      </x:c>
      <x:c r="G15" s="37" t="n">
        <x:f>SUM(G9:G13)</x:f>
        <x:v>100</x:v>
      </x:c>
    </x:row>
  </x:sheetData>
  <x:mergeCells>
    <x:mergeCell ref="A1:G2"/>
    <x:mergeCell ref="A4:G6"/>
  </x:mergeCells>
  <x:pageMargins left="0.7" right="0.7" top="0.75" bottom="0.75" header="0.3" footer="0.3"/>
</x:worksheet>
</file>