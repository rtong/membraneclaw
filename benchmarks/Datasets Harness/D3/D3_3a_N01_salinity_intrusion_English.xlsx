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609f99889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5c3e0f40f9040b3"/>
    <x:sheet xmlns:r="http://schemas.openxmlformats.org/officeDocument/2006/relationships" name="Gold_Answer_A" sheetId="2" r:id="Re1a06623c3fb4eec"/>
    <x:sheet xmlns:r="http://schemas.openxmlformats.org/officeDocument/2006/relationships" name="Trajectory_Rubric" sheetId="3" r:id="Re397f32c5be64162"/>
    <x:sheet xmlns:r="http://schemas.openxmlformats.org/officeDocument/2006/relationships" name="Tool_Efficiency" sheetId="4" r:id="R562842502271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0"/>
    <x:numFmt numFmtId="202" formatCode="0.0000"/>
    <x:numFmt numFmtId="203" formatCode="0.00E+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c0b4841cc42ac" /><Relationship Type="http://schemas.openxmlformats.org/officeDocument/2006/relationships/theme" Target="/xl/theme/theme1.xml" Id="R2dd2abcedab74dc2" /><Relationship Type="http://schemas.openxmlformats.org/officeDocument/2006/relationships/sharedStrings" Target="/xl/sharedStrings.xml" Id="Re42749fd9a5b44ee" /><Relationship Type="http://schemas.openxmlformats.org/officeDocument/2006/relationships/worksheet" Target="/xl/worksheets/sheet1.xml" Id="Rd5c3e0f40f9040b3" /><Relationship Type="http://schemas.openxmlformats.org/officeDocument/2006/relationships/worksheet" Target="/xl/worksheets/sheet2.xml" Id="Re1a06623c3fb4eec" /><Relationship Type="http://schemas.openxmlformats.org/officeDocument/2006/relationships/worksheet" Target="/xl/worksheets/sheet3.xml" Id="Re397f32c5be64162" /><Relationship Type="http://schemas.openxmlformats.org/officeDocument/2006/relationships/worksheet" Target="/xl/worksheets/sheet4.xml" Id="R56284250227140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964527d0b042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Feed TDS—key criterion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Key output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Recommended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64527d0b042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c51cf110c8f49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D3-3a N01: Maximum Tolerable Salinity During a Post-Algal High-Salinity Intrusion</x:v>
      </x:c>
      <x:c r="B1" s="4" t="str">
        <x:v>D3-3a N01: Maximum Tolerable Salinity During a Post-Algal High-Salinity Intrusion</x:v>
      </x:c>
      <x:c r="C1" s="4" t="str">
        <x:v>D3-3a N01: Maximum Tolerable Salinity During a Post-Algal High-Salinity Intrusion</x:v>
      </x:c>
      <x:c r="D1" s="4" t="str">
        <x:v>D3-3a N01: Maximum Tolerable Salinity During a Post-Algal High-Salinity Intrusion</x:v>
      </x:c>
      <x:c r="E1" s="4" t="str">
        <x:v>D3-3a N01: Maximum Tolerable Salinity During a Post-Algal High-Salinity Intrusion</x:v>
      </x:c>
      <x:c r="F1" s="4" t="str">
        <x:v>D3-3a N01: Maximum Tolerable Salinity During a Post-Algal High-Salinity Intrusion</x:v>
      </x:c>
      <x:c r="G1" s="4" t="str">
        <x:v>D3-3a N01: Maximum Tolerable Salinity During a Post-Algal High-Salinity Intrusion</x:v>
      </x:c>
      <x:c r="H1" s="4" t="str">
        <x:v>D3-3a N01: Maximum Tolerable Salinity During a Post-Algal High-Salinity Intrusion</x:v>
      </x:c>
    </x:row>
    <x:row r="2" ht="26" customHeight="1">
      <x:c r="A2" s="4" t="str">
        <x:v>D3-3a N01: Maximum Tolerable Salinity During a Post-Algal High-Salinity Intrusion</x:v>
      </x:c>
      <x:c r="B2" s="4" t="str">
        <x:v>D3-3a N01: Maximum Tolerable Salinity During a Post-Algal High-Salinity Intrusion</x:v>
      </x:c>
      <x:c r="C2" s="4" t="str">
        <x:v>D3-3a N01: Maximum Tolerable Salinity During a Post-Algal High-Salinity Intrusion</x:v>
      </x:c>
      <x:c r="D2" s="4" t="str">
        <x:v>D3-3a N01: Maximum Tolerable Salinity During a Post-Algal High-Salinity Intrusion</x:v>
      </x:c>
      <x:c r="E2" s="4" t="str">
        <x:v>D3-3a N01: Maximum Tolerable Salinity During a Post-Algal High-Salinity Intrusion</x:v>
      </x:c>
      <x:c r="F2" s="4" t="str">
        <x:v>D3-3a N01: Maximum Tolerable Salinity During a Post-Algal High-Salinity Intrusion</x:v>
      </x:c>
      <x:c r="G2" s="4" t="str">
        <x:v>D3-3a N01: Maximum Tolerable Salinity During a Post-Algal High-Salinity Intrusion</x:v>
      </x:c>
      <x:c r="H2" s="4" t="str">
        <x:v>D3-3a N01: Maximum Tolerable Salinity During a Post-Algal High-Salinity Intrusion</x:v>
      </x:c>
    </x:row>
    <x:row r="4" ht="26" customHeight="1">
      <x:c r="A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B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C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D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E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F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G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H4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</x:row>
    <x:row r="5" ht="26" customHeight="1">
      <x:c r="A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B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C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D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E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F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G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H5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</x:row>
    <x:row r="6" ht="26" customHeight="1">
      <x:c r="A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B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C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D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E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F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G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H6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</x:row>
    <x:row r="7" ht="26" customHeight="1">
      <x:c r="A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B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C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D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E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F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G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  <x:c r="H7" s="8" t="str">
        <x:v>A coastal SWRO intake experiences a high-salinity intrusion after an algal event. HPP outlet pressure, membrane area and energy-recovery configuration are locked, so pressure cannot be raised temporarily. Vary feed TDS only. Find the maximum TDS that still gives ≥10,000 m³/d and the maximum recommended TDS preserving a 2% margin, ≥10,200 m³/d. Prove both with adjacent 0.1 g/L points and report pump-train power, SEC and daily energy at the recommendation.</x:v>
      </x:c>
    </x:row>
    <x:row r="9">
      <x:c r="A9" s="10" t="str">
        <x:v>Fixed case (except decision variable)</x:v>
      </x:c>
      <x:c r="B9" s="10" t="str">
        <x:v>Fixed case (except decision variable)</x:v>
      </x:c>
      <x:c r="C9" s="10" t="str">
        <x:v>Fixed case (except decision variable)</x:v>
      </x:c>
      <x:c r="D9" s="10" t="str">
        <x:v>Fixed case (except decision variable)</x:v>
      </x:c>
      <x:c r="F9" s="10" t="str">
        <x:v>Constraints and criteria</x:v>
      </x:c>
      <x:c r="G9" s="10" t="str">
        <x:v>Constraints and criteria</x:v>
      </x:c>
      <x:c r="H9" s="10" t="str">
        <x:v>Constraints and criteria</x:v>
      </x:c>
    </x:row>
    <x:row r="10">
      <x:c r="A10" s="16" t="str">
        <x:v>Parameter</x:v>
      </x:c>
      <x:c r="B10" s="16" t="str">
        <x:v>Value</x:v>
      </x:c>
      <x:c r="C10" s="16" t="str">
        <x:v>Unit</x:v>
      </x:c>
      <x:c r="D10" s="16" t="str">
        <x:v>Note</x:v>
      </x:c>
      <x:c r="F10" s="16" t="str">
        <x:v>Level</x:v>
      </x:c>
      <x:c r="G10" s="16" t="str">
        <x:v>Criterion</x:v>
      </x:c>
      <x:c r="H10" s="16" t="str">
        <x:v>Evidence</x:v>
      </x:c>
    </x:row>
    <x:row r="11">
      <x:c r="A11" s="19" t="str">
        <x:v>Feed flow</x:v>
      </x:c>
      <x:c r="B11" s="20" t="n">
        <x:v>0.3</x:v>
      </x:c>
      <x:c r="C11" s="19" t="str">
        <x:v>m³/s</x:v>
      </x:c>
      <x:c r="D11" s="19" t="str">
        <x:v>Fixed unless decision variable</x:v>
      </x:c>
      <x:c r="F11" s="19" t="str">
        <x:v>Basic</x:v>
      </x:c>
      <x:c r="G11" s="19" t="str">
        <x:v>Product ≥10,000 m³/d</x:v>
      </x:c>
      <x:c r="H11" s="19" t="str">
        <x:v>0.1 g/L</x:v>
      </x:c>
    </x:row>
    <x:row r="12">
      <x:c r="A12" s="19" t="str">
        <x:v>TDS</x:v>
      </x:c>
      <x:c r="B12" s="20" t="n">
        <x:v>38</x:v>
      </x:c>
      <x:c r="C12" s="19" t="str">
        <x:v>g/L</x:v>
      </x:c>
      <x:c r="D12" s="19" t="str">
        <x:v>Fixed baseline</x:v>
      </x:c>
      <x:c r="F12" s="19" t="str">
        <x:v>Recommended margin</x:v>
      </x:c>
      <x:c r="G12" s="19" t="str">
        <x:v>Product ≥10,200 m³/d</x:v>
      </x:c>
      <x:c r="H12" s="19" t="str">
        <x:v>0.1 g/L</x:v>
      </x:c>
    </x:row>
    <x:row r="13">
      <x:c r="A13" s="19" t="str">
        <x:v>TSS</x:v>
      </x:c>
      <x:c r="B13" s="20" t="n">
        <x:v>0.03</x:v>
      </x:c>
      <x:c r="C13" s="19" t="str">
        <x:v>g/L</x:v>
      </x:c>
      <x:c r="D13" s="19" t="str">
        <x:v>Pretreatment design</x:v>
      </x:c>
      <x:c r="F13" s="19" t="str">
        <x:v>Decision variable</x:v>
      </x:c>
      <x:c r="G13" s="19" t="str">
        <x:v>Feed TDS</x:v>
      </x:c>
      <x:c r="H13" s="19" t="str">
        <x:v>Vary this only</x:v>
      </x:c>
    </x:row>
    <x:row r="14">
      <x:c r="A14" s="19" t="str">
        <x:v>Temperature</x:v>
      </x:c>
      <x:c r="B14" s="20" t="n">
        <x:v>22</x:v>
      </x:c>
      <x:c r="C14" s="19" t="str">
        <x:v>°C</x:v>
      </x:c>
      <x:c r="D14" s="19" t="str">
        <x:v>Fixed</x:v>
      </x:c>
      <x:c r="F14" s="19" t="str">
        <x:v>Objective</x:v>
      </x:c>
      <x:c r="G14" s="19" t="str">
        <x:v>Maximize allowable TDS</x:v>
      </x:c>
      <x:c r="H14" s="19" t="str">
        <x:v>Adjacent fail/pass</x:v>
      </x:c>
    </x:row>
    <x:row r="15">
      <x:c r="A15" s="19" t="str">
        <x:v>Active membrane area</x:v>
      </x:c>
      <x:c r="B15" s="20" t="n">
        <x:v>13500</x:v>
      </x:c>
      <x:c r="C15" s="19" t="str">
        <x:v>m²</x:v>
      </x:c>
      <x:c r="D15" s="19" t="str">
        <x:v>Fixed</x:v>
      </x:c>
    </x:row>
    <x:row r="16">
      <x:c r="A16" s="19" t="str">
        <x:v>A_comp</x:v>
      </x:c>
      <x:c r="B16" s="38" t="n">
        <x:v>4.2e-12</x:v>
      </x:c>
      <x:c r="C16" s="19" t="str">
        <x:v>m/s/Pa</x:v>
      </x:c>
      <x:c r="D16" s="19" t="str">
        <x:v>Fixed baseline</x:v>
      </x:c>
      <x:c r="F16" s="10" t="str">
        <x:v>Required deliverables</x:v>
      </x:c>
      <x:c r="G16" s="10" t="str">
        <x:v>Required deliverables</x:v>
      </x:c>
      <x:c r="H16" s="10" t="str">
        <x:v>Required deliverables</x:v>
      </x:c>
    </x:row>
    <x:row r="17" ht="36" customHeight="1">
      <x:c r="A17" s="19" t="str">
        <x:v>B_comp</x:v>
      </x:c>
      <x:c r="B17" s="38" t="n">
        <x:v>3.5e-8</x:v>
      </x:c>
      <x:c r="C17" s="19" t="str">
        <x:v>m/s</x:v>
      </x:c>
      <x:c r="D17" s="19" t="str">
        <x:v>Fixed</x:v>
      </x:c>
      <x:c r="F17" s="19" t="str">
        <x:v>1. Establish a coarse safe/fail bracket.</x:v>
      </x:c>
      <x:c r="G17" s="19" t="str">
        <x:v>1. Establish a coarse safe/fail bracket.</x:v>
      </x:c>
      <x:c r="H17" s="19" t="str">
        <x:v>1. Establish a coarse safe/fail bracket.</x:v>
      </x:c>
    </x:row>
    <x:row r="18" ht="36" customHeight="1">
      <x:c r="A18" s="19" t="str">
        <x:v>P1 outlet pressure</x:v>
      </x:c>
      <x:c r="B18" s="20" t="n">
        <x:v>70.3</x:v>
      </x:c>
      <x:c r="C18" s="19" t="str">
        <x:v>bar(a)</x:v>
      </x:c>
      <x:c r="D18" s="19" t="str">
        <x:v>Fixed</x:v>
      </x:c>
      <x:c r="F18" s="19" t="str">
        <x:v>2. Prove the adjacent basic pass/fail boundary.</x:v>
      </x:c>
      <x:c r="G18" s="19" t="str">
        <x:v>2. Prove the adjacent basic pass/fail boundary.</x:v>
      </x:c>
      <x:c r="H18" s="19" t="str">
        <x:v>2. Prove the adjacent basic pass/fail boundary.</x:v>
      </x:c>
    </x:row>
    <x:row r="19" ht="36" customHeight="1">
      <x:c r="A19" s="19" t="str">
        <x:v>P1 efficiency</x:v>
      </x:c>
      <x:c r="B19" s="20" t="n">
        <x:v>0.82</x:v>
      </x:c>
      <x:c r="C19" s="19" t="str">
        <x:v>-</x:v>
      </x:c>
      <x:c r="D19" s="19" t="str">
        <x:v>Fixed baseline</x:v>
      </x:c>
      <x:c r="F19" s="19" t="str">
        <x:v>3. Switch to the stricter recommended margin and prove its adjacent boundary.</x:v>
      </x:c>
      <x:c r="G19" s="19" t="str">
        <x:v>3. Switch to the stricter recommended margin and prove its adjacent boundary.</x:v>
      </x:c>
      <x:c r="H19" s="19" t="str">
        <x:v>3. Switch to the stricter recommended margin and prove its adjacent boundary.</x:v>
      </x:c>
    </x:row>
    <x:row r="20" ht="36" customHeight="1">
      <x:c r="A20" s="19" t="str">
        <x:v>PX efficiency</x:v>
      </x:c>
      <x:c r="B20" s="20" t="n">
        <x:v>0.96</x:v>
      </x:c>
      <x:c r="C20" s="19" t="str">
        <x:v>-</x:v>
      </x:c>
      <x:c r="D20" s="19" t="str">
        <x:v>Fixed baseline</x:v>
      </x:c>
      <x:c r="F20" s="19" t="str">
        <x:v>4. Report product, recovery, P1/P2, SEC and daily energy at the recommendation.</x:v>
      </x:c>
      <x:c r="G20" s="19" t="str">
        <x:v>4. Report product, recovery, P1/P2, SEC and daily energy at the recommendation.</x:v>
      </x:c>
      <x:c r="H20" s="19" t="str">
        <x:v>4. Report product, recovery, P1/P2, SEC and daily energy at the recommendation.</x:v>
      </x:c>
    </x:row>
    <x:row r="21" ht="36" customHeight="1">
      <x:c r="A21" s="19" t="str">
        <x:v>P2 efficiency</x:v>
      </x:c>
      <x:c r="B21" s="20" t="n">
        <x:v>0.82</x:v>
      </x:c>
      <x:c r="C21" s="19" t="str">
        <x:v>-</x:v>
      </x:c>
      <x:c r="D21" s="19" t="str">
        <x:v>Fixed</x:v>
      </x:c>
      <x:c r="F21" s="19" t="str">
        <x:v>5. Give an actionable operating, alarm, maintenance or expansion decision.</x:v>
      </x:c>
      <x:c r="G21" s="19" t="str">
        <x:v>5. Give an actionable operating, alarm, maintenance or expansion decision.</x:v>
      </x:c>
      <x:c r="H21" s="19" t="str">
        <x:v>5. Give an actionable operating, alarm, maintenance or expansion decision.</x:v>
      </x:c>
    </x:row>
    <x:row r="22">
      <x:c r="A22" s="19" t="str">
        <x:v>Energy recovery</x:v>
      </x:c>
      <x:c r="B22" s="20" t="str">
        <x:v>pressure_exchanger</x:v>
      </x:c>
      <x:c r="C22" s="19" t="str">
        <x:v>-</x:v>
      </x:c>
      <x:c r="D22" s="19" t="str">
        <x:v>Fixed</x:v>
      </x:c>
    </x:row>
    <x:row r="25">
      <x:c r="A25" s="24" t="str">
        <x:v>Scope: use full-plant simulate_swro_system and hold every input fixed except Feed TDS. The recommended margin is benchmark-specific, not a universal industry standard.</x:v>
      </x:c>
      <x:c r="B25" s="24" t="str">
        <x:v>Scope: use full-plant simulate_swro_system and hold every input fixed except Feed TDS. The recommended margin is benchmark-specific, not a universal industry standard.</x:v>
      </x:c>
      <x:c r="C25" s="24" t="str">
        <x:v>Scope: use full-plant simulate_swro_system and hold every input fixed except Feed TDS. The recommended margin is benchmark-specific, not a universal industry standard.</x:v>
      </x:c>
      <x:c r="D25" s="24" t="str">
        <x:v>Scope: use full-plant simulate_swro_system and hold every input fixed except Feed TDS. The recommended margin is benchmark-specific, not a universal industry standard.</x:v>
      </x:c>
      <x:c r="E25" s="24" t="str">
        <x:v>Scope: use full-plant simulate_swro_system and hold every input fixed except Feed TDS. The recommended margin is benchmark-specific, not a universal industry standard.</x:v>
      </x:c>
      <x:c r="F25" s="24" t="str">
        <x:v>Scope: use full-plant simulate_swro_system and hold every input fixed except Feed TDS. The recommended margin is benchmark-specific, not a universal industry standard.</x:v>
      </x:c>
      <x:c r="G25" s="24" t="str">
        <x:v>Scope: use full-plant simulate_swro_system and hold every input fixed except Feed TDS. The recommended margin is benchmark-specific, not a universal industry standard.</x:v>
      </x:c>
      <x:c r="H25" s="24" t="str">
        <x:v>Scope: use full-plant simulate_swro_system and hold every input fixed except Feed TDS. The recommended margin is benchmark-specific, not a universal industry standard.</x:v>
      </x:c>
    </x:row>
    <x:row r="26">
      <x:c r="A26" s="24" t="str">
        <x:v>Scope: use full-plant simulate_swro_system and hold every input fixed except Feed TDS. The recommended margin is benchmark-specific, not a universal industry standard.</x:v>
      </x:c>
      <x:c r="B26" s="24" t="str">
        <x:v>Scope: use full-plant simulate_swro_system and hold every input fixed except Feed TDS. The recommended margin is benchmark-specific, not a universal industry standard.</x:v>
      </x:c>
      <x:c r="C26" s="24" t="str">
        <x:v>Scope: use full-plant simulate_swro_system and hold every input fixed except Feed TDS. The recommended margin is benchmark-specific, not a universal industry standard.</x:v>
      </x:c>
      <x:c r="D26" s="24" t="str">
        <x:v>Scope: use full-plant simulate_swro_system and hold every input fixed except Feed TDS. The recommended margin is benchmark-specific, not a universal industry standard.</x:v>
      </x:c>
      <x:c r="E26" s="24" t="str">
        <x:v>Scope: use full-plant simulate_swro_system and hold every input fixed except Feed TDS. The recommended margin is benchmark-specific, not a universal industry standard.</x:v>
      </x:c>
      <x:c r="F26" s="24" t="str">
        <x:v>Scope: use full-plant simulate_swro_system and hold every input fixed except Feed TDS. The recommended margin is benchmark-specific, not a universal industry standard.</x:v>
      </x:c>
      <x:c r="G26" s="24" t="str">
        <x:v>Scope: use full-plant simulate_swro_system and hold every input fixed except Feed TDS. The recommended margin is benchmark-specific, not a universal industry standard.</x:v>
      </x:c>
      <x:c r="H26" s="24" t="str">
        <x:v>Scope: use full-plant simulate_swro_system and hold every input fixed except Feed TDS. The recommended margin is benchmark-specific, not a universal industry standard.</x:v>
      </x:c>
    </x:row>
    <x:row r="27">
      <x:c r="A27" s="24" t="str">
        <x:v>Scope: use full-plant simulate_swro_system and hold every input fixed except Feed TDS. The recommended margin is benchmark-specific, not a universal industry standard.</x:v>
      </x:c>
      <x:c r="B27" s="24" t="str">
        <x:v>Scope: use full-plant simulate_swro_system and hold every input fixed except Feed TDS. The recommended margin is benchmark-specific, not a universal industry standard.</x:v>
      </x:c>
      <x:c r="C27" s="24" t="str">
        <x:v>Scope: use full-plant simulate_swro_system and hold every input fixed except Feed TDS. The recommended margin is benchmark-specific, not a universal industry standard.</x:v>
      </x:c>
      <x:c r="D27" s="24" t="str">
        <x:v>Scope: use full-plant simulate_swro_system and hold every input fixed except Feed TDS. The recommended margin is benchmark-specific, not a universal industry standard.</x:v>
      </x:c>
      <x:c r="E27" s="24" t="str">
        <x:v>Scope: use full-plant simulate_swro_system and hold every input fixed except Feed TDS. The recommended margin is benchmark-specific, not a universal industry standard.</x:v>
      </x:c>
      <x:c r="F27" s="24" t="str">
        <x:v>Scope: use full-plant simulate_swro_system and hold every input fixed except Feed TDS. The recommended margin is benchmark-specific, not a universal industry standard.</x:v>
      </x:c>
      <x:c r="G27" s="24" t="str">
        <x:v>Scope: use full-plant simulate_swro_system and hold every input fixed except Feed TDS. The recommended margin is benchmark-specific, not a universal industry standard.</x:v>
      </x:c>
      <x:c r="H27" s="24" t="str">
        <x:v>Scope: use full-plant simulate_swro_system and hold every input fixed except Feed TDS. The recommended margin is benchmark-specific, not a universal industry standard.</x:v>
      </x:c>
    </x:row>
    <x:row r="28">
      <x:c r="A28" s="24" t="str">
        <x:v>Scope: use full-plant simulate_swro_system and hold every input fixed except Feed TDS. The recommended margin is benchmark-specific, not a universal industry standard.</x:v>
      </x:c>
      <x:c r="B28" s="24" t="str">
        <x:v>Scope: use full-plant simulate_swro_system and hold every input fixed except Feed TDS. The recommended margin is benchmark-specific, not a universal industry standard.</x:v>
      </x:c>
      <x:c r="C28" s="24" t="str">
        <x:v>Scope: use full-plant simulate_swro_system and hold every input fixed except Feed TDS. The recommended margin is benchmark-specific, not a universal industry standard.</x:v>
      </x:c>
      <x:c r="D28" s="24" t="str">
        <x:v>Scope: use full-plant simulate_swro_system and hold every input fixed except Feed TDS. The recommended margin is benchmark-specific, not a universal industry standard.</x:v>
      </x:c>
      <x:c r="E28" s="24" t="str">
        <x:v>Scope: use full-plant simulate_swro_system and hold every input fixed except Feed TDS. The recommended margin is benchmark-specific, not a universal industry standard.</x:v>
      </x:c>
      <x:c r="F28" s="24" t="str">
        <x:v>Scope: use full-plant simulate_swro_system and hold every input fixed except Feed TDS. The recommended margin is benchmark-specific, not a universal industry standard.</x:v>
      </x:c>
      <x:c r="G28" s="24" t="str">
        <x:v>Scope: use full-plant simulate_swro_system and hold every input fixed except Feed TDS. The recommended margin is benchmark-specific, not a universal industry standard.</x:v>
      </x:c>
      <x:c r="H28" s="24" t="str">
        <x:v>Scope: use full-plant simulate_swro_system and hold every input fixed except Feed TDS. The recommended margin is benchmark-specific, not a universal industry standard.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4" hidden="0" customWidth="1"/>
    <x:col min="18" max="18" width="17" hidden="0" customWidth="1"/>
    <x:col min="19" max="19" width="17" hidden="0" customWidth="1"/>
  </x:cols>
  <x:sheetData>
    <x:row r="1" ht="26" customHeight="1">
      <x:c r="A1" s="4" t="str">
        <x:v>D3-3a N01: Stepwise Gold Answer — Maximum Tolerable Salinity During a Post-Algal High-Salinity Intrusion</x:v>
      </x:c>
      <x:c r="B1" s="4" t="str">
        <x:v>D3-3a N01: Stepwise Gold Answer — Maximum Tolerable Salinity During a Post-Algal High-Salinity Intrusion</x:v>
      </x:c>
      <x:c r="C1" s="4" t="str">
        <x:v>D3-3a N01: Stepwise Gold Answer — Maximum Tolerable Salinity During a Post-Algal High-Salinity Intrusion</x:v>
      </x:c>
      <x:c r="D1" s="4" t="str">
        <x:v>D3-3a N01: Stepwise Gold Answer — Maximum Tolerable Salinity During a Post-Algal High-Salinity Intrusion</x:v>
      </x:c>
      <x:c r="E1" s="4" t="str">
        <x:v>D3-3a N01: Stepwise Gold Answer — Maximum Tolerable Salinity During a Post-Algal High-Salinity Intrusion</x:v>
      </x:c>
      <x:c r="F1" s="4" t="str">
        <x:v>D3-3a N01: Stepwise Gold Answer — Maximum Tolerable Salinity During a Post-Algal High-Salinity Intrusion</x:v>
      </x:c>
      <x:c r="G1" s="4" t="str">
        <x:v>D3-3a N01: Stepwise Gold Answer — Maximum Tolerable Salinity During a Post-Algal High-Salinity Intrusion</x:v>
      </x:c>
      <x:c r="H1" s="4" t="str">
        <x:v>D3-3a N01: Stepwise Gold Answer — Maximum Tolerable Salinity During a Post-Algal High-Salinity Intrusion</x:v>
      </x:c>
      <x:c r="I1" s="4" t="str">
        <x:v>D3-3a N01: Stepwise Gold Answer — Maximum Tolerable Salinity During a Post-Algal High-Salinity Intrusion</x:v>
      </x:c>
      <x:c r="J1" s="4" t="str">
        <x:v>D3-3a N01: Stepwise Gold Answer — Maximum Tolerable Salinity During a Post-Algal High-Salinity Intrusion</x:v>
      </x:c>
      <x:c r="K1" s="4" t="str">
        <x:v>D3-3a N01: Stepwise Gold Answer — Maximum Tolerable Salinity During a Post-Algal High-Salinity Intrusion</x:v>
      </x:c>
      <x:c r="L1" s="4" t="str">
        <x:v>D3-3a N01: Stepwise Gold Answer — Maximum Tolerable Salinity During a Post-Algal High-Salinity Intrusion</x:v>
      </x:c>
      <x:c r="M1" s="4" t="str">
        <x:v>D3-3a N01: Stepwise Gold Answer — Maximum Tolerable Salinity During a Post-Algal High-Salinity Intrusion</x:v>
      </x:c>
      <x:c r="N1" s="4" t="str">
        <x:v>D3-3a N01: Stepwise Gold Answer — Maximum Tolerable Salinity During a Post-Algal High-Salinity Intrusion</x:v>
      </x:c>
      <x:c r="O1" s="4" t="str">
        <x:v>D3-3a N01: Stepwise Gold Answer — Maximum Tolerable Salinity During a Post-Algal High-Salinity Intrusion</x:v>
      </x:c>
      <x:c r="P1" s="4" t="str">
        <x:v>D3-3a N01: Stepwise Gold Answer — Maximum Tolerable Salinity During a Post-Algal High-Salinity Intrusion</x:v>
      </x:c>
      <x:c r="Q1" s="4" t="str">
        <x:v>D3-3a N01: Stepwise Gold Answer — Maximum Tolerable Salinity During a Post-Algal High-Salinity Intrusion</x:v>
      </x:c>
      <x:c r="R1" s="4" t="str">
        <x:v>D3-3a N01: Stepwise Gold Answer — Maximum Tolerable Salinity During a Post-Algal High-Salinity Intrusion</x:v>
      </x:c>
      <x:c r="S1" s="4" t="str">
        <x:v>D3-3a N01: Stepwise Gold Answer — Maximum Tolerable Salinity During a Post-Algal High-Salinity Intrusion</x:v>
      </x:c>
    </x:row>
    <x:row r="2" ht="26" customHeight="1">
      <x:c r="A2" s="4" t="str">
        <x:v>D3-3a N01: Stepwise Gold Answer — Maximum Tolerable Salinity During a Post-Algal High-Salinity Intrusion</x:v>
      </x:c>
      <x:c r="B2" s="4" t="str">
        <x:v>D3-3a N01: Stepwise Gold Answer — Maximum Tolerable Salinity During a Post-Algal High-Salinity Intrusion</x:v>
      </x:c>
      <x:c r="C2" s="4" t="str">
        <x:v>D3-3a N01: Stepwise Gold Answer — Maximum Tolerable Salinity During a Post-Algal High-Salinity Intrusion</x:v>
      </x:c>
      <x:c r="D2" s="4" t="str">
        <x:v>D3-3a N01: Stepwise Gold Answer — Maximum Tolerable Salinity During a Post-Algal High-Salinity Intrusion</x:v>
      </x:c>
      <x:c r="E2" s="4" t="str">
        <x:v>D3-3a N01: Stepwise Gold Answer — Maximum Tolerable Salinity During a Post-Algal High-Salinity Intrusion</x:v>
      </x:c>
      <x:c r="F2" s="4" t="str">
        <x:v>D3-3a N01: Stepwise Gold Answer — Maximum Tolerable Salinity During a Post-Algal High-Salinity Intrusion</x:v>
      </x:c>
      <x:c r="G2" s="4" t="str">
        <x:v>D3-3a N01: Stepwise Gold Answer — Maximum Tolerable Salinity During a Post-Algal High-Salinity Intrusion</x:v>
      </x:c>
      <x:c r="H2" s="4" t="str">
        <x:v>D3-3a N01: Stepwise Gold Answer — Maximum Tolerable Salinity During a Post-Algal High-Salinity Intrusion</x:v>
      </x:c>
      <x:c r="I2" s="4" t="str">
        <x:v>D3-3a N01: Stepwise Gold Answer — Maximum Tolerable Salinity During a Post-Algal High-Salinity Intrusion</x:v>
      </x:c>
      <x:c r="J2" s="4" t="str">
        <x:v>D3-3a N01: Stepwise Gold Answer — Maximum Tolerable Salinity During a Post-Algal High-Salinity Intrusion</x:v>
      </x:c>
      <x:c r="K2" s="4" t="str">
        <x:v>D3-3a N01: Stepwise Gold Answer — Maximum Tolerable Salinity During a Post-Algal High-Salinity Intrusion</x:v>
      </x:c>
      <x:c r="L2" s="4" t="str">
        <x:v>D3-3a N01: Stepwise Gold Answer — Maximum Tolerable Salinity During a Post-Algal High-Salinity Intrusion</x:v>
      </x:c>
      <x:c r="M2" s="4" t="str">
        <x:v>D3-3a N01: Stepwise Gold Answer — Maximum Tolerable Salinity During a Post-Algal High-Salinity Intrusion</x:v>
      </x:c>
      <x:c r="N2" s="4" t="str">
        <x:v>D3-3a N01: Stepwise Gold Answer — Maximum Tolerable Salinity During a Post-Algal High-Salinity Intrusion</x:v>
      </x:c>
      <x:c r="O2" s="4" t="str">
        <x:v>D3-3a N01: Stepwise Gold Answer — Maximum Tolerable Salinity During a Post-Algal High-Salinity Intrusion</x:v>
      </x:c>
      <x:c r="P2" s="4" t="str">
        <x:v>D3-3a N01: Stepwise Gold Answer — Maximum Tolerable Salinity During a Post-Algal High-Salinity Intrusion</x:v>
      </x:c>
      <x:c r="Q2" s="4" t="str">
        <x:v>D3-3a N01: Stepwise Gold Answer — Maximum Tolerable Salinity During a Post-Algal High-Salinity Intrusion</x:v>
      </x:c>
      <x:c r="R2" s="4" t="str">
        <x:v>D3-3a N01: Stepwise Gold Answer — Maximum Tolerable Salinity During a Post-Algal High-Salinity Intrusion</x:v>
      </x:c>
      <x:c r="S2" s="4" t="str">
        <x:v>D3-3a N01: Stepwise Gold Answer — Maximum Tolerable Salinity During a Post-Algal High-Salinity Intrusion</x:v>
      </x:c>
    </x:row>
    <x:row r="4">
      <x:c r="A4" s="28" t="str">
        <x:v>Reference efficient trajectory: eight simulate_swro_system calls, first bracketing, then locking the basic and recommended boundaries. Sole variable: Feed TDS; resolution: 0.1 g/L.</x:v>
      </x:c>
      <x:c r="B4" s="28" t="str">
        <x:v>Reference efficient trajectory: eight simulate_swro_system calls, first bracketing, then locking the basic and recommended boundaries. Sole variable: Feed TDS; resolution: 0.1 g/L.</x:v>
      </x:c>
      <x:c r="C4" s="28" t="str">
        <x:v>Reference efficient trajectory: eight simulate_swro_system calls, first bracketing, then locking the basic and recommended boundaries. Sole variable: Feed TDS; resolution: 0.1 g/L.</x:v>
      </x:c>
      <x:c r="D4" s="28" t="str">
        <x:v>Reference efficient trajectory: eight simulate_swro_system calls, first bracketing, then locking the basic and recommended boundaries. Sole variable: Feed TDS; resolution: 0.1 g/L.</x:v>
      </x:c>
      <x:c r="E4" s="28" t="str">
        <x:v>Reference efficient trajectory: eight simulate_swro_system calls, first bracketing, then locking the basic and recommended boundaries. Sole variable: Feed TDS; resolution: 0.1 g/L.</x:v>
      </x:c>
      <x:c r="F4" s="28" t="str">
        <x:v>Reference efficient trajectory: eight simulate_swro_system calls, first bracketing, then locking the basic and recommended boundaries. Sole variable: Feed TDS; resolution: 0.1 g/L.</x:v>
      </x:c>
      <x:c r="G4" s="28" t="str">
        <x:v>Reference efficient trajectory: eight simulate_swro_system calls, first bracketing, then locking the basic and recommended boundaries. Sole variable: Feed TDS; resolution: 0.1 g/L.</x:v>
      </x:c>
      <x:c r="H4" s="28" t="str">
        <x:v>Reference efficient trajectory: eight simulate_swro_system calls, first bracketing, then locking the basic and recommended boundaries. Sole variable: Feed TDS; resolution: 0.1 g/L.</x:v>
      </x:c>
      <x:c r="I4" s="28" t="str">
        <x:v>Reference efficient trajectory: eight simulate_swro_system calls, first bracketing, then locking the basic and recommended boundaries. Sole variable: Feed TDS; resolution: 0.1 g/L.</x:v>
      </x:c>
      <x:c r="J4" s="28" t="str">
        <x:v>Reference efficient trajectory: eight simulate_swro_system calls, first bracketing, then locking the basic and recommended boundaries. Sole variable: Feed TDS; resolution: 0.1 g/L.</x:v>
      </x:c>
      <x:c r="K4" s="28" t="str">
        <x:v>Reference efficient trajectory: eight simulate_swro_system calls, first bracketing, then locking the basic and recommended boundaries. Sole variable: Feed TDS; resolution: 0.1 g/L.</x:v>
      </x:c>
      <x:c r="L4" s="28" t="str">
        <x:v>Reference efficient trajectory: eight simulate_swro_system calls, first bracketing, then locking the basic and recommended boundaries. Sole variable: Feed TDS; resolution: 0.1 g/L.</x:v>
      </x:c>
      <x:c r="M4" s="28" t="str">
        <x:v>Reference efficient trajectory: eight simulate_swro_system calls, first bracketing, then locking the basic and recommended boundaries. Sole variable: Feed TDS; resolution: 0.1 g/L.</x:v>
      </x:c>
      <x:c r="N4" s="28" t="str">
        <x:v>Reference efficient trajectory: eight simulate_swro_system calls, first bracketing, then locking the basic and recommended boundaries. Sole variable: Feed TDS; resolution: 0.1 g/L.</x:v>
      </x:c>
      <x:c r="O4" s="28" t="str">
        <x:v>Reference efficient trajectory: eight simulate_swro_system calls, first bracketing, then locking the basic and recommended boundaries. Sole variable: Feed TDS; resolution: 0.1 g/L.</x:v>
      </x:c>
      <x:c r="P4" s="28" t="str">
        <x:v>Reference efficient trajectory: eight simulate_swro_system calls, first bracketing, then locking the basic and recommended boundaries. Sole variable: Feed TDS; resolution: 0.1 g/L.</x:v>
      </x:c>
      <x:c r="Q4" s="28" t="str">
        <x:v>Reference efficient trajectory: eight simulate_swro_system calls, first bracketing, then locking the basic and recommended boundaries. Sole variable: Feed TDS; resolution: 0.1 g/L.</x:v>
      </x:c>
      <x:c r="R4" s="28" t="str">
        <x:v>Reference efficient trajectory: eight simulate_swro_system calls, first bracketing, then locking the basic and recommended boundaries. Sole variable: Feed TDS; resolution: 0.1 g/L.</x:v>
      </x:c>
      <x:c r="S4" s="28" t="str">
        <x:v>Reference efficient trajectory: eight simulate_swro_system calls, first bracketing, then locking the basic and recommended boundaries. Sole variable: Feed TDS; resolution: 0.1 g/L.</x:v>
      </x:c>
    </x:row>
    <x:row r="5">
      <x:c r="A5" s="28" t="str">
        <x:v>Reference efficient trajectory: eight simulate_swro_system calls, first bracketing, then locking the basic and recommended boundaries. Sole variable: Feed TDS; resolution: 0.1 g/L.</x:v>
      </x:c>
      <x:c r="B5" s="28" t="str">
        <x:v>Reference efficient trajectory: eight simulate_swro_system calls, first bracketing, then locking the basic and recommended boundaries. Sole variable: Feed TDS; resolution: 0.1 g/L.</x:v>
      </x:c>
      <x:c r="C5" s="28" t="str">
        <x:v>Reference efficient trajectory: eight simulate_swro_system calls, first bracketing, then locking the basic and recommended boundaries. Sole variable: Feed TDS; resolution: 0.1 g/L.</x:v>
      </x:c>
      <x:c r="D5" s="28" t="str">
        <x:v>Reference efficient trajectory: eight simulate_swro_system calls, first bracketing, then locking the basic and recommended boundaries. Sole variable: Feed TDS; resolution: 0.1 g/L.</x:v>
      </x:c>
      <x:c r="E5" s="28" t="str">
        <x:v>Reference efficient trajectory: eight simulate_swro_system calls, first bracketing, then locking the basic and recommended boundaries. Sole variable: Feed TDS; resolution: 0.1 g/L.</x:v>
      </x:c>
      <x:c r="F5" s="28" t="str">
        <x:v>Reference efficient trajectory: eight simulate_swro_system calls, first bracketing, then locking the basic and recommended boundaries. Sole variable: Feed TDS; resolution: 0.1 g/L.</x:v>
      </x:c>
      <x:c r="G5" s="28" t="str">
        <x:v>Reference efficient trajectory: eight simulate_swro_system calls, first bracketing, then locking the basic and recommended boundaries. Sole variable: Feed TDS; resolution: 0.1 g/L.</x:v>
      </x:c>
      <x:c r="H5" s="28" t="str">
        <x:v>Reference efficient trajectory: eight simulate_swro_system calls, first bracketing, then locking the basic and recommended boundaries. Sole variable: Feed TDS; resolution: 0.1 g/L.</x:v>
      </x:c>
      <x:c r="I5" s="28" t="str">
        <x:v>Reference efficient trajectory: eight simulate_swro_system calls, first bracketing, then locking the basic and recommended boundaries. Sole variable: Feed TDS; resolution: 0.1 g/L.</x:v>
      </x:c>
      <x:c r="J5" s="28" t="str">
        <x:v>Reference efficient trajectory: eight simulate_swro_system calls, first bracketing, then locking the basic and recommended boundaries. Sole variable: Feed TDS; resolution: 0.1 g/L.</x:v>
      </x:c>
      <x:c r="K5" s="28" t="str">
        <x:v>Reference efficient trajectory: eight simulate_swro_system calls, first bracketing, then locking the basic and recommended boundaries. Sole variable: Feed TDS; resolution: 0.1 g/L.</x:v>
      </x:c>
      <x:c r="L5" s="28" t="str">
        <x:v>Reference efficient trajectory: eight simulate_swro_system calls, first bracketing, then locking the basic and recommended boundaries. Sole variable: Feed TDS; resolution: 0.1 g/L.</x:v>
      </x:c>
      <x:c r="M5" s="28" t="str">
        <x:v>Reference efficient trajectory: eight simulate_swro_system calls, first bracketing, then locking the basic and recommended boundaries. Sole variable: Feed TDS; resolution: 0.1 g/L.</x:v>
      </x:c>
      <x:c r="N5" s="28" t="str">
        <x:v>Reference efficient trajectory: eight simulate_swro_system calls, first bracketing, then locking the basic and recommended boundaries. Sole variable: Feed TDS; resolution: 0.1 g/L.</x:v>
      </x:c>
      <x:c r="O5" s="28" t="str">
        <x:v>Reference efficient trajectory: eight simulate_swro_system calls, first bracketing, then locking the basic and recommended boundaries. Sole variable: Feed TDS; resolution: 0.1 g/L.</x:v>
      </x:c>
      <x:c r="P5" s="28" t="str">
        <x:v>Reference efficient trajectory: eight simulate_swro_system calls, first bracketing, then locking the basic and recommended boundaries. Sole variable: Feed TDS; resolution: 0.1 g/L.</x:v>
      </x:c>
      <x:c r="Q5" s="28" t="str">
        <x:v>Reference efficient trajectory: eight simulate_swro_system calls, first bracketing, then locking the basic and recommended boundaries. Sole variable: Feed TDS; resolution: 0.1 g/L.</x:v>
      </x:c>
      <x:c r="R5" s="28" t="str">
        <x:v>Reference efficient trajectory: eight simulate_swro_system calls, first bracketing, then locking the basic and recommended boundaries. Sole variable: Feed TDS; resolution: 0.1 g/L.</x:v>
      </x:c>
      <x:c r="S5" s="28" t="str">
        <x:v>Reference efficient trajectory: eight simulate_swro_system calls, first bracketing, then locking the basic and recommended boundaries. Sole variable: Feed TDS; resolution: 0.1 g/L.</x:v>
      </x:c>
    </x:row>
    <x:row r="6">
      <x:c r="A6" s="28" t="str">
        <x:v>Reference efficient trajectory: eight simulate_swro_system calls, first bracketing, then locking the basic and recommended boundaries. Sole variable: Feed TDS; resolution: 0.1 g/L.</x:v>
      </x:c>
      <x:c r="B6" s="28" t="str">
        <x:v>Reference efficient trajectory: eight simulate_swro_system calls, first bracketing, then locking the basic and recommended boundaries. Sole variable: Feed TDS; resolution: 0.1 g/L.</x:v>
      </x:c>
      <x:c r="C6" s="28" t="str">
        <x:v>Reference efficient trajectory: eight simulate_swro_system calls, first bracketing, then locking the basic and recommended boundaries. Sole variable: Feed TDS; resolution: 0.1 g/L.</x:v>
      </x:c>
      <x:c r="D6" s="28" t="str">
        <x:v>Reference efficient trajectory: eight simulate_swro_system calls, first bracketing, then locking the basic and recommended boundaries. Sole variable: Feed TDS; resolution: 0.1 g/L.</x:v>
      </x:c>
      <x:c r="E6" s="28" t="str">
        <x:v>Reference efficient trajectory: eight simulate_swro_system calls, first bracketing, then locking the basic and recommended boundaries. Sole variable: Feed TDS; resolution: 0.1 g/L.</x:v>
      </x:c>
      <x:c r="F6" s="28" t="str">
        <x:v>Reference efficient trajectory: eight simulate_swro_system calls, first bracketing, then locking the basic and recommended boundaries. Sole variable: Feed TDS; resolution: 0.1 g/L.</x:v>
      </x:c>
      <x:c r="G6" s="28" t="str">
        <x:v>Reference efficient trajectory: eight simulate_swro_system calls, first bracketing, then locking the basic and recommended boundaries. Sole variable: Feed TDS; resolution: 0.1 g/L.</x:v>
      </x:c>
      <x:c r="H6" s="28" t="str">
        <x:v>Reference efficient trajectory: eight simulate_swro_system calls, first bracketing, then locking the basic and recommended boundaries. Sole variable: Feed TDS; resolution: 0.1 g/L.</x:v>
      </x:c>
      <x:c r="I6" s="28" t="str">
        <x:v>Reference efficient trajectory: eight simulate_swro_system calls, first bracketing, then locking the basic and recommended boundaries. Sole variable: Feed TDS; resolution: 0.1 g/L.</x:v>
      </x:c>
      <x:c r="J6" s="28" t="str">
        <x:v>Reference efficient trajectory: eight simulate_swro_system calls, first bracketing, then locking the basic and recommended boundaries. Sole variable: Feed TDS; resolution: 0.1 g/L.</x:v>
      </x:c>
      <x:c r="K6" s="28" t="str">
        <x:v>Reference efficient trajectory: eight simulate_swro_system calls, first bracketing, then locking the basic and recommended boundaries. Sole variable: Feed TDS; resolution: 0.1 g/L.</x:v>
      </x:c>
      <x:c r="L6" s="28" t="str">
        <x:v>Reference efficient trajectory: eight simulate_swro_system calls, first bracketing, then locking the basic and recommended boundaries. Sole variable: Feed TDS; resolution: 0.1 g/L.</x:v>
      </x:c>
      <x:c r="M6" s="28" t="str">
        <x:v>Reference efficient trajectory: eight simulate_swro_system calls, first bracketing, then locking the basic and recommended boundaries. Sole variable: Feed TDS; resolution: 0.1 g/L.</x:v>
      </x:c>
      <x:c r="N6" s="28" t="str">
        <x:v>Reference efficient trajectory: eight simulate_swro_system calls, first bracketing, then locking the basic and recommended boundaries. Sole variable: Feed TDS; resolution: 0.1 g/L.</x:v>
      </x:c>
      <x:c r="O6" s="28" t="str">
        <x:v>Reference efficient trajectory: eight simulate_swro_system calls, first bracketing, then locking the basic and recommended boundaries. Sole variable: Feed TDS; resolution: 0.1 g/L.</x:v>
      </x:c>
      <x:c r="P6" s="28" t="str">
        <x:v>Reference efficient trajectory: eight simulate_swro_system calls, first bracketing, then locking the basic and recommended boundaries. Sole variable: Feed TDS; resolution: 0.1 g/L.</x:v>
      </x:c>
      <x:c r="Q6" s="28" t="str">
        <x:v>Reference efficient trajectory: eight simulate_swro_system calls, first bracketing, then locking the basic and recommended boundaries. Sole variable: Feed TDS; resolution: 0.1 g/L.</x:v>
      </x:c>
      <x:c r="R6" s="28" t="str">
        <x:v>Reference efficient trajectory: eight simulate_swro_system calls, first bracketing, then locking the basic and recommended boundaries. Sole variable: Feed TDS; resolution: 0.1 g/L.</x:v>
      </x:c>
      <x:c r="S6" s="28" t="str">
        <x:v>Reference efficient trajectory: eight simulate_swro_system calls, first bracketing, then locking the basic and recommended boundaries. Sole variable: Feed TDS; resolution: 0.1 g/L.</x:v>
      </x:c>
    </x:row>
    <x:row r="8">
      <x:c r="A8" s="10" t="str">
        <x:v>Reference agent trajectory</x:v>
      </x:c>
      <x:c r="B8" s="10" t="str">
        <x:v>Reference agent trajectory</x:v>
      </x:c>
      <x:c r="C8" s="10" t="str">
        <x:v>Reference agent trajectory</x:v>
      </x:c>
      <x:c r="D8" s="10" t="str">
        <x:v>Reference agent trajectory</x:v>
      </x:c>
      <x:c r="E8" s="10" t="str">
        <x:v>Reference agent trajectory</x:v>
      </x:c>
      <x:c r="F8" s="10" t="str">
        <x:v>Reference agent trajectory</x:v>
      </x:c>
      <x:c r="G8" s="10" t="str">
        <x:v>Reference agent trajectory</x:v>
      </x:c>
    </x:row>
    <x:row r="9">
      <x:c r="A9" s="16" t="str">
        <x:v>Stage</x:v>
      </x:c>
      <x:c r="B9" s="16" t="str">
        <x:v>Known state</x:v>
      </x:c>
      <x:c r="C9" s="16" t="str">
        <x:v>Action</x:v>
      </x:c>
      <x:c r="D9" s="16" t="str">
        <x:v>Key observation</x:v>
      </x:c>
      <x:c r="E9" s="16" t="str">
        <x:v>State update</x:v>
      </x:c>
      <x:c r="F9" s="16" t="str">
        <x:v>Next step</x:v>
      </x:c>
      <x:c r="G9" s="16" t="str">
        <x:v>Capability</x:v>
      </x:c>
    </x:row>
    <x:row r="10" ht="45" customHeight="1">
      <x:c r="A10" s="19" t="str">
        <x:v>1 Baseline</x:v>
      </x:c>
      <x:c r="B10" s="19" t="str">
        <x:v>Control direction unknown</x:v>
      </x:c>
      <x:c r="C10" s="19" t="str">
        <x:v>35</x:v>
      </x:c>
      <x:c r="D10" s="19" t="str">
        <x:v>low-salinity baseline</x:v>
      </x:c>
      <x:c r="E10" s="19" t="str">
        <x:v>Establish baseline</x:v>
      </x:c>
      <x:c r="F10" s="19" t="str">
        <x:v>Test opposite end</x:v>
      </x:c>
      <x:c r="G10" s="19" t="str">
        <x:v>Problem diagnosis</x:v>
      </x:c>
    </x:row>
    <x:row r="11" ht="45" customHeight="1">
      <x:c r="A11" s="19" t="str">
        <x:v>2 Coarse bracket</x:v>
      </x:c>
      <x:c r="B11" s="19" t="str">
        <x:v>Baseline known</x:v>
      </x:c>
      <x:c r="C11" s="19" t="str">
        <x:v>41</x:v>
      </x:c>
      <x:c r="D11" s="19" t="str">
        <x:v>high-salinity failure</x:v>
      </x:c>
      <x:c r="E11" s="19" t="str">
        <x:v>Create pass/fail bracket</x:v>
      </x:c>
      <x:c r="F11" s="19" t="str">
        <x:v>Test midpoints</x:v>
      </x:c>
      <x:c r="G11" s="19" t="str">
        <x:v>Plan→Observe</x:v>
      </x:c>
    </x:row>
    <x:row r="12" ht="45" customHeight="1">
      <x:c r="A12" s="19" t="str">
        <x:v>3 Narrow</x:v>
      </x:c>
      <x:c r="B12" s="19" t="str">
        <x:v>35 / 41</x:v>
      </x:c>
      <x:c r="C12" s="19" t="str">
        <x:v>39→40</x:v>
      </x:c>
      <x:c r="D12" s="19" t="str">
        <x:v>both targets pass; basic fails</x:v>
      </x:c>
      <x:c r="E12" s="19" t="str">
        <x:v>Locate both targets</x:v>
      </x:c>
      <x:c r="F12" s="19" t="str">
        <x:v>Move to final resolution</x:v>
      </x:c>
      <x:c r="G12" s="19" t="str">
        <x:v>Adaptive search</x:v>
      </x:c>
    </x:row>
    <x:row r="13" ht="45" customHeight="1">
      <x:c r="A13" s="19" t="str">
        <x:v>4 Basic boundary</x:v>
      </x:c>
      <x:c r="B13" s="19" t="str">
        <x:v>Basic target unresolved</x:v>
      </x:c>
      <x:c r="C13" s="19" t="str">
        <x:v>40↔39.9</x:v>
      </x:c>
      <x:c r="D13" s="19" t="str">
        <x:v>Adjacent fail/pass</x:v>
      </x:c>
      <x:c r="E13" s="19" t="str">
        <x:v>Lock basic boundary</x:v>
      </x:c>
      <x:c r="F13" s="19" t="str">
        <x:v>Switch to margin target</x:v>
      </x:c>
      <x:c r="G13" s="19" t="str">
        <x:v>Boundary proof</x:v>
      </x:c>
    </x:row>
    <x:row r="14" ht="45" customHeight="1">
      <x:c r="A14" s="19" t="str">
        <x:v>5 Recommended boundary</x:v>
      </x:c>
      <x:c r="B14" s="19" t="str">
        <x:v>Use stricter margin</x:v>
      </x:c>
      <x:c r="C14" s="19" t="str">
        <x:v>39.2↔39.1</x:v>
      </x:c>
      <x:c r="D14" s="19" t="str">
        <x:v>Adjacent fail/pass</x:v>
      </x:c>
      <x:c r="E14" s="19" t="str">
        <x:v>Lock recommendation</x:v>
      </x:c>
      <x:c r="F14" s="19" t="str">
        <x:v>Calculate energy</x:v>
      </x:c>
      <x:c r="G14" s="19" t="str">
        <x:v>Target switch</x:v>
      </x:c>
    </x:row>
    <x:row r="15" ht="45" customHeight="1">
      <x:c r="A15" s="19" t="str">
        <x:v>6 Decision</x:v>
      </x:c>
      <x:c r="B15" s="19" t="str">
        <x:v>Both boundaries proven</x:v>
      </x:c>
      <x:c r="C15" s="19" t="str">
        <x:v>Summarize outputs</x:v>
      </x:c>
      <x:c r="D15" s="19" t="str">
        <x:v>Maximum basic TDS is 39.9 g/L; recommended limit is 39.1 g/L. At the recommendation, pump-train power is 1,108.09 kW, SEC is 3.0108 kWh/m³ and daily energy is 30,764.44 kWh/d.</x:v>
      </x:c>
      <x:c r="E15" s="19" t="str">
        <x:v>Set operating rule</x:v>
      </x:c>
      <x:c r="F15" s="19" t="str">
        <x:v>Stop</x:v>
      </x:c>
      <x:c r="G15" s="19" t="str">
        <x:v>Engineering decision</x:v>
      </x:c>
    </x:row>
    <x:row r="18">
      <x:c r="A18" s="10" t="str">
        <x:v>Eight actual simulate_swro_system calls</x:v>
      </x:c>
      <x:c r="B18" s="10" t="str">
        <x:v>Eight actual simulate_swro_system calls</x:v>
      </x:c>
      <x:c r="C18" s="10" t="str">
        <x:v>Eight actual simulate_swro_system calls</x:v>
      </x:c>
      <x:c r="D18" s="10" t="str">
        <x:v>Eight actual simulate_swro_system calls</x:v>
      </x:c>
      <x:c r="E18" s="10" t="str">
        <x:v>Eight actual simulate_swro_system calls</x:v>
      </x:c>
      <x:c r="F18" s="10" t="str">
        <x:v>Eight actual simulate_swro_system calls</x:v>
      </x:c>
      <x:c r="G18" s="10" t="str">
        <x:v>Eight actual simulate_swro_system calls</x:v>
      </x:c>
      <x:c r="H18" s="10" t="str">
        <x:v>Eight actual simulate_swro_system calls</x:v>
      </x:c>
      <x:c r="I18" s="10" t="str">
        <x:v>Eight actual simulate_swro_system calls</x:v>
      </x:c>
      <x:c r="J18" s="10" t="str">
        <x:v>Eight actual simulate_swro_system calls</x:v>
      </x:c>
      <x:c r="K18" s="10" t="str">
        <x:v>Eight actual simulate_swro_system calls</x:v>
      </x:c>
      <x:c r="L18" s="10" t="str">
        <x:v>Eight actual simulate_swro_system calls</x:v>
      </x:c>
      <x:c r="M18" s="10" t="str">
        <x:v>Eight actual simulate_swro_system calls</x:v>
      </x:c>
      <x:c r="N18" s="10" t="str">
        <x:v>Eight actual simulate_swro_system calls</x:v>
      </x:c>
      <x:c r="O18" s="10" t="str">
        <x:v>Eight actual simulate_swro_system calls</x:v>
      </x:c>
    </x:row>
    <x:row r="19">
      <x:c r="A19" s="16" t="str">
        <x:v>Call</x:v>
      </x:c>
      <x:c r="B19" s="16" t="str">
        <x:v>Feed TDS</x:v>
      </x:c>
      <x:c r="C19" s="16" t="str">
        <x:v>Product m³/d</x:v>
      </x:c>
      <x:c r="D19" s="16" t="str">
        <x:v>System recovery %</x:v>
      </x:c>
      <x:c r="E19" s="16" t="str">
        <x:v>P1 power kW</x:v>
      </x:c>
      <x:c r="F19" s="16" t="str">
        <x:v>P2 power kW</x:v>
      </x:c>
      <x:c r="G19" s="16" t="str">
        <x:v>Pump-train kW</x:v>
      </x:c>
      <x:c r="H19" s="16" t="str">
        <x:v>SEC kWh/m³</x:v>
      </x:c>
      <x:c r="I19" s="16" t="str">
        <x:v>Net plant kW</x:v>
      </x:c>
      <x:c r="J19" s="16" t="str">
        <x:v>Daily energy kWh/d</x:v>
      </x:c>
      <x:c r="K19" s="16" t="str">
        <x:v>LCOW $/m³</x:v>
      </x:c>
      <x:c r="L19" s="16" t="str">
        <x:v>Basic</x:v>
      </x:c>
      <x:c r="M19" s="16" t="str">
        <x:v>Margin</x:v>
      </x:c>
      <x:c r="N19" s="16" t="str">
        <x:v>g/L</x:v>
      </x:c>
      <x:c r="O19" s="16" t="str">
        <x:v>Observation/decision</x:v>
      </x:c>
      <x:c r="Q19" t="str">
        <x:v>Feed TDS</x:v>
      </x:c>
      <x:c r="R19" t="str">
        <x:v>Key output</x:v>
      </x:c>
      <x:c r="S19" t="str">
        <x:v>Recommended target</x:v>
      </x:c>
    </x:row>
    <x:row r="20" ht="29" customHeight="1">
      <x:c r="A20" s="19" t="n">
        <x:v>1</x:v>
      </x:c>
      <x:c r="B20" s="20" t="n">
        <x:v>35</x:v>
      </x:c>
      <x:c r="C20" s="29" t="n">
        <x:v>11319.384420141623</x:v>
      </x:c>
      <x:c r="D20" s="29" t="n">
        <x:v>43.67046458387973</x:v>
      </x:c>
      <x:c r="E20" s="29" t="n">
        <x:v>1108.4592156795936</x:v>
      </x:c>
      <x:c r="F20" s="29" t="n">
        <x:v>99.2059952738249</x:v>
      </x:c>
      <x:c r="G20" s="29" t="n">
        <x:f>E20+F20</x:f>
        <x:v>1207.6652109534184</x:v>
      </x:c>
      <x:c r="H20" s="29" t="n">
        <x:v>2.9685835049297222</x:v>
      </x:c>
      <x:c r="I20" s="29" t="n">
        <x:f>C20/24*H20</x:f>
        <x:v>1400.1057448162878</x:v>
      </x:c>
      <x:c r="J20" s="29" t="n">
        <x:f>C20*H20</x:f>
        <x:v>33602.53787559091</x:v>
      </x:c>
      <x:c r="K20" s="30" t="n">
        <x:v>0.8198517136065078</x:v>
      </x:c>
      <x:c r="L20" s="33" t="str">
        <x:v>PASS</x:v>
      </x:c>
      <x:c r="M20" s="33" t="str">
        <x:v>PASS</x:v>
      </x:c>
      <x:c r="N20" s="19" t="str">
        <x:v>g/L</x:v>
      </x:c>
      <x:c r="O20" s="19" t="str">
        <x:v>low-salinity baseline</x:v>
      </x:c>
      <x:c r="Q20" t="n">
        <x:v>35</x:v>
      </x:c>
      <x:c r="R20" t="n">
        <x:v>11319.384420141623</x:v>
      </x:c>
      <x:c r="S20" t="n">
        <x:v>10200</x:v>
      </x:c>
    </x:row>
    <x:row r="21" ht="29" customHeight="1">
      <x:c r="A21" s="19" t="n">
        <x:v>2</x:v>
      </x:c>
      <x:c r="B21" s="20" t="n">
        <x:v>41</x:v>
      </x:c>
      <x:c r="C21" s="29" t="n">
        <x:v>9725.034635952044</x:v>
      </x:c>
      <x:c r="D21" s="29" t="n">
        <x:v>37.51942374981499</x:v>
      </x:c>
      <x:c r="E21" s="29" t="n">
        <x:v>952.047129910082</x:v>
      </x:c>
      <x:c r="F21" s="29" t="n">
        <x:v>111.57195376726995</x:v>
      </x:c>
      <x:c r="G21" s="29" t="n">
        <x:f>E21+F21</x:f>
        <x:v>1063.619083677352</x:v>
      </x:c>
      <x:c r="H21" s="29" t="n">
        <x:v>3.033039400940411</x:v>
      </x:c>
      <x:c r="I21" s="29" t="n">
        <x:f>C21/24*H21</x:f>
        <x:v>1229.0172177646975</x:v>
      </x:c>
      <x:c r="J21" s="29" t="n">
        <x:f>C21*H21</x:f>
        <x:v>29496.41322635274</x:v>
      </x:c>
      <x:c r="K21" s="30" t="n">
        <x:v>0.9064103887113344</x:v>
      </x:c>
      <x:c r="L21" s="36" t="str">
        <x:v>FAIL</x:v>
      </x:c>
      <x:c r="M21" s="36" t="str">
        <x:v>FAIL</x:v>
      </x:c>
      <x:c r="N21" s="19" t="str">
        <x:v>g/L</x:v>
      </x:c>
      <x:c r="O21" s="19" t="str">
        <x:v>high-salinity failure</x:v>
      </x:c>
      <x:c r="Q21" t="n">
        <x:v>39</x:v>
      </x:c>
      <x:c r="R21" t="n">
        <x:v>10244.175640703832</x:v>
      </x:c>
      <x:c r="S21" t="n">
        <x:v>10200</x:v>
      </x:c>
    </x:row>
    <x:row r="22" ht="29" customHeight="1">
      <x:c r="A22" s="19" t="n">
        <x:v>3</x:v>
      </x:c>
      <x:c r="B22" s="20" t="n">
        <x:v>39</x:v>
      </x:c>
      <x:c r="C22" s="29" t="n">
        <x:v>10244.175640703832</x:v>
      </x:c>
      <x:c r="D22" s="29" t="n">
        <x:v>39.5222825644438</x:v>
      </x:c>
      <x:c r="E22" s="29" t="n">
        <x:v>1002.9714926136609</x:v>
      </x:c>
      <x:c r="F22" s="29" t="n">
        <x:v>107.49063711760806</x:v>
      </x:c>
      <x:c r="G22" s="29" t="n">
        <x:f>E22+F22</x:f>
        <x:v>1110.462129731269</x:v>
      </x:c>
      <x:c r="H22" s="29" t="n">
        <x:v>3.0097077584716696</x:v>
      </x:c>
      <x:c r="I22" s="29" t="n">
        <x:f>C22/24*H22</x:f>
        <x:v>1284.6656210405338</x:v>
      </x:c>
      <x:c r="J22" s="29" t="n">
        <x:f>C22*H22</x:f>
        <x:v>30831.97490497281</x:v>
      </x:c>
      <x:c r="K22" s="30" t="n">
        <x:v>0.8753135247614591</x:v>
      </x:c>
      <x:c r="L22" s="33" t="str">
        <x:v>PASS</x:v>
      </x:c>
      <x:c r="M22" s="33" t="str">
        <x:v>PASS</x:v>
      </x:c>
      <x:c r="N22" s="19" t="str">
        <x:v>g/L</x:v>
      </x:c>
      <x:c r="O22" s="19" t="str">
        <x:v>both targets pass</x:v>
      </x:c>
      <x:c r="Q22" t="n">
        <x:v>39.1</x:v>
      </x:c>
      <x:c r="R22" t="n">
        <x:v>10217.937902629821</x:v>
      </x:c>
      <x:c r="S22" t="n">
        <x:v>10200</x:v>
      </x:c>
    </x:row>
    <x:row r="23" ht="29" customHeight="1">
      <x:c r="A23" s="19" t="n">
        <x:v>4</x:v>
      </x:c>
      <x:c r="B23" s="20" t="n">
        <x:v>40</x:v>
      </x:c>
      <x:c r="C23" s="29" t="n">
        <x:v>9983.140297635882</x:v>
      </x:c>
      <x:c r="D23" s="29" t="n">
        <x:v>38.51520176557053</x:v>
      </x:c>
      <x:c r="E23" s="29" t="n">
        <x:v>977.3649148408688</x:v>
      </x:c>
      <x:c r="F23" s="29" t="n">
        <x:v>109.53606868883772</x:v>
      </x:c>
      <x:c r="G23" s="29" t="n">
        <x:f>E23+F23</x:f>
        <x:v>1086.9009835297065</x:v>
      </x:c>
      <x:c r="H23" s="29" t="n">
        <x:v>3.02111819666297</x:v>
      </x:c>
      <x:c r="I23" s="29" t="n">
        <x:f>C23/24*H23</x:f>
        <x:v>1256.6769505427974</x:v>
      </x:c>
      <x:c r="J23" s="29" t="n">
        <x:f>C23*H23</x:f>
        <x:v>30160.24681302714</x:v>
      </x:c>
      <x:c r="K23" s="30" t="n">
        <x:v>0.8905516122372221</x:v>
      </x:c>
      <x:c r="L23" s="36" t="str">
        <x:v>FAIL</x:v>
      </x:c>
      <x:c r="M23" s="36" t="str">
        <x:v>FAIL</x:v>
      </x:c>
      <x:c r="N23" s="19" t="str">
        <x:v>g/L</x:v>
      </x:c>
      <x:c r="O23" s="19" t="str">
        <x:v>basic fails</x:v>
      </x:c>
      <x:c r="Q23" t="n">
        <x:v>39.2</x:v>
      </x:c>
      <x:c r="R23" t="n">
        <x:v>10191.730215188603</x:v>
      </x:c>
      <x:c r="S23" t="n">
        <x:v>10200</x:v>
      </x:c>
    </x:row>
    <x:row r="24" ht="29" customHeight="1">
      <x:c r="A24" s="19" t="n">
        <x:v>5</x:v>
      </x:c>
      <x:c r="B24" s="20" t="n">
        <x:v>39.9</x:v>
      </x:c>
      <x:c r="C24" s="29" t="n">
        <x:v>10009.110641610394</x:v>
      </x:c>
      <x:c r="D24" s="29" t="n">
        <x:v>38.61539599386726</x:v>
      </x:c>
      <x:c r="E24" s="29" t="n">
        <x:v>979.9124442035284</x:v>
      </x:c>
      <x:c r="F24" s="29" t="n">
        <x:v>109.33196069304537</x:v>
      </x:c>
      <x:c r="G24" s="29" t="n">
        <x:f>E24+F24</x:f>
        <x:v>1089.2444048965738</x:v>
      </x:c>
      <x:c r="H24" s="29" t="n">
        <x:v>3.0199547041025014</x:v>
      </x:c>
      <x:c r="I24" s="29" t="n">
        <x:f>C24/24*H24</x:f>
        <x:v>1259.4608652505715</x:v>
      </x:c>
      <x:c r="J24" s="29" t="n">
        <x:f>C24*H24</x:f>
        <x:v>30227.060766013714</x:v>
      </x:c>
      <x:c r="K24" s="30" t="n">
        <x:v>0.8890005219966022</x:v>
      </x:c>
      <x:c r="L24" s="33" t="str">
        <x:v>PASS</x:v>
      </x:c>
      <x:c r="M24" s="36" t="str">
        <x:v>FAIL</x:v>
      </x:c>
      <x:c r="N24" s="19" t="str">
        <x:v>g/L</x:v>
      </x:c>
      <x:c r="O24" s="19" t="str">
        <x:v>basic pass</x:v>
      </x:c>
      <x:c r="Q24" t="n">
        <x:v>39.9</x:v>
      </x:c>
      <x:c r="R24" t="n">
        <x:v>10009.110641610394</x:v>
      </x:c>
      <x:c r="S24" t="n">
        <x:v>10200</x:v>
      </x:c>
    </x:row>
    <x:row r="25" ht="29" customHeight="1">
      <x:c r="A25" s="19" t="n">
        <x:v>6</x:v>
      </x:c>
      <x:c r="B25" s="20" t="n">
        <x:v>40</x:v>
      </x:c>
      <x:c r="C25" s="29" t="n">
        <x:v>9983.140297635882</x:v>
      </x:c>
      <x:c r="D25" s="29" t="n">
        <x:v>38.51520176557053</x:v>
      </x:c>
      <x:c r="E25" s="29" t="n">
        <x:v>977.3649148408688</x:v>
      </x:c>
      <x:c r="F25" s="29" t="n">
        <x:v>109.53606868883772</x:v>
      </x:c>
      <x:c r="G25" s="29" t="n">
        <x:f>E25+F25</x:f>
        <x:v>1086.9009835297065</x:v>
      </x:c>
      <x:c r="H25" s="29" t="n">
        <x:v>3.02111819666297</x:v>
      </x:c>
      <x:c r="I25" s="29" t="n">
        <x:f>C25/24*H25</x:f>
        <x:v>1256.6769505427974</x:v>
      </x:c>
      <x:c r="J25" s="29" t="n">
        <x:f>C25*H25</x:f>
        <x:v>30160.24681302714</x:v>
      </x:c>
      <x:c r="K25" s="30" t="n">
        <x:v>0.8905516122372221</x:v>
      </x:c>
      <x:c r="L25" s="36" t="str">
        <x:v>FAIL</x:v>
      </x:c>
      <x:c r="M25" s="36" t="str">
        <x:v>FAIL</x:v>
      </x:c>
      <x:c r="N25" s="19" t="str">
        <x:v>g/L</x:v>
      </x:c>
      <x:c r="O25" s="19" t="str">
        <x:v>basic fail</x:v>
      </x:c>
      <x:c r="Q25" t="n">
        <x:v>40</x:v>
      </x:c>
      <x:c r="R25" t="n">
        <x:v>9983.140297635882</x:v>
      </x:c>
      <x:c r="S25" t="n">
        <x:v>10200</x:v>
      </x:c>
    </x:row>
    <x:row r="26" ht="29" customHeight="1">
      <x:c r="A26" s="19" t="n">
        <x:v>7</x:v>
      </x:c>
      <x:c r="B26" s="20" t="n">
        <x:v>39.1</x:v>
      </x:c>
      <x:c r="C26" s="29" t="n">
        <x:v>10217.937902629821</x:v>
      </x:c>
      <x:c r="D26" s="29" t="n">
        <x:v>39.42105672310888</x:v>
      </x:c>
      <x:c r="E26" s="29" t="n">
        <x:v>1000.3976071224635</x:v>
      </x:c>
      <x:c r="F26" s="29" t="n">
        <x:v>107.69561964088471</x:v>
      </x:c>
      <x:c r="G26" s="29" t="n">
        <x:f>E26+F26</x:f>
        <x:v>1108.0932267633482</x:v>
      </x:c>
      <x:c r="H26" s="29" t="n">
        <x:v>3.0108267282426286</x:v>
      </x:c>
      <x:c r="I26" s="29" t="n">
        <x:f>C26/24*H26</x:f>
        <x:v>1281.8516893650537</x:v>
      </x:c>
      <x:c r="J26" s="29" t="n">
        <x:f>C26*H26</x:f>
        <x:v>30764.44054476129</x:v>
      </x:c>
      <x:c r="K26" s="30" t="n">
        <x:v>0.8768105065025005</x:v>
      </x:c>
      <x:c r="L26" s="33" t="str">
        <x:v>PASS</x:v>
      </x:c>
      <x:c r="M26" s="33" t="str">
        <x:v>PASS</x:v>
      </x:c>
      <x:c r="N26" s="19" t="str">
        <x:v>g/L</x:v>
      </x:c>
      <x:c r="O26" s="19" t="str">
        <x:v>margin pass</x:v>
      </x:c>
      <x:c r="Q26" t="n">
        <x:v>40</x:v>
      </x:c>
      <x:c r="R26" t="n">
        <x:v>9983.140297635882</x:v>
      </x:c>
      <x:c r="S26" t="n">
        <x:v>10200</x:v>
      </x:c>
    </x:row>
    <x:row r="27" ht="29" customHeight="1">
      <x:c r="A27" s="19" t="n">
        <x:v>8</x:v>
      </x:c>
      <x:c r="B27" s="20" t="n">
        <x:v>39.2</x:v>
      </x:c>
      <x:c r="C27" s="29" t="n">
        <x:v>10191.730215188603</x:v>
      </x:c>
      <x:c r="D27" s="29" t="n">
        <x:v>39.319946817857264</x:v>
      </x:c>
      <x:c r="E27" s="29" t="n">
        <x:v>997.8266834214185</x:v>
      </x:c>
      <x:c r="F27" s="29" t="n">
        <x:v>107.9005035799154</x:v>
      </x:c>
      <x:c r="G27" s="29" t="n">
        <x:f>E27+F27</x:f>
        <x:v>1105.727187001334</x:v>
      </x:c>
      <x:c r="H27" s="29" t="n">
        <x:v>3.0119505212698963</x:v>
      </x:c>
      <x:c r="I27" s="29" t="n">
        <x:f>C27/24*H27</x:f>
        <x:v>1279.0411305949776</x:v>
      </x:c>
      <x:c r="J27" s="29" t="n">
        <x:f>C27*H27</x:f>
        <x:v>30696.987134279465</x:v>
      </x:c>
      <x:c r="K27" s="30" t="n">
        <x:v>0.878313350214098</x:v>
      </x:c>
      <x:c r="L27" s="33" t="str">
        <x:v>PASS</x:v>
      </x:c>
      <x:c r="M27" s="36" t="str">
        <x:v>FAIL</x:v>
      </x:c>
      <x:c r="N27" s="19" t="str">
        <x:v>g/L</x:v>
      </x:c>
      <x:c r="O27" s="19" t="str">
        <x:v>margin fail</x:v>
      </x:c>
      <x:c r="Q27" t="n">
        <x:v>41</x:v>
      </x:c>
      <x:c r="R27" t="n">
        <x:v>9725.034635952044</x:v>
      </x:c>
      <x:c r="S27" t="n">
        <x:v>10200</x:v>
      </x:c>
    </x:row>
    <x:row r="30">
      <x:c r="A30" s="10" t="str">
        <x:v>Final boundaries and engineering conclusion</x:v>
      </x:c>
      <x:c r="B30" s="10" t="str">
        <x:v>Final boundaries and engineering conclusion</x:v>
      </x:c>
      <x:c r="C30" s="10" t="str">
        <x:v>Final boundaries and engineering conclusion</x:v>
      </x:c>
      <x:c r="D30" s="10" t="str">
        <x:v>Final boundaries and engineering conclusion</x:v>
      </x:c>
      <x:c r="E30" s="10" t="str">
        <x:v>Final boundaries and engineering conclusion</x:v>
      </x:c>
      <x:c r="F30" s="10" t="str">
        <x:v>Final boundaries and engineering conclusion</x:v>
      </x:c>
      <x:c r="G30" s="10" t="str">
        <x:v>Final boundaries and engineering conclusion</x:v>
      </x:c>
      <x:c r="I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0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  <x:row r="31">
      <x:c r="A31" s="16" t="str">
        <x:v>Level</x:v>
      </x:c>
      <x:c r="B31" s="16" t="str">
        <x:v>Fail point</x:v>
      </x:c>
      <x:c r="C31" s="16" t="str">
        <x:v>Pass point</x:v>
      </x:c>
      <x:c r="D31" s="16" t="str">
        <x:v>Resolution</x:v>
      </x:c>
      <x:c r="E31" s="16" t="str">
        <x:v>Recommended pump kW</x:v>
      </x:c>
      <x:c r="F31" s="16" t="str">
        <x:v>Recommended SEC</x:v>
      </x:c>
      <x:c r="G31" s="16" t="str">
        <x:v>Conclusion</x:v>
      </x:c>
      <x:c r="I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1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  <x:row r="32" ht="42" customHeight="1">
      <x:c r="A32" s="19" t="str">
        <x:v>Basic boundary</x:v>
      </x:c>
      <x:c r="B32" s="19" t="n">
        <x:v>40</x:v>
      </x:c>
      <x:c r="C32" s="19" t="n">
        <x:v>39.9</x:v>
      </x:c>
      <x:c r="D32" s="19" t="str">
        <x:v>0.1 g/L</x:v>
      </x:c>
      <x:c r="E32" s="29" t="n">
        <x:f>E26+F26</x:f>
        <x:v>1108.0932267633482</x:v>
      </x:c>
      <x:c r="F32" s="29"/>
      <x:c r="G32" s="19" t="str">
        <x:v>Adjacent proof</x:v>
      </x:c>
      <x:c r="I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2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  <x:row r="33" ht="42" customHeight="1">
      <x:c r="A33" s="19" t="str">
        <x:v>Recommended boundary</x:v>
      </x:c>
      <x:c r="B33" s="19" t="n">
        <x:v>39.2</x:v>
      </x:c>
      <x:c r="C33" s="19" t="n">
        <x:v>39.1</x:v>
      </x:c>
      <x:c r="D33" s="19" t="str">
        <x:v>0.1 g/L</x:v>
      </x:c>
      <x:c r="E33" s="29" t="n">
        <x:f>E26+F26</x:f>
        <x:v>1108.0932267633482</x:v>
      </x:c>
      <x:c r="F33" s="29"/>
      <x:c r="G33" s="19" t="str">
        <x:v>Adjacent proof</x:v>
      </x:c>
      <x:c r="I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3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  <x:row r="34" ht="42" customHeight="1">
      <x:c r="A34" s="19" t="str">
        <x:v>Recommended case</x:v>
      </x:c>
      <x:c r="B34" s="19" t="str">
        <x:v>-</x:v>
      </x:c>
      <x:c r="C34" s="19" t="n">
        <x:v>39.1</x:v>
      </x:c>
      <x:c r="D34" s="19" t="str">
        <x:v>g/L</x:v>
      </x:c>
      <x:c r="E34" s="29" t="n">
        <x:f>E26+F26</x:f>
        <x:v>1108.0932267633482</x:v>
      </x:c>
      <x:c r="F34" s="29" t="n">
        <x:v>3.0108267282426286</x:v>
      </x:c>
      <x:c r="G34" s="19" t="str">
        <x:v>Maximum basic TDS is 39.9 g/L; recommended limit is 39.1 g/L. At the recommendation, pump-train power is 1,108.09 kW, SEC is 3.0108 kWh/m³ and daily energy is 30,764.44 kWh/d.</x:v>
      </x:c>
      <x:c r="I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4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  <x:row r="35" ht="42" customHeight="1">
      <x:c r="A35" s="19" t="str">
        <x:v>Final conclusion</x:v>
      </x:c>
      <x:c r="B35" s="19" t="str">
        <x:v>-</x:v>
      </x:c>
      <x:c r="C35" s="19" t="str">
        <x:v>-</x:v>
      </x:c>
      <x:c r="D35" s="19" t="str">
        <x:v>-</x:v>
      </x:c>
      <x:c r="E35" s="29" t="n">
        <x:f>E26+F26</x:f>
        <x:v>1108.0932267633482</x:v>
      </x:c>
      <x:c r="F35" s="29" t="n">
        <x:v>3.0108267282426286</x:v>
      </x:c>
      <x:c r="G35" s="19" t="str">
        <x:v>Maximum basic TDS is 39.9 g/L; recommended limit is 39.1 g/L. At the recommendation, pump-train power is 1,108.09 kW, SEC is 3.0108 kWh/m³ and daily energy is 30,764.44 kWh/d.</x:v>
      </x:c>
      <x:c r="I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J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K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L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M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N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  <x:c r="O35" s="28" t="str">
        <x:v>Final conclusion
Maximum basic TDS is 39.9 g/L; recommended limit is 39.1 g/L. At the recommendation, pump-train power is 1,108.09 kW, SEC is 3.0108 kWh/m³ and daily energy is 30,764.44 kWh/d.
Key simulation results: product 10217.94 m³/d, recovery 39.42%, P1=1000.40 kW and P2=107.70 kW.</x:v>
      </x:c>
    </x:row>
  </x:sheetData>
  <x:mergeCells>
    <x:mergeCell ref="A1:S2"/>
    <x:mergeCell ref="A4:S6"/>
    <x:mergeCell ref="A8:G8"/>
    <x:mergeCell ref="A18:O18"/>
    <x:mergeCell ref="A30:G30"/>
    <x:mergeCell ref="I30:O35"/>
  </x:mergeCells>
  <x:pageMargins left="0.7" right="0.7" top="0.75" bottom="0.75" header="0.3" footer="0.3"/>
  <x:drawing xmlns:r="http://schemas.openxmlformats.org/officeDocument/2006/relationships" r:id="R6c51cf110c8f49b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N01: Trajectory Rubric (100 points)</x:v>
      </x:c>
      <x:c r="B1" s="4" t="str">
        <x:v>D3-3a N01: Trajectory Rubric (100 points)</x:v>
      </x:c>
      <x:c r="C1" s="4" t="str">
        <x:v>D3-3a N01: Trajectory Rubric (100 points)</x:v>
      </x:c>
      <x:c r="D1" s="4" t="str">
        <x:v>D3-3a N01: Trajectory Rubric (100 points)</x:v>
      </x:c>
      <x:c r="E1" s="4" t="str">
        <x:v>D3-3a N01: Trajectory Rubric (100 points)</x:v>
      </x:c>
      <x:c r="F1" s="4" t="str">
        <x:v>D3-3a N01: Trajectory Rubric (100 points)</x:v>
      </x:c>
      <x:c r="G1" s="4" t="str">
        <x:v>D3-3a N01: Trajectory Rubric (100 points)</x:v>
      </x:c>
    </x:row>
    <x:row r="2" ht="26" customHeight="1">
      <x:c r="A2" s="4" t="str">
        <x:v>D3-3a N01: Trajectory Rubric (100 points)</x:v>
      </x:c>
      <x:c r="B2" s="4" t="str">
        <x:v>D3-3a N01: Trajectory Rubric (100 points)</x:v>
      </x:c>
      <x:c r="C2" s="4" t="str">
        <x:v>D3-3a N01: Trajectory Rubric (100 points)</x:v>
      </x:c>
      <x:c r="D2" s="4" t="str">
        <x:v>D3-3a N01: Trajectory Rubric (100 points)</x:v>
      </x:c>
      <x:c r="E2" s="4" t="str">
        <x:v>D3-3a N01: Trajectory Rubric (100 points)</x:v>
      </x:c>
      <x:c r="F2" s="4" t="str">
        <x:v>D3-3a N01: Trajectory Rubric (100 points)</x:v>
      </x:c>
      <x:c r="G2" s="4" t="str">
        <x:v>D3-3a N01: Trajectory Rubric (100 points)</x:v>
      </x:c>
    </x:row>
    <x:row r="4">
      <x:c r="A4" s="24" t="str">
        <x:v>Evaluate whether the agent converts the operating problem into a one-variable, two-criterion full-plant boundary search and forms an engineering decision from actual simulation outputs.</x:v>
      </x:c>
      <x:c r="B4" s="24" t="str">
        <x:v>Evaluate whether the agent converts the operating problem into a one-variable, two-criterion full-plant boundary search and forms an engineering decision from actual simulation outputs.</x:v>
      </x:c>
      <x:c r="C4" s="24" t="str">
        <x:v>Evaluate whether the agent converts the operating problem into a one-variable, two-criterion full-plant boundary search and forms an engineering decision from actual simulation outputs.</x:v>
      </x:c>
      <x:c r="D4" s="24" t="str">
        <x:v>Evaluate whether the agent converts the operating problem into a one-variable, two-criterion full-plant boundary search and forms an engineering decision from actual simulation outputs.</x:v>
      </x:c>
      <x:c r="E4" s="24" t="str">
        <x:v>Evaluate whether the agent converts the operating problem into a one-variable, two-criterion full-plant boundary search and forms an engineering decision from actual simulation outputs.</x:v>
      </x:c>
      <x:c r="F4" s="24" t="str">
        <x:v>Evaluate whether the agent converts the operating problem into a one-variable, two-criterion full-plant boundary search and forms an engineering decision from actual simulation outputs.</x:v>
      </x:c>
      <x:c r="G4" s="24" t="str">
        <x:v>Evaluate whether the agent converts the operating problem into a one-variable, two-criterion full-plant boundary search and forms an engineering decision from actual simulation outputs.</x:v>
      </x:c>
    </x:row>
    <x:row r="5">
      <x:c r="A5" s="24" t="str">
        <x:v>Evaluate whether the agent converts the operating problem into a one-variable, two-criterion full-plant boundary search and forms an engineering decision from actual simulation outputs.</x:v>
      </x:c>
      <x:c r="B5" s="24" t="str">
        <x:v>Evaluate whether the agent converts the operating problem into a one-variable, two-criterion full-plant boundary search and forms an engineering decision from actual simulation outputs.</x:v>
      </x:c>
      <x:c r="C5" s="24" t="str">
        <x:v>Evaluate whether the agent converts the operating problem into a one-variable, two-criterion full-plant boundary search and forms an engineering decision from actual simulation outputs.</x:v>
      </x:c>
      <x:c r="D5" s="24" t="str">
        <x:v>Evaluate whether the agent converts the operating problem into a one-variable, two-criterion full-plant boundary search and forms an engineering decision from actual simulation outputs.</x:v>
      </x:c>
      <x:c r="E5" s="24" t="str">
        <x:v>Evaluate whether the agent converts the operating problem into a one-variable, two-criterion full-plant boundary search and forms an engineering decision from actual simulation outputs.</x:v>
      </x:c>
      <x:c r="F5" s="24" t="str">
        <x:v>Evaluate whether the agent converts the operating problem into a one-variable, two-criterion full-plant boundary search and forms an engineering decision from actual simulation outputs.</x:v>
      </x:c>
      <x:c r="G5" s="24" t="str">
        <x:v>Evaluate whether the agent converts the operating problem into a one-variable, two-criterion full-plant boundary search and forms an engineering decision from actual simulation outputs.</x:v>
      </x:c>
    </x:row>
    <x:row r="6">
      <x:c r="A6" s="24" t="str">
        <x:v>Evaluate whether the agent converts the operating problem into a one-variable, two-criterion full-plant boundary search and forms an engineering decision from actual simulation outputs.</x:v>
      </x:c>
      <x:c r="B6" s="24" t="str">
        <x:v>Evaluate whether the agent converts the operating problem into a one-variable, two-criterion full-plant boundary search and forms an engineering decision from actual simulation outputs.</x:v>
      </x:c>
      <x:c r="C6" s="24" t="str">
        <x:v>Evaluate whether the agent converts the operating problem into a one-variable, two-criterion full-plant boundary search and forms an engineering decision from actual simulation outputs.</x:v>
      </x:c>
      <x:c r="D6" s="24" t="str">
        <x:v>Evaluate whether the agent converts the operating problem into a one-variable, two-criterion full-plant boundary search and forms an engineering decision from actual simulation outputs.</x:v>
      </x:c>
      <x:c r="E6" s="24" t="str">
        <x:v>Evaluate whether the agent converts the operating problem into a one-variable, two-criterion full-plant boundary search and forms an engineering decision from actual simulation outputs.</x:v>
      </x:c>
      <x:c r="F6" s="24" t="str">
        <x:v>Evaluate whether the agent converts the operating problem into a one-variable, two-criterion full-plant boundary search and forms an engineering decision from actual simulation outputs.</x:v>
      </x:c>
      <x:c r="G6" s="24" t="str">
        <x:v>Evaluate whether the agent converts the operating problem into a one-variable, two-criterion full-plant boundary search and forms an engineering decision from actual simulation outputs.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Zero/major error</x:v>
      </x:c>
      <x:c r="F8" s="16" t="str">
        <x:v>Points</x:v>
      </x:c>
      <x:c r="G8" s="16" t="str">
        <x:v>Score</x:v>
      </x:c>
    </x:row>
    <x:row r="9" ht="62" customHeight="1">
      <x:c r="A9" s="19" t="str">
        <x:v>TQ1 State</x:v>
      </x:c>
      <x:c r="B9" s="19" t="str">
        <x:v>Identify sole variable and two criteria</x:v>
      </x:c>
      <x:c r="C9" s="19" t="str">
        <x:v>Vary only Feed TDS; basic=Product ≥10,000 m³/d; margin=Product ≥10,200 m³/d</x:v>
      </x:c>
      <x:c r="D9" s="19" t="str">
        <x:v>Main goal found but margin mixed</x:v>
      </x:c>
      <x:c r="E9" s="19" t="str">
        <x:v>Changes fixed inputs or wrong variable</x:v>
      </x:c>
      <x:c r="F9" s="19" t="n">
        <x:v>15</x:v>
      </x:c>
      <x:c r="G9" s="19"/>
    </x:row>
    <x:row r="10" ht="62" customHeight="1">
      <x:c r="A10" s="19" t="str">
        <x:v>TQ2 Planning</x:v>
      </x:c>
      <x:c r="B10" s="19" t="str">
        <x:v>Coarse bracket then two refinements</x:v>
      </x:c>
      <x:c r="C10" s="19" t="str">
        <x:v>Prove both adjacent pairs at 0.1 g/L</x:v>
      </x:c>
      <x:c r="D10" s="19" t="str">
        <x:v>Iterates but misses one adjacent proof</x:v>
      </x:c>
      <x:c r="E10" s="19" t="str">
        <x:v>Direct answer or brute-force full grid</x:v>
      </x:c>
      <x:c r="F10" s="19" t="n">
        <x:v>15</x:v>
      </x:c>
      <x:c r="G10" s="19"/>
    </x:row>
    <x:row r="11" ht="62" customHeight="1">
      <x:c r="A11" s="19" t="str">
        <x:v>TQ3 Tool calls</x:v>
      </x:c>
      <x:c r="B11" s="19" t="str">
        <x:v>Correct tool, inputs and units</x:v>
      </x:c>
      <x:c r="C11" s="19" t="str">
        <x:v>Use simulate_swro_system with fixed invariants</x:v>
      </x:c>
      <x:c r="D11" s="19" t="str">
        <x:v>Minor noncritical deviations</x:v>
      </x:c>
      <x:c r="E11" s="19" t="str">
        <x:v>Uses simulate_ro for plant energy or changes multiple variables</x:v>
      </x:c>
      <x:c r="F11" s="19" t="n">
        <x:v>20</x:v>
      </x:c>
      <x:c r="G11" s="19"/>
    </x:row>
    <x:row r="12" ht="62" customHeight="1">
      <x:c r="A12" s="19" t="str">
        <x:v>TQ4 Observation</x:v>
      </x:c>
      <x:c r="B12" s="19" t="str">
        <x:v>Interpret product, power and SEC correctly</x:v>
      </x:c>
      <x:c r="C12" s="19" t="str">
        <x:v>Update pass/fail correctly; distinguish pump vs net plant power</x:v>
      </x:c>
      <x:c r="D12" s="19" t="str">
        <x:v>Roughly correct but key output missing</x:v>
      </x:c>
      <x:c r="E12" s="19" t="str">
        <x:v>Wrong direction or power-basis confusion</x:v>
      </x:c>
      <x:c r="F12" s="19" t="n">
        <x:v>20</x:v>
      </x:c>
      <x:c r="G12" s="19"/>
    </x:row>
    <x:row r="13" ht="62" customHeight="1">
      <x:c r="A13" s="19" t="str">
        <x:v>TQ5 Adaptive replanning</x:v>
      </x:c>
      <x:c r="B13" s="19" t="str">
        <x:v>Let prior output choose next call</x:v>
      </x:c>
      <x:c r="C13" s="19" t="str">
        <x:v>Bracket coarsely; switch target after basic limit</x:v>
      </x:c>
      <x:c r="D13" s="19" t="str">
        <x:v>Partly adaptive with enumeration</x:v>
      </x:c>
      <x:c r="E13" s="19" t="str">
        <x:v>Calls ignore feedback</x:v>
      </x:c>
      <x:c r="F13" s="19" t="n">
        <x:v>20</x:v>
      </x:c>
      <x:c r="G13" s="19"/>
    </x:row>
    <x:row r="14" ht="62" customHeight="1">
      <x:c r="A14" s="19" t="str">
        <x:v>TQ6 Decision</x:v>
      </x:c>
      <x:c r="B14" s="19" t="str">
        <x:v>Give actionable conclusion</x:v>
      </x:c>
      <x:c r="C14" s="19" t="str">
        <x:v>Maximum basic TDS is 39.9 g/L; recommended limit is 39.1 g/L. At the recommendation, pump-train power is 1,108.09 kW, SEC is 3.0108 kWh/m³ and daily energy is 30,764.44 kWh/d.</x:v>
      </x:c>
      <x:c r="D14" s="19" t="str">
        <x:v>Mostly correct but one output missing</x:v>
      </x:c>
      <x:c r="E14" s="19" t="str">
        <x:v>No adjacent proof or wrong recommended boundary</x:v>
      </x:c>
      <x:c r="F14" s="19" t="n">
        <x:v>10</x:v>
      </x:c>
      <x:c r="G14" s="19"/>
    </x:row>
    <x:row r="17">
      <x:c r="A17" s="10" t="str">
        <x:v>Source-pattern calibration</x:v>
      </x:c>
      <x:c r="B17" s="10" t="str">
        <x:v>Source-pattern calibration</x:v>
      </x:c>
      <x:c r="C17" s="10" t="str">
        <x:v>Source-pattern calibration</x:v>
      </x:c>
      <x:c r="D17" s="10" t="str">
        <x:v>Source-pattern calibration</x:v>
      </x:c>
      <x:c r="E17" s="10" t="str">
        <x:v>Source-pattern calibration</x:v>
      </x:c>
      <x:c r="F17" s="10" t="str">
        <x:v>Source-pattern calibration</x:v>
      </x:c>
      <x:c r="G17" s="10" t="str">
        <x:v>Source-pattern calibration</x:v>
      </x:c>
    </x:row>
    <x:row r="18">
      <x:c r="A18" s="19" t="str">
        <x:v>Core pattern</x:v>
      </x:c>
      <x:c r="B18" s="19" t="str">
        <x:v>Plant simulation → one-variable dual boundary → adjacent proof → energy accounting → decision</x:v>
      </x:c>
      <x:c r="C18" s="19"/>
      <x:c r="D18" s="19"/>
      <x:c r="E18" s="19"/>
      <x:c r="F18" s="19"/>
      <x:c r="G18" s="19"/>
    </x:row>
    <x:row r="19">
      <x:c r="A19" s="19" t="str">
        <x:v>Constraints</x:v>
      </x:c>
      <x:c r="B19" s="19" t="str">
        <x:v>All inputs fixed except decision variable</x:v>
      </x:c>
      <x:c r="C19" s="19"/>
      <x:c r="D19" s="19"/>
      <x:c r="E19" s="19"/>
      <x:c r="F19" s="19"/>
      <x:c r="G19" s="19"/>
    </x:row>
    <x:row r="20">
      <x:c r="A20" s="19" t="str">
        <x:v>Reference budget</x:v>
      </x:c>
      <x:c r="B20" s="19" t="str">
        <x:v>About eight high-information calls</x:v>
      </x:c>
      <x:c r="C20" s="19"/>
      <x:c r="D20" s="19"/>
      <x:c r="E20" s="19"/>
      <x:c r="F20" s="19"/>
      <x:c r="G20" s="19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D3-3a N01: Tool-Efficiency Rubric (100 points)</x:v>
      </x:c>
      <x:c r="B1" s="4" t="str">
        <x:v>D3-3a N01: Tool-Efficiency Rubric (100 points)</x:v>
      </x:c>
      <x:c r="C1" s="4" t="str">
        <x:v>D3-3a N01: Tool-Efficiency Rubric (100 points)</x:v>
      </x:c>
      <x:c r="D1" s="4" t="str">
        <x:v>D3-3a N01: Tool-Efficiency Rubric (100 points)</x:v>
      </x:c>
      <x:c r="E1" s="4" t="str">
        <x:v>D3-3a N01: Tool-Efficiency Rubric (100 points)</x:v>
      </x:c>
      <x:c r="F1" s="4" t="str">
        <x:v>D3-3a N01: Tool-Efficiency Rubric (100 points)</x:v>
      </x:c>
      <x:c r="G1" s="4" t="str">
        <x:v>D3-3a N01: Tool-Efficiency Rubric (100 points)</x:v>
      </x:c>
    </x:row>
    <x:row r="2" ht="26" customHeight="1">
      <x:c r="A2" s="4" t="str">
        <x:v>D3-3a N01: Tool-Efficiency Rubric (100 points)</x:v>
      </x:c>
      <x:c r="B2" s="4" t="str">
        <x:v>D3-3a N01: Tool-Efficiency Rubric (100 points)</x:v>
      </x:c>
      <x:c r="C2" s="4" t="str">
        <x:v>D3-3a N01: Tool-Efficiency Rubric (100 points)</x:v>
      </x:c>
      <x:c r="D2" s="4" t="str">
        <x:v>D3-3a N01: Tool-Efficiency Rubric (100 points)</x:v>
      </x:c>
      <x:c r="E2" s="4" t="str">
        <x:v>D3-3a N01: Tool-Efficiency Rubric (100 points)</x:v>
      </x:c>
      <x:c r="F2" s="4" t="str">
        <x:v>D3-3a N01: Tool-Efficiency Rubric (100 points)</x:v>
      </x:c>
      <x:c r="G2" s="4" t="str">
        <x:v>D3-3a N01: Tool-Efficiency Rubric (100 points)</x:v>
      </x:c>
    </x:row>
    <x:row r="4">
      <x:c r="A4" s="24" t="str">
        <x:v>Reference path uses about eight simulate_swro_system calls. Score information gain, feedback-driven adaptation and sufficient stopping evidence, not exact sequence matching.</x:v>
      </x:c>
      <x:c r="B4" s="24" t="str">
        <x:v>Reference path uses about eight simulate_swro_system calls. Score information gain, feedback-driven adaptation and sufficient stopping evidence, not exact sequence matching.</x:v>
      </x:c>
      <x:c r="C4" s="24" t="str">
        <x:v>Reference path uses about eight simulate_swro_system calls. Score information gain, feedback-driven adaptation and sufficient stopping evidence, not exact sequence matching.</x:v>
      </x:c>
      <x:c r="D4" s="24" t="str">
        <x:v>Reference path uses about eight simulate_swro_system calls. Score information gain, feedback-driven adaptation and sufficient stopping evidence, not exact sequence matching.</x:v>
      </x:c>
      <x:c r="E4" s="24" t="str">
        <x:v>Reference path uses about eight simulate_swro_system calls. Score information gain, feedback-driven adaptation and sufficient stopping evidence, not exact sequence matching.</x:v>
      </x:c>
      <x:c r="F4" s="24" t="str">
        <x:v>Reference path uses about eight simulate_swro_system calls. Score information gain, feedback-driven adaptation and sufficient stopping evidence, not exact sequence matching.</x:v>
      </x:c>
      <x:c r="G4" s="24" t="str">
        <x:v>Reference path uses about eight simulate_swro_system calls. Score information gain, feedback-driven adaptation and sufficient stopping evidence, not exact sequence matching.</x:v>
      </x:c>
    </x:row>
    <x:row r="5">
      <x:c r="A5" s="24" t="str">
        <x:v>Reference path uses about eight simulate_swro_system calls. Score information gain, feedback-driven adaptation and sufficient stopping evidence, not exact sequence matching.</x:v>
      </x:c>
      <x:c r="B5" s="24" t="str">
        <x:v>Reference path uses about eight simulate_swro_system calls. Score information gain, feedback-driven adaptation and sufficient stopping evidence, not exact sequence matching.</x:v>
      </x:c>
      <x:c r="C5" s="24" t="str">
        <x:v>Reference path uses about eight simulate_swro_system calls. Score information gain, feedback-driven adaptation and sufficient stopping evidence, not exact sequence matching.</x:v>
      </x:c>
      <x:c r="D5" s="24" t="str">
        <x:v>Reference path uses about eight simulate_swro_system calls. Score information gain, feedback-driven adaptation and sufficient stopping evidence, not exact sequence matching.</x:v>
      </x:c>
      <x:c r="E5" s="24" t="str">
        <x:v>Reference path uses about eight simulate_swro_system calls. Score information gain, feedback-driven adaptation and sufficient stopping evidence, not exact sequence matching.</x:v>
      </x:c>
      <x:c r="F5" s="24" t="str">
        <x:v>Reference path uses about eight simulate_swro_system calls. Score information gain, feedback-driven adaptation and sufficient stopping evidence, not exact sequence matching.</x:v>
      </x:c>
      <x:c r="G5" s="24" t="str">
        <x:v>Reference path uses about eight simulate_swro_system calls. Score information gain, feedback-driven adaptation and sufficient stopping evidence, not exact sequence matching.</x:v>
      </x:c>
    </x:row>
    <x:row r="6">
      <x:c r="A6" s="24" t="str">
        <x:v>Reference path uses about eight simulate_swro_system calls. Score information gain, feedback-driven adaptation and sufficient stopping evidence, not exact sequence matching.</x:v>
      </x:c>
      <x:c r="B6" s="24" t="str">
        <x:v>Reference path uses about eight simulate_swro_system calls. Score information gain, feedback-driven adaptation and sufficient stopping evidence, not exact sequence matching.</x:v>
      </x:c>
      <x:c r="C6" s="24" t="str">
        <x:v>Reference path uses about eight simulate_swro_system calls. Score information gain, feedback-driven adaptation and sufficient stopping evidence, not exact sequence matching.</x:v>
      </x:c>
      <x:c r="D6" s="24" t="str">
        <x:v>Reference path uses about eight simulate_swro_system calls. Score information gain, feedback-driven adaptation and sufficient stopping evidence, not exact sequence matching.</x:v>
      </x:c>
      <x:c r="E6" s="24" t="str">
        <x:v>Reference path uses about eight simulate_swro_system calls. Score information gain, feedback-driven adaptation and sufficient stopping evidence, not exact sequence matching.</x:v>
      </x:c>
      <x:c r="F6" s="24" t="str">
        <x:v>Reference path uses about eight simulate_swro_system calls. Score information gain, feedback-driven adaptation and sufficient stopping evidence, not exact sequence matching.</x:v>
      </x:c>
      <x:c r="G6" s="24" t="str">
        <x:v>Reference path uses about eight simulate_swro_system calls. Score information gain, feedback-driven adaptation and sufficient stopping evidence, not exact sequence matching.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Low/zero</x:v>
      </x:c>
      <x:c r="F8" s="16" t="str">
        <x:v>Reference evidence</x:v>
      </x:c>
      <x:c r="G8" s="16" t="str">
        <x:v>Points</x:v>
      </x:c>
    </x:row>
    <x:row r="9" ht="68" customHeight="1">
      <x:c r="A9" s="19" t="str">
        <x:v>E1 Tool choice</x:v>
      </x:c>
      <x:c r="B9" s="19" t="str">
        <x:v>Use full-plant tool</x:v>
      </x:c>
      <x:c r="C9" s="19" t="str">
        <x:v>Primarily simulate_swro_system</x:v>
      </x:c>
      <x:c r="D9" s="19" t="str">
        <x:v>A few irrelevant metadata calls</x:v>
      </x:c>
      <x:c r="E9" s="19" t="str">
        <x:v>Wrong single-membrane tool or many irrelevant calls</x:v>
      </x:c>
      <x:c r="F9" s="19" t="str">
        <x:v>Feed TDS</x:v>
      </x:c>
      <x:c r="G9" s="19" t="n">
        <x:v>20</x:v>
      </x:c>
    </x:row>
    <x:row r="10" ht="68" customHeight="1">
      <x:c r="A10" s="19" t="str">
        <x:v>E2 Information gain</x:v>
      </x:c>
      <x:c r="B10" s="19" t="str">
        <x:v>Bracket first</x:v>
      </x:c>
      <x:c r="C10" s="19" t="str">
        <x:v>Endpoints/coarse points establish direction before refinement</x:v>
      </x:c>
      <x:c r="D10" s="19" t="str">
        <x:v>Some low-information points</x:v>
      </x:c>
      <x:c r="E10" s="19" t="str">
        <x:v>Dense full-grid scan first</x:v>
      </x:c>
      <x:c r="F10" s="19" t="str">
        <x:v>35→41→39→40</x:v>
      </x:c>
      <x:c r="G10" s="19" t="n">
        <x:v>20</x:v>
      </x:c>
    </x:row>
    <x:row r="11" ht="68" customHeight="1">
      <x:c r="A11" s="19" t="str">
        <x:v>E3 Adaptive iteration</x:v>
      </x:c>
      <x:c r="B11" s="19" t="str">
        <x:v>Choose next point from feedback</x:v>
      </x:c>
      <x:c r="C11" s="19" t="str">
        <x:v>Switch to margin after basic boundary</x:v>
      </x:c>
      <x:c r="D11" s="19" t="str">
        <x:v>Partly preset enumeration</x:v>
      </x:c>
      <x:c r="E11" s="19" t="str">
        <x:v>Sequence ignores results</x:v>
      </x:c>
      <x:c r="F11" s="19" t="str">
        <x:v>40/39.9; 39.2/39.1</x:v>
      </x:c>
      <x:c r="G11" s="19" t="n">
        <x:v>20</x:v>
      </x:c>
    </x:row>
    <x:row r="12" ht="68" customHeight="1">
      <x:c r="A12" s="19" t="str">
        <x:v>E4 Pruning</x:v>
      </x:c>
      <x:c r="B12" s="19" t="str">
        <x:v>Stop resolved branches</x:v>
      </x:c>
      <x:c r="C12" s="19" t="str">
        <x:v>Stop after adjacent proof</x:v>
      </x:c>
      <x:c r="D12" s="19" t="str">
        <x:v>One or two repeats</x:v>
      </x:c>
      <x:c r="E12" s="19" t="str">
        <x:v>Keep testing eliminated regions</x:v>
      </x:c>
      <x:c r="F12" s="19" t="str">
        <x:v>0.1 g/L</x:v>
      </x:c>
      <x:c r="G12" s="19" t="n">
        <x:v>20</x:v>
      </x:c>
    </x:row>
    <x:row r="13" ht="68" customHeight="1">
      <x:c r="A13" s="19" t="str">
        <x:v>E5 Convergence</x:v>
      </x:c>
      <x:c r="B13" s="19" t="str">
        <x:v>Complete proof in reasonable budget</x:v>
      </x:c>
      <x:c r="C13" s="19" t="str">
        <x:v>About 7–9 calls with full evidence</x:v>
      </x:c>
      <x:c r="D13" s="19" t="str">
        <x:v>10–12 with minor redundancy</x:v>
      </x:c>
      <x:c r="E13" s="19" t="str">
        <x:v>&gt;12 enumerative or insufficient evidence</x:v>
      </x:c>
      <x:c r="F13" s="19" t="str">
        <x:v>Reference 8; alternatives can score equally</x:v>
      </x:c>
      <x:c r="G13" s="19" t="n">
        <x:v>20</x:v>
      </x:c>
    </x:row>
    <x:row r="15">
      <x:c r="F15" s="37" t="str">
        <x:v>Tool-efficiency total</x:v>
      </x:c>
      <x:c r="G15" s="37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