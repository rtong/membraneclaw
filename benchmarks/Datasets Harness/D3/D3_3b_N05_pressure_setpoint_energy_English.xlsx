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7f120d881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26518b097c2045f5"/>
    <x:sheet xmlns:r="http://schemas.openxmlformats.org/officeDocument/2006/relationships" name="Gold_Answer_A" sheetId="2" r:id="Rcdd7f96bd4d14baf"/>
    <x:sheet xmlns:r="http://schemas.openxmlformats.org/officeDocument/2006/relationships" name="Trajectory_Rubric" sheetId="3" r:id="R4b3f02dbbf574908"/>
    <x:sheet xmlns:r="http://schemas.openxmlformats.org/officeDocument/2006/relationships" name="Tool_Efficiency" sheetId="4" r:id="Rb13ac9ce90cf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"/>
    <x:numFmt numFmtId="202" formatCode="0.000000"/>
    <x:numFmt numFmtId="203" formatCode="#,##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f272e6031467f" /><Relationship Type="http://schemas.openxmlformats.org/officeDocument/2006/relationships/theme" Target="/xl/theme/theme1.xml" Id="R7cf007f8ea874775" /><Relationship Type="http://schemas.openxmlformats.org/officeDocument/2006/relationships/sharedStrings" Target="/xl/sharedStrings.xml" Id="R94f20a45fab8434a" /><Relationship Type="http://schemas.openxmlformats.org/officeDocument/2006/relationships/worksheet" Target="/xl/worksheets/sheet1.xml" Id="R26518b097c2045f5" /><Relationship Type="http://schemas.openxmlformats.org/officeDocument/2006/relationships/worksheet" Target="/xl/worksheets/sheet2.xml" Id="Rcdd7f96bd4d14baf" /><Relationship Type="http://schemas.openxmlformats.org/officeDocument/2006/relationships/worksheet" Target="/xl/worksheets/sheet3.xml" Id="R4b3f02dbbf574908" /><Relationship Type="http://schemas.openxmlformats.org/officeDocument/2006/relationships/worksheet" Target="/xl/worksheets/sheet4.xml" Id="Rb13ac9ce90cf4e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6bb49a556a4a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P1 outlet pressure—key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 m³/d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'Gold_Answer_A'!$U$20:$U$27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'Gold_Answer_A'!$V$20:$V$27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6bb49a556a4a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e5a8f3504984b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6" hidden="0" customWidth="1"/>
    <x:col min="4" max="4" width="35" hidden="0" customWidth="1"/>
    <x:col min="5" max="5" width="4" hidden="0" customWidth="1"/>
    <x:col min="6" max="6" width="29" hidden="0" customWidth="1"/>
    <x:col min="7" max="7" width="36" hidden="0" customWidth="1"/>
    <x:col min="8" max="8" width="42" hidden="0" customWidth="1"/>
  </x:cols>
  <x:sheetData>
    <x:row r="1" ht="26" customHeight="1">
      <x:c r="A1" s="4" t="str">
        <x:v>D3-3a N05: Minimum Contract and Energy-Margin Pressure Setpoints with a PX</x:v>
      </x:c>
      <x:c r="B1" s="4" t="str">
        <x:v>D3-3a N05: Minimum Contract and Energy-Margin Pressure Setpoints with a PX</x:v>
      </x:c>
      <x:c r="C1" s="4" t="str">
        <x:v>D3-3a N05: Minimum Contract and Energy-Margin Pressure Setpoints with a PX</x:v>
      </x:c>
      <x:c r="D1" s="4" t="str">
        <x:v>D3-3a N05: Minimum Contract and Energy-Margin Pressure Setpoints with a PX</x:v>
      </x:c>
      <x:c r="E1" s="4" t="str">
        <x:v>D3-3a N05: Minimum Contract and Energy-Margin Pressure Setpoints with a PX</x:v>
      </x:c>
      <x:c r="F1" s="4" t="str">
        <x:v>D3-3a N05: Minimum Contract and Energy-Margin Pressure Setpoints with a PX</x:v>
      </x:c>
      <x:c r="G1" s="4" t="str">
        <x:v>D3-3a N05: Minimum Contract and Energy-Margin Pressure Setpoints with a PX</x:v>
      </x:c>
      <x:c r="H1" s="4" t="str">
        <x:v>D3-3a N05: Minimum Contract and Energy-Margin Pressure Setpoints with a PX</x:v>
      </x:c>
    </x:row>
    <x:row r="2" ht="26" customHeight="1">
      <x:c r="A2" s="4" t="str">
        <x:v>D3-3a N05: Minimum Contract and Energy-Margin Pressure Setpoints with a PX</x:v>
      </x:c>
      <x:c r="B2" s="4" t="str">
        <x:v>D3-3a N05: Minimum Contract and Energy-Margin Pressure Setpoints with a PX</x:v>
      </x:c>
      <x:c r="C2" s="4" t="str">
        <x:v>D3-3a N05: Minimum Contract and Energy-Margin Pressure Setpoints with a PX</x:v>
      </x:c>
      <x:c r="D2" s="4" t="str">
        <x:v>D3-3a N05: Minimum Contract and Energy-Margin Pressure Setpoints with a PX</x:v>
      </x:c>
      <x:c r="E2" s="4" t="str">
        <x:v>D3-3a N05: Minimum Contract and Energy-Margin Pressure Setpoints with a PX</x:v>
      </x:c>
      <x:c r="F2" s="4" t="str">
        <x:v>D3-3a N05: Minimum Contract and Energy-Margin Pressure Setpoints with a PX</x:v>
      </x:c>
      <x:c r="G2" s="4" t="str">
        <x:v>D3-3a N05: Minimum Contract and Energy-Margin Pressure Setpoints with a PX</x:v>
      </x:c>
      <x:c r="H2" s="4" t="str">
        <x:v>D3-3a N05: Minimum Contract and Energy-Margin Pressure Setpoints with a PX</x:v>
      </x:c>
    </x:row>
    <x:row r="4" ht="25" customHeight="1">
      <x:c r="A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B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C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D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E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F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G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H4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</x:row>
    <x:row r="5" ht="25" customHeight="1">
      <x:c r="A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B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C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D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E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F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G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H5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</x:row>
    <x:row r="6" ht="25" customHeight="1">
      <x:c r="A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B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C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D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E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F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G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H6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</x:row>
    <x:row r="7" ht="25" customHeight="1">
      <x:c r="A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B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C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D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E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F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G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H7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</x:row>
    <x:row r="8" ht="25" customHeight="1">
      <x:c r="A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B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C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D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E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F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G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  <x:c r="H8" s="8" t="str">
        <x:v>With stable seawater quality, operators want to lower pressure without sacrificing capacity. Hold flow, membrane area and PX efficiency fixed; vary only p1_pressure_bar. Find the minimum basic pressure meeting product≥11,000 m³/d and SEC≤3.00 kWh/m³, and the minimum recommended pressure meeting product≥11,200 m³/d and SEC≤3.00 kWh/m³; prove both with adjacent 0.1-bar points. Estimate ERD inlet pressure as P1 outlet minus 2.7 bar and use a 1.0-bar low-pressure outlet. Report available/equivalent recovered brine power, P1/P2 and net power at both limits, and explain why raising pressure increases both production and brine differential pressure but does not necessarily lower SEC.</x:v>
      </x:c>
    </x:row>
    <x:row r="10">
      <x:c r="A10" s="11" t="str">
        <x:v>Fixed case (except decision variable)</x:v>
      </x:c>
      <x:c r="B10" s="11" t="str">
        <x:v>Fixed case (except decision variable)</x:v>
      </x:c>
      <x:c r="C10" s="11" t="str">
        <x:v>Fixed case (except decision variable)</x:v>
      </x:c>
      <x:c r="D10" s="11" t="str">
        <x:v>Fixed case (except decision variable)</x:v>
      </x:c>
      <x:c r="F10" s="11" t="str">
        <x:v>Constraints and criteria</x:v>
      </x:c>
      <x:c r="G10" s="11" t="str">
        <x:v>Constraints and criteria</x:v>
      </x:c>
      <x:c r="H10" s="11" t="str">
        <x:v>Constraints and criteria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Level</x:v>
      </x:c>
      <x:c r="G11" s="17" t="str">
        <x:v>Criterion</x:v>
      </x:c>
      <x:c r="H11" s="17" t="str">
        <x:v>Evidence</x:v>
      </x:c>
    </x:row>
    <x:row r="12">
      <x:c r="A12" s="20" t="str">
        <x:v>Feed flow</x:v>
      </x:c>
      <x:c r="B12" s="21" t="n">
        <x:v>0.32</x:v>
      </x:c>
      <x:c r="C12" s="20" t="str">
        <x:v>m³/s</x:v>
      </x:c>
      <x:c r="D12" s="20" t="str">
        <x:v>Fixed</x:v>
      </x:c>
      <x:c r="F12" s="20" t="str">
        <x:v>Criterion 1</x:v>
      </x:c>
      <x:c r="G12" s="20" t="str">
        <x:v>Product≥11,000 and SEC≤3.00</x:v>
      </x:c>
      <x:c r="H12" s="20" t="str">
        <x:v>0.1 bar</x:v>
      </x:c>
    </x:row>
    <x:row r="13">
      <x:c r="A13" s="20" t="str">
        <x:v>Feed TDS</x:v>
      </x:c>
      <x:c r="B13" s="21" t="n">
        <x:v>36.5</x:v>
      </x:c>
      <x:c r="C13" s="20" t="str">
        <x:v>g/L</x:v>
      </x:c>
      <x:c r="D13" s="20" t="str">
        <x:v>Fixed</x:v>
      </x:c>
      <x:c r="F13" s="20" t="str">
        <x:v>Criterion 2</x:v>
      </x:c>
      <x:c r="G13" s="20" t="str">
        <x:v>Product≥11,200 and SEC≤3.00</x:v>
      </x:c>
      <x:c r="H13" s="20" t="str">
        <x:v>0.1 bar</x:v>
      </x:c>
    </x:row>
    <x:row r="14">
      <x:c r="A14" s="20" t="str">
        <x:v>Feed TSS</x:v>
      </x:c>
      <x:c r="B14" s="21" t="n">
        <x:v>0.03</x:v>
      </x:c>
      <x:c r="C14" s="20" t="str">
        <x:v>g/L</x:v>
      </x:c>
      <x:c r="D14" s="20" t="str">
        <x:v>Fixed</x:v>
      </x:c>
      <x:c r="F14" s="20" t="str">
        <x:v>Decision variable</x:v>
      </x:c>
      <x:c r="G14" s="20" t="str">
        <x:v>P1 outlet pressure</x:v>
      </x:c>
      <x:c r="H14" s="20" t="str">
        <x:v>Vary this only</x:v>
      </x:c>
    </x:row>
    <x:row r="15">
      <x:c r="A15" s="20" t="str">
        <x:v>Temperature</x:v>
      </x:c>
      <x:c r="B15" s="21" t="n">
        <x:v>24</x:v>
      </x:c>
      <x:c r="C15" s="20" t="str">
        <x:v>°C</x:v>
      </x:c>
      <x:c r="D15" s="20" t="str">
        <x:v>Fixed</x:v>
      </x:c>
      <x:c r="F15" s="20" t="str">
        <x:v>Objective</x:v>
      </x:c>
      <x:c r="G15" s="20" t="str">
        <x:v>Minimize pressure setpoint</x:v>
      </x:c>
      <x:c r="H15" s="20" t="str">
        <x:v>Adjacent proof</x:v>
      </x:c>
    </x:row>
    <x:row r="16">
      <x:c r="A16" s="20" t="str">
        <x:v>Active RO area</x:v>
      </x:c>
      <x:c r="B16" s="21" t="n">
        <x:v>14400</x:v>
      </x:c>
      <x:c r="C16" s="20" t="str">
        <x:v>m²</x:v>
      </x:c>
      <x:c r="D16" s="20" t="str">
        <x:v>Fixed</x:v>
      </x:c>
    </x:row>
    <x:row r="17">
      <x:c r="A17" s="20" t="str">
        <x:v>P1 outlet pressure</x:v>
      </x:c>
      <x:c r="B17" s="21" t="n">
        <x:v>69</x:v>
      </x:c>
      <x:c r="C17" s="20" t="str">
        <x:v>bar(a)</x:v>
      </x:c>
      <x:c r="D17" s="20" t="str">
        <x:v>Decision variable</x:v>
      </x:c>
      <x:c r="F17" s="11" t="str">
        <x:v>Required deliverables</x:v>
      </x:c>
      <x:c r="G17" s="11" t="str">
        <x:v>Required deliverables</x:v>
      </x:c>
      <x:c r="H17" s="11" t="str">
        <x:v>Required deliverables</x:v>
      </x:c>
    </x:row>
    <x:row r="18" ht="38" customHeight="1">
      <x:c r="A18" s="20" t="str">
        <x:v>P1 efficiency</x:v>
      </x:c>
      <x:c r="B18" s="21" t="n">
        <x:v>0.82</x:v>
      </x:c>
      <x:c r="C18" s="20" t="str">
        <x:v>-</x:v>
      </x:c>
      <x:c r="D18" s="20" t="str">
        <x:v>Fixed</x:v>
      </x:c>
      <x:c r="F18" s="20" t="str">
        <x:v>1. Establish a coarse bracket and control direction.</x:v>
      </x:c>
      <x:c r="G18" s="20" t="str">
        <x:v>1. Establish a coarse bracket and control direction.</x:v>
      </x:c>
      <x:c r="H18" s="20" t="str">
        <x:v>1. Establish a coarse bracket and control direction.</x:v>
      </x:c>
    </x:row>
    <x:row r="19" ht="38" customHeight="1">
      <x:c r="A19" s="20" t="str">
        <x:v>PX efficiency</x:v>
      </x:c>
      <x:c r="B19" s="21" t="n">
        <x:v>0.95</x:v>
      </x:c>
      <x:c r="C19" s="20" t="str">
        <x:v>-</x:v>
      </x:c>
      <x:c r="D19" s="20" t="str">
        <x:v>Fixed</x:v>
      </x:c>
      <x:c r="F19" s="20" t="str">
        <x:v>2. Prove both adjacent limits or both sides of the diagnostic window.</x:v>
      </x:c>
      <x:c r="G19" s="20" t="str">
        <x:v>2. Prove both adjacent limits or both sides of the diagnostic window.</x:v>
      </x:c>
      <x:c r="H19" s="20" t="str">
        <x:v>2. Prove both adjacent limits or both sides of the diagnostic window.</x:v>
      </x:c>
    </x:row>
    <x:row r="20" ht="38" customHeight="1">
      <x:c r="A20" s="20" t="str">
        <x:v>P2 efficiency</x:v>
      </x:c>
      <x:c r="B20" s="21" t="n">
        <x:v>0.82</x:v>
      </x:c>
      <x:c r="C20" s="20" t="str">
        <x:v>-</x:v>
      </x:c>
      <x:c r="D20" s="20" t="str">
        <x:v>Fixed</x:v>
      </x:c>
      <x:c r="F20" s="20" t="str">
        <x:v>3. Report key simulate_swro_system outputs.</x:v>
      </x:c>
      <x:c r="G20" s="20" t="str">
        <x:v>3. Report key simulate_swro_system outputs.</x:v>
      </x:c>
      <x:c r="H20" s="20" t="str">
        <x:v>3. Report key simulate_swro_system outputs.</x:v>
      </x:c>
    </x:row>
    <x:row r="21" ht="38" customHeight="1">
      <x:c r="A21" s="20" t="str">
        <x:v>ERD-inlet loss from P1</x:v>
      </x:c>
      <x:c r="B21" s="21" t="n">
        <x:v>2.7</x:v>
      </x:c>
      <x:c r="C21" s="20" t="str">
        <x:v>bar</x:v>
      </x:c>
      <x:c r="D21" s="20" t="str">
        <x:v>Benchmark audit assumption</x:v>
      </x:c>
      <x:c r="F21" s="20" t="str">
        <x:v>4. Calculate brine flow, available pressure power and equivalent recovered power from product flow.</x:v>
      </x:c>
      <x:c r="G21" s="20" t="str">
        <x:v>4. Calculate brine flow, available pressure power and equivalent recovered power from product flow.</x:v>
      </x:c>
      <x:c r="H21" s="20" t="str">
        <x:v>4. Calculate brine flow, available pressure power and equivalent recovered power from product flow.</x:v>
      </x:c>
    </x:row>
    <x:row r="22" ht="38" customHeight="1">
      <x:c r="A22" s="20" t="str">
        <x:v>ERD low-pressure outlet</x:v>
      </x:c>
      <x:c r="B22" s="21" t="n">
        <x:v>1</x:v>
      </x:c>
      <x:c r="C22" s="20" t="str">
        <x:v>bar(a)</x:v>
      </x:c>
      <x:c r="D22" s="20" t="str">
        <x:v>Benchmark audit assumption</x:v>
      </x:c>
      <x:c r="F22" s="20" t="str">
        <x:v>5. Distinguish pump-train power, net plant power and the engineering decision.</x:v>
      </x:c>
      <x:c r="G22" s="20" t="str">
        <x:v>5. Distinguish pump-train power, net plant power and the engineering decision.</x:v>
      </x:c>
      <x:c r="H22" s="20" t="str">
        <x:v>5. Distinguish pump-train power, net plant power and the engineering decision.</x:v>
      </x:c>
    </x:row>
    <x:row r="23">
      <x:c r="A23" s="20" t="str">
        <x:v>Operating days</x:v>
      </x:c>
      <x:c r="B23" s="21" t="n">
        <x:v>330</x:v>
      </x:c>
      <x:c r="C23" s="20" t="str">
        <x:v>d/y</x:v>
      </x:c>
      <x:c r="D23" s="20" t="str">
        <x:v>Energy conversion</x:v>
      </x:c>
    </x:row>
    <x:row r="26">
      <x:c r="A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7">
      <x:c r="A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8">
      <x:c r="A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9">
      <x:c r="A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30">
      <x:c r="A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</x:sheetData>
  <x:mergeCells>
    <x:mergeCell ref="A1:H2"/>
    <x:mergeCell ref="A4:H8"/>
    <x:mergeCell ref="A10:D10"/>
    <x:mergeCell ref="F10:H10"/>
    <x:mergeCell ref="F17:H17"/>
    <x:mergeCell ref="F18:H18"/>
    <x:mergeCell ref="F19:H19"/>
    <x:mergeCell ref="F20:H20"/>
    <x:mergeCell ref="F21:H21"/>
    <x:mergeCell ref="F22:H22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4" hidden="0" customWidth="1"/>
    <x:col min="4" max="4" width="16" hidden="0" customWidth="1"/>
    <x:col min="5" max="5" width="13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16" hidden="0" customWidth="1"/>
    <x:col min="15" max="15" width="13" hidden="0" customWidth="1"/>
    <x:col min="16" max="16" width="12" hidden="0" customWidth="1"/>
    <x:col min="17" max="17" width="12" hidden="0" customWidth="1"/>
    <x:col min="18" max="18" width="30" hidden="0" customWidth="1"/>
    <x:col min="19" max="19" width="3" hidden="0" customWidth="1"/>
    <x:col min="20" max="20" width="14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D3-3a N05: Stepwise Gold Answer — Minimum Contract and Energy-Margin Pressure Setpoints with a PX</x:v>
      </x:c>
      <x:c r="B1" s="4" t="str">
        <x:v>D3-3a N05: Stepwise Gold Answer — Minimum Contract and Energy-Margin Pressure Setpoints with a PX</x:v>
      </x:c>
      <x:c r="C1" s="4" t="str">
        <x:v>D3-3a N05: Stepwise Gold Answer — Minimum Contract and Energy-Margin Pressure Setpoints with a PX</x:v>
      </x:c>
      <x:c r="D1" s="4" t="str">
        <x:v>D3-3a N05: Stepwise Gold Answer — Minimum Contract and Energy-Margin Pressure Setpoints with a PX</x:v>
      </x:c>
      <x:c r="E1" s="4" t="str">
        <x:v>D3-3a N05: Stepwise Gold Answer — Minimum Contract and Energy-Margin Pressure Setpoints with a PX</x:v>
      </x:c>
      <x:c r="F1" s="4" t="str">
        <x:v>D3-3a N05: Stepwise Gold Answer — Minimum Contract and Energy-Margin Pressure Setpoints with a PX</x:v>
      </x:c>
      <x:c r="G1" s="4" t="str">
        <x:v>D3-3a N05: Stepwise Gold Answer — Minimum Contract and Energy-Margin Pressure Setpoints with a PX</x:v>
      </x:c>
      <x:c r="H1" s="4" t="str">
        <x:v>D3-3a N05: Stepwise Gold Answer — Minimum Contract and Energy-Margin Pressure Setpoints with a PX</x:v>
      </x:c>
      <x:c r="I1" s="4" t="str">
        <x:v>D3-3a N05: Stepwise Gold Answer — Minimum Contract and Energy-Margin Pressure Setpoints with a PX</x:v>
      </x:c>
      <x:c r="J1" s="4" t="str">
        <x:v>D3-3a N05: Stepwise Gold Answer — Minimum Contract and Energy-Margin Pressure Setpoints with a PX</x:v>
      </x:c>
      <x:c r="K1" s="4" t="str">
        <x:v>D3-3a N05: Stepwise Gold Answer — Minimum Contract and Energy-Margin Pressure Setpoints with a PX</x:v>
      </x:c>
      <x:c r="L1" s="4" t="str">
        <x:v>D3-3a N05: Stepwise Gold Answer — Minimum Contract and Energy-Margin Pressure Setpoints with a PX</x:v>
      </x:c>
      <x:c r="M1" s="4" t="str">
        <x:v>D3-3a N05: Stepwise Gold Answer — Minimum Contract and Energy-Margin Pressure Setpoints with a PX</x:v>
      </x:c>
      <x:c r="N1" s="4" t="str">
        <x:v>D3-3a N05: Stepwise Gold Answer — Minimum Contract and Energy-Margin Pressure Setpoints with a PX</x:v>
      </x:c>
      <x:c r="O1" s="4" t="str">
        <x:v>D3-3a N05: Stepwise Gold Answer — Minimum Contract and Energy-Margin Pressure Setpoints with a PX</x:v>
      </x:c>
      <x:c r="P1" s="4" t="str">
        <x:v>D3-3a N05: Stepwise Gold Answer — Minimum Contract and Energy-Margin Pressure Setpoints with a PX</x:v>
      </x:c>
      <x:c r="Q1" s="4" t="str">
        <x:v>D3-3a N05: Stepwise Gold Answer — Minimum Contract and Energy-Margin Pressure Setpoints with a PX</x:v>
      </x:c>
      <x:c r="R1" s="4" t="str">
        <x:v>D3-3a N05: Stepwise Gold Answer — Minimum Contract and Energy-Margin Pressure Setpoints with a PX</x:v>
      </x:c>
      <x:c r="S1" s="4" t="str">
        <x:v>D3-3a N05: Stepwise Gold Answer — Minimum Contract and Energy-Margin Pressure Setpoints with a PX</x:v>
      </x:c>
      <x:c r="T1" s="4" t="str">
        <x:v>D3-3a N05: Stepwise Gold Answer — Minimum Contract and Energy-Margin Pressure Setpoints with a PX</x:v>
      </x:c>
      <x:c r="U1" s="4" t="str">
        <x:v>D3-3a N05: Stepwise Gold Answer — Minimum Contract and Energy-Margin Pressure Setpoints with a PX</x:v>
      </x:c>
      <x:c r="V1" s="4" t="str">
        <x:v>D3-3a N05: Stepwise Gold Answer — Minimum Contract and Energy-Margin Pressure Setpoints with a PX</x:v>
      </x:c>
    </x:row>
    <x:row r="2" ht="26" customHeight="1">
      <x:c r="A2" s="4" t="str">
        <x:v>D3-3a N05: Stepwise Gold Answer — Minimum Contract and Energy-Margin Pressure Setpoints with a PX</x:v>
      </x:c>
      <x:c r="B2" s="4" t="str">
        <x:v>D3-3a N05: Stepwise Gold Answer — Minimum Contract and Energy-Margin Pressure Setpoints with a PX</x:v>
      </x:c>
      <x:c r="C2" s="4" t="str">
        <x:v>D3-3a N05: Stepwise Gold Answer — Minimum Contract and Energy-Margin Pressure Setpoints with a PX</x:v>
      </x:c>
      <x:c r="D2" s="4" t="str">
        <x:v>D3-3a N05: Stepwise Gold Answer — Minimum Contract and Energy-Margin Pressure Setpoints with a PX</x:v>
      </x:c>
      <x:c r="E2" s="4" t="str">
        <x:v>D3-3a N05: Stepwise Gold Answer — Minimum Contract and Energy-Margin Pressure Setpoints with a PX</x:v>
      </x:c>
      <x:c r="F2" s="4" t="str">
        <x:v>D3-3a N05: Stepwise Gold Answer — Minimum Contract and Energy-Margin Pressure Setpoints with a PX</x:v>
      </x:c>
      <x:c r="G2" s="4" t="str">
        <x:v>D3-3a N05: Stepwise Gold Answer — Minimum Contract and Energy-Margin Pressure Setpoints with a PX</x:v>
      </x:c>
      <x:c r="H2" s="4" t="str">
        <x:v>D3-3a N05: Stepwise Gold Answer — Minimum Contract and Energy-Margin Pressure Setpoints with a PX</x:v>
      </x:c>
      <x:c r="I2" s="4" t="str">
        <x:v>D3-3a N05: Stepwise Gold Answer — Minimum Contract and Energy-Margin Pressure Setpoints with a PX</x:v>
      </x:c>
      <x:c r="J2" s="4" t="str">
        <x:v>D3-3a N05: Stepwise Gold Answer — Minimum Contract and Energy-Margin Pressure Setpoints with a PX</x:v>
      </x:c>
      <x:c r="K2" s="4" t="str">
        <x:v>D3-3a N05: Stepwise Gold Answer — Minimum Contract and Energy-Margin Pressure Setpoints with a PX</x:v>
      </x:c>
      <x:c r="L2" s="4" t="str">
        <x:v>D3-3a N05: Stepwise Gold Answer — Minimum Contract and Energy-Margin Pressure Setpoints with a PX</x:v>
      </x:c>
      <x:c r="M2" s="4" t="str">
        <x:v>D3-3a N05: Stepwise Gold Answer — Minimum Contract and Energy-Margin Pressure Setpoints with a PX</x:v>
      </x:c>
      <x:c r="N2" s="4" t="str">
        <x:v>D3-3a N05: Stepwise Gold Answer — Minimum Contract and Energy-Margin Pressure Setpoints with a PX</x:v>
      </x:c>
      <x:c r="O2" s="4" t="str">
        <x:v>D3-3a N05: Stepwise Gold Answer — Minimum Contract and Energy-Margin Pressure Setpoints with a PX</x:v>
      </x:c>
      <x:c r="P2" s="4" t="str">
        <x:v>D3-3a N05: Stepwise Gold Answer — Minimum Contract and Energy-Margin Pressure Setpoints with a PX</x:v>
      </x:c>
      <x:c r="Q2" s="4" t="str">
        <x:v>D3-3a N05: Stepwise Gold Answer — Minimum Contract and Energy-Margin Pressure Setpoints with a PX</x:v>
      </x:c>
      <x:c r="R2" s="4" t="str">
        <x:v>D3-3a N05: Stepwise Gold Answer — Minimum Contract and Energy-Margin Pressure Setpoints with a PX</x:v>
      </x:c>
      <x:c r="S2" s="4" t="str">
        <x:v>D3-3a N05: Stepwise Gold Answer — Minimum Contract and Energy-Margin Pressure Setpoints with a PX</x:v>
      </x:c>
      <x:c r="T2" s="4" t="str">
        <x:v>D3-3a N05: Stepwise Gold Answer — Minimum Contract and Energy-Margin Pressure Setpoints with a PX</x:v>
      </x:c>
      <x:c r="U2" s="4" t="str">
        <x:v>D3-3a N05: Stepwise Gold Answer — Minimum Contract and Energy-Margin Pressure Setpoints with a PX</x:v>
      </x:c>
      <x:c r="V2" s="4" t="str">
        <x:v>D3-3a N05: Stepwise Gold Answer — Minimum Contract and Energy-Margin Pressure Setpoints with a PX</x:v>
      </x:c>
    </x:row>
    <x:row r="4">
      <x:c r="A4" s="29" t="str">
        <x:v>The actual trajectory uses 8 valid simulate_swro_system calls. Sole variable: P1 outlet pressure; final resolution: 0.1 bar. It brackets coarsely, then locks both limits or both sides of the diagnostic window.</x:v>
      </x:c>
      <x:c r="B4" s="29" t="str">
        <x:v>The actual trajectory uses 8 valid simulate_swro_system calls. Sole variable: P1 outlet pressure; final resolution: 0.1 bar. It brackets coarsely, then locks both limits or both sides of the diagnostic window.</x:v>
      </x:c>
      <x:c r="C4" s="29" t="str">
        <x:v>The actual trajectory uses 8 valid simulate_swro_system calls. Sole variable: P1 outlet pressure; final resolution: 0.1 bar. It brackets coarsely, then locks both limits or both sides of the diagnostic window.</x:v>
      </x:c>
      <x:c r="D4" s="29" t="str">
        <x:v>The actual trajectory uses 8 valid simulate_swro_system calls. Sole variable: P1 outlet pressure; final resolution: 0.1 bar. It brackets coarsely, then locks both limits or both sides of the diagnostic window.</x:v>
      </x:c>
      <x:c r="E4" s="29" t="str">
        <x:v>The actual trajectory uses 8 valid simulate_swro_system calls. Sole variable: P1 outlet pressure; final resolution: 0.1 bar. It brackets coarsely, then locks both limits or both sides of the diagnostic window.</x:v>
      </x:c>
      <x:c r="F4" s="29" t="str">
        <x:v>The actual trajectory uses 8 valid simulate_swro_system calls. Sole variable: P1 outlet pressure; final resolution: 0.1 bar. It brackets coarsely, then locks both limits or both sides of the diagnostic window.</x:v>
      </x:c>
      <x:c r="G4" s="29" t="str">
        <x:v>The actual trajectory uses 8 valid simulate_swro_system calls. Sole variable: P1 outlet pressure; final resolution: 0.1 bar. It brackets coarsely, then locks both limits or both sides of the diagnostic window.</x:v>
      </x:c>
      <x:c r="H4" s="29" t="str">
        <x:v>The actual trajectory uses 8 valid simulate_swro_system calls. Sole variable: P1 outlet pressure; final resolution: 0.1 bar. It brackets coarsely, then locks both limits or both sides of the diagnostic window.</x:v>
      </x:c>
      <x:c r="I4" s="29" t="str">
        <x:v>The actual trajectory uses 8 valid simulate_swro_system calls. Sole variable: P1 outlet pressure; final resolution: 0.1 bar. It brackets coarsely, then locks both limits or both sides of the diagnostic window.</x:v>
      </x:c>
      <x:c r="J4" s="29" t="str">
        <x:v>The actual trajectory uses 8 valid simulate_swro_system calls. Sole variable: P1 outlet pressure; final resolution: 0.1 bar. It brackets coarsely, then locks both limits or both sides of the diagnostic window.</x:v>
      </x:c>
      <x:c r="K4" s="29" t="str">
        <x:v>The actual trajectory uses 8 valid simulate_swro_system calls. Sole variable: P1 outlet pressure; final resolution: 0.1 bar. It brackets coarsely, then locks both limits or both sides of the diagnostic window.</x:v>
      </x:c>
      <x:c r="L4" s="29" t="str">
        <x:v>The actual trajectory uses 8 valid simulate_swro_system calls. Sole variable: P1 outlet pressure; final resolution: 0.1 bar. It brackets coarsely, then locks both limits or both sides of the diagnostic window.</x:v>
      </x:c>
      <x:c r="M4" s="29" t="str">
        <x:v>The actual trajectory uses 8 valid simulate_swro_system calls. Sole variable: P1 outlet pressure; final resolution: 0.1 bar. It brackets coarsely, then locks both limits or both sides of the diagnostic window.</x:v>
      </x:c>
      <x:c r="N4" s="29" t="str">
        <x:v>The actual trajectory uses 8 valid simulate_swro_system calls. Sole variable: P1 outlet pressure; final resolution: 0.1 bar. It brackets coarsely, then locks both limits or both sides of the diagnostic window.</x:v>
      </x:c>
      <x:c r="O4" s="29" t="str">
        <x:v>The actual trajectory uses 8 valid simulate_swro_system calls. Sole variable: P1 outlet pressure; final resolution: 0.1 bar. It brackets coarsely, then locks both limits or both sides of the diagnostic window.</x:v>
      </x:c>
      <x:c r="P4" s="29" t="str">
        <x:v>The actual trajectory uses 8 valid simulate_swro_system calls. Sole variable: P1 outlet pressure; final resolution: 0.1 bar. It brackets coarsely, then locks both limits or both sides of the diagnostic window.</x:v>
      </x:c>
      <x:c r="Q4" s="29" t="str">
        <x:v>The actual trajectory uses 8 valid simulate_swro_system calls. Sole variable: P1 outlet pressure; final resolution: 0.1 bar. It brackets coarsely, then locks both limits or both sides of the diagnostic window.</x:v>
      </x:c>
      <x:c r="R4" s="29" t="str">
        <x:v>The actual trajectory uses 8 valid simulate_swro_system calls. Sole variable: P1 outlet pressure; final resolution: 0.1 bar. It brackets coarsely, then locks both limits or both sides of the diagnostic window.</x:v>
      </x:c>
      <x:c r="S4" s="29" t="str">
        <x:v>The actual trajectory uses 8 valid simulate_swro_system calls. Sole variable: P1 outlet pressure; final resolution: 0.1 bar. It brackets coarsely, then locks both limits or both sides of the diagnostic window.</x:v>
      </x:c>
      <x:c r="T4" s="29" t="str">
        <x:v>The actual trajectory uses 8 valid simulate_swro_system calls. Sole variable: P1 outlet pressure; final resolution: 0.1 bar. It brackets coarsely, then locks both limits or both sides of the diagnostic window.</x:v>
      </x:c>
      <x:c r="U4" s="29" t="str">
        <x:v>The actual trajectory uses 8 valid simulate_swro_system calls. Sole variable: P1 outlet pressure; final resolution: 0.1 bar. It brackets coarsely, then locks both limits or both sides of the diagnostic window.</x:v>
      </x:c>
      <x:c r="V4" s="29" t="str">
        <x:v>The actual trajectory uses 8 valid simulate_swro_system calls. Sole variable: P1 outlet pressure; final resolution: 0.1 bar. It brackets coarsely, then locks both limits or both sides of the diagnostic window.</x:v>
      </x:c>
    </x:row>
    <x:row r="5">
      <x:c r="A5" s="29" t="str">
        <x:v>The actual trajectory uses 8 valid simulate_swro_system calls. Sole variable: P1 outlet pressure; final resolution: 0.1 bar. It brackets coarsely, then locks both limits or both sides of the diagnostic window.</x:v>
      </x:c>
      <x:c r="B5" s="29" t="str">
        <x:v>The actual trajectory uses 8 valid simulate_swro_system calls. Sole variable: P1 outlet pressure; final resolution: 0.1 bar. It brackets coarsely, then locks both limits or both sides of the diagnostic window.</x:v>
      </x:c>
      <x:c r="C5" s="29" t="str">
        <x:v>The actual trajectory uses 8 valid simulate_swro_system calls. Sole variable: P1 outlet pressure; final resolution: 0.1 bar. It brackets coarsely, then locks both limits or both sides of the diagnostic window.</x:v>
      </x:c>
      <x:c r="D5" s="29" t="str">
        <x:v>The actual trajectory uses 8 valid simulate_swro_system calls. Sole variable: P1 outlet pressure; final resolution: 0.1 bar. It brackets coarsely, then locks both limits or both sides of the diagnostic window.</x:v>
      </x:c>
      <x:c r="E5" s="29" t="str">
        <x:v>The actual trajectory uses 8 valid simulate_swro_system calls. Sole variable: P1 outlet pressure; final resolution: 0.1 bar. It brackets coarsely, then locks both limits or both sides of the diagnostic window.</x:v>
      </x:c>
      <x:c r="F5" s="29" t="str">
        <x:v>The actual trajectory uses 8 valid simulate_swro_system calls. Sole variable: P1 outlet pressure; final resolution: 0.1 bar. It brackets coarsely, then locks both limits or both sides of the diagnostic window.</x:v>
      </x:c>
      <x:c r="G5" s="29" t="str">
        <x:v>The actual trajectory uses 8 valid simulate_swro_system calls. Sole variable: P1 outlet pressure; final resolution: 0.1 bar. It brackets coarsely, then locks both limits or both sides of the diagnostic window.</x:v>
      </x:c>
      <x:c r="H5" s="29" t="str">
        <x:v>The actual trajectory uses 8 valid simulate_swro_system calls. Sole variable: P1 outlet pressure; final resolution: 0.1 bar. It brackets coarsely, then locks both limits or both sides of the diagnostic window.</x:v>
      </x:c>
      <x:c r="I5" s="29" t="str">
        <x:v>The actual trajectory uses 8 valid simulate_swro_system calls. Sole variable: P1 outlet pressure; final resolution: 0.1 bar. It brackets coarsely, then locks both limits or both sides of the diagnostic window.</x:v>
      </x:c>
      <x:c r="J5" s="29" t="str">
        <x:v>The actual trajectory uses 8 valid simulate_swro_system calls. Sole variable: P1 outlet pressure; final resolution: 0.1 bar. It brackets coarsely, then locks both limits or both sides of the diagnostic window.</x:v>
      </x:c>
      <x:c r="K5" s="29" t="str">
        <x:v>The actual trajectory uses 8 valid simulate_swro_system calls. Sole variable: P1 outlet pressure; final resolution: 0.1 bar. It brackets coarsely, then locks both limits or both sides of the diagnostic window.</x:v>
      </x:c>
      <x:c r="L5" s="29" t="str">
        <x:v>The actual trajectory uses 8 valid simulate_swro_system calls. Sole variable: P1 outlet pressure; final resolution: 0.1 bar. It brackets coarsely, then locks both limits or both sides of the diagnostic window.</x:v>
      </x:c>
      <x:c r="M5" s="29" t="str">
        <x:v>The actual trajectory uses 8 valid simulate_swro_system calls. Sole variable: P1 outlet pressure; final resolution: 0.1 bar. It brackets coarsely, then locks both limits or both sides of the diagnostic window.</x:v>
      </x:c>
      <x:c r="N5" s="29" t="str">
        <x:v>The actual trajectory uses 8 valid simulate_swro_system calls. Sole variable: P1 outlet pressure; final resolution: 0.1 bar. It brackets coarsely, then locks both limits or both sides of the diagnostic window.</x:v>
      </x:c>
      <x:c r="O5" s="29" t="str">
        <x:v>The actual trajectory uses 8 valid simulate_swro_system calls. Sole variable: P1 outlet pressure; final resolution: 0.1 bar. It brackets coarsely, then locks both limits or both sides of the diagnostic window.</x:v>
      </x:c>
      <x:c r="P5" s="29" t="str">
        <x:v>The actual trajectory uses 8 valid simulate_swro_system calls. Sole variable: P1 outlet pressure; final resolution: 0.1 bar. It brackets coarsely, then locks both limits or both sides of the diagnostic window.</x:v>
      </x:c>
      <x:c r="Q5" s="29" t="str">
        <x:v>The actual trajectory uses 8 valid simulate_swro_system calls. Sole variable: P1 outlet pressure; final resolution: 0.1 bar. It brackets coarsely, then locks both limits or both sides of the diagnostic window.</x:v>
      </x:c>
      <x:c r="R5" s="29" t="str">
        <x:v>The actual trajectory uses 8 valid simulate_swro_system calls. Sole variable: P1 outlet pressure; final resolution: 0.1 bar. It brackets coarsely, then locks both limits or both sides of the diagnostic window.</x:v>
      </x:c>
      <x:c r="S5" s="29" t="str">
        <x:v>The actual trajectory uses 8 valid simulate_swro_system calls. Sole variable: P1 outlet pressure; final resolution: 0.1 bar. It brackets coarsely, then locks both limits or both sides of the diagnostic window.</x:v>
      </x:c>
      <x:c r="T5" s="29" t="str">
        <x:v>The actual trajectory uses 8 valid simulate_swro_system calls. Sole variable: P1 outlet pressure; final resolution: 0.1 bar. It brackets coarsely, then locks both limits or both sides of the diagnostic window.</x:v>
      </x:c>
      <x:c r="U5" s="29" t="str">
        <x:v>The actual trajectory uses 8 valid simulate_swro_system calls. Sole variable: P1 outlet pressure; final resolution: 0.1 bar. It brackets coarsely, then locks both limits or both sides of the diagnostic window.</x:v>
      </x:c>
      <x:c r="V5" s="29" t="str">
        <x:v>The actual trajectory uses 8 valid simulate_swro_system calls. Sole variable: P1 outlet pressure; final resolution: 0.1 bar. It brackets coarsely, then locks both limits or both sides of the diagnostic window.</x:v>
      </x:c>
    </x:row>
    <x:row r="6">
      <x:c r="A6" s="29" t="str">
        <x:v>The actual trajectory uses 8 valid simulate_swro_system calls. Sole variable: P1 outlet pressure; final resolution: 0.1 bar. It brackets coarsely, then locks both limits or both sides of the diagnostic window.</x:v>
      </x:c>
      <x:c r="B6" s="29" t="str">
        <x:v>The actual trajectory uses 8 valid simulate_swro_system calls. Sole variable: P1 outlet pressure; final resolution: 0.1 bar. It brackets coarsely, then locks both limits or both sides of the diagnostic window.</x:v>
      </x:c>
      <x:c r="C6" s="29" t="str">
        <x:v>The actual trajectory uses 8 valid simulate_swro_system calls. Sole variable: P1 outlet pressure; final resolution: 0.1 bar. It brackets coarsely, then locks both limits or both sides of the diagnostic window.</x:v>
      </x:c>
      <x:c r="D6" s="29" t="str">
        <x:v>The actual trajectory uses 8 valid simulate_swro_system calls. Sole variable: P1 outlet pressure; final resolution: 0.1 bar. It brackets coarsely, then locks both limits or both sides of the diagnostic window.</x:v>
      </x:c>
      <x:c r="E6" s="29" t="str">
        <x:v>The actual trajectory uses 8 valid simulate_swro_system calls. Sole variable: P1 outlet pressure; final resolution: 0.1 bar. It brackets coarsely, then locks both limits or both sides of the diagnostic window.</x:v>
      </x:c>
      <x:c r="F6" s="29" t="str">
        <x:v>The actual trajectory uses 8 valid simulate_swro_system calls. Sole variable: P1 outlet pressure; final resolution: 0.1 bar. It brackets coarsely, then locks both limits or both sides of the diagnostic window.</x:v>
      </x:c>
      <x:c r="G6" s="29" t="str">
        <x:v>The actual trajectory uses 8 valid simulate_swro_system calls. Sole variable: P1 outlet pressure; final resolution: 0.1 bar. It brackets coarsely, then locks both limits or both sides of the diagnostic window.</x:v>
      </x:c>
      <x:c r="H6" s="29" t="str">
        <x:v>The actual trajectory uses 8 valid simulate_swro_system calls. Sole variable: P1 outlet pressure; final resolution: 0.1 bar. It brackets coarsely, then locks both limits or both sides of the diagnostic window.</x:v>
      </x:c>
      <x:c r="I6" s="29" t="str">
        <x:v>The actual trajectory uses 8 valid simulate_swro_system calls. Sole variable: P1 outlet pressure; final resolution: 0.1 bar. It brackets coarsely, then locks both limits or both sides of the diagnostic window.</x:v>
      </x:c>
      <x:c r="J6" s="29" t="str">
        <x:v>The actual trajectory uses 8 valid simulate_swro_system calls. Sole variable: P1 outlet pressure; final resolution: 0.1 bar. It brackets coarsely, then locks both limits or both sides of the diagnostic window.</x:v>
      </x:c>
      <x:c r="K6" s="29" t="str">
        <x:v>The actual trajectory uses 8 valid simulate_swro_system calls. Sole variable: P1 outlet pressure; final resolution: 0.1 bar. It brackets coarsely, then locks both limits or both sides of the diagnostic window.</x:v>
      </x:c>
      <x:c r="L6" s="29" t="str">
        <x:v>The actual trajectory uses 8 valid simulate_swro_system calls. Sole variable: P1 outlet pressure; final resolution: 0.1 bar. It brackets coarsely, then locks both limits or both sides of the diagnostic window.</x:v>
      </x:c>
      <x:c r="M6" s="29" t="str">
        <x:v>The actual trajectory uses 8 valid simulate_swro_system calls. Sole variable: P1 outlet pressure; final resolution: 0.1 bar. It brackets coarsely, then locks both limits or both sides of the diagnostic window.</x:v>
      </x:c>
      <x:c r="N6" s="29" t="str">
        <x:v>The actual trajectory uses 8 valid simulate_swro_system calls. Sole variable: P1 outlet pressure; final resolution: 0.1 bar. It brackets coarsely, then locks both limits or both sides of the diagnostic window.</x:v>
      </x:c>
      <x:c r="O6" s="29" t="str">
        <x:v>The actual trajectory uses 8 valid simulate_swro_system calls. Sole variable: P1 outlet pressure; final resolution: 0.1 bar. It brackets coarsely, then locks both limits or both sides of the diagnostic window.</x:v>
      </x:c>
      <x:c r="P6" s="29" t="str">
        <x:v>The actual trajectory uses 8 valid simulate_swro_system calls. Sole variable: P1 outlet pressure; final resolution: 0.1 bar. It brackets coarsely, then locks both limits or both sides of the diagnostic window.</x:v>
      </x:c>
      <x:c r="Q6" s="29" t="str">
        <x:v>The actual trajectory uses 8 valid simulate_swro_system calls. Sole variable: P1 outlet pressure; final resolution: 0.1 bar. It brackets coarsely, then locks both limits or both sides of the diagnostic window.</x:v>
      </x:c>
      <x:c r="R6" s="29" t="str">
        <x:v>The actual trajectory uses 8 valid simulate_swro_system calls. Sole variable: P1 outlet pressure; final resolution: 0.1 bar. It brackets coarsely, then locks both limits or both sides of the diagnostic window.</x:v>
      </x:c>
      <x:c r="S6" s="29" t="str">
        <x:v>The actual trajectory uses 8 valid simulate_swro_system calls. Sole variable: P1 outlet pressure; final resolution: 0.1 bar. It brackets coarsely, then locks both limits or both sides of the diagnostic window.</x:v>
      </x:c>
      <x:c r="T6" s="29" t="str">
        <x:v>The actual trajectory uses 8 valid simulate_swro_system calls. Sole variable: P1 outlet pressure; final resolution: 0.1 bar. It brackets coarsely, then locks both limits or both sides of the diagnostic window.</x:v>
      </x:c>
      <x:c r="U6" s="29" t="str">
        <x:v>The actual trajectory uses 8 valid simulate_swro_system calls. Sole variable: P1 outlet pressure; final resolution: 0.1 bar. It brackets coarsely, then locks both limits or both sides of the diagnostic window.</x:v>
      </x:c>
      <x:c r="V6" s="29" t="str">
        <x:v>The actual trajectory uses 8 valid simulate_swro_system calls. Sole variable: P1 outlet pressure; final resolution: 0.1 bar. It brackets coarsely, then locks both limits or both sides of the diagnostic window.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Capability</x:v>
      </x:c>
    </x:row>
    <x:row r="10" ht="49" customHeight="1">
      <x:c r="A10" s="20" t="str">
        <x:v>1 Baseline</x:v>
      </x:c>
      <x:c r="B10" s="20" t="str">
        <x:v>Control direction unknown</x:v>
      </x:c>
      <x:c r="C10" s="20" t="str">
        <x:v>62 and 73</x:v>
      </x:c>
      <x:c r="D10" s="20" t="str">
        <x:v>low-pressure production short; high-pressure SEC exceeds limit</x:v>
      </x:c>
      <x:c r="E10" s="20" t="str">
        <x:v>Establish direction and scale</x:v>
      </x:c>
      <x:c r="F10" s="20" t="str">
        <x:v>Test midpoints</x:v>
      </x:c>
      <x:c r="G10" s="20" t="str">
        <x:v>State diagnosis</x:v>
      </x:c>
    </x:row>
    <x:row r="11" ht="49" customHeight="1">
      <x:c r="A11" s="20" t="str">
        <x:v>2 Coarse bracket</x:v>
      </x:c>
      <x:c r="B11" s="20" t="str">
        <x:v>Direction known</x:v>
      </x:c>
      <x:c r="C11" s="20" t="str">
        <x:v>65 and 69</x:v>
      </x:c>
      <x:c r="D11" s="20" t="str">
        <x:v>production still short; both targets pass</x:v>
      </x:c>
      <x:c r="E11" s="20" t="str">
        <x:v>Locate both targets</x:v>
      </x:c>
      <x:c r="F11" s="20" t="str">
        <x:v>Move to final resolution</x:v>
      </x:c>
      <x:c r="G11" s="20" t="str">
        <x:v>Adaptive search</x:v>
      </x:c>
    </x:row>
    <x:row r="12" ht="49" customHeight="1">
      <x:c r="A12" s="20" t="str">
        <x:v>3 Criterion 1</x:v>
      </x:c>
      <x:c r="B12" s="20" t="str">
        <x:v>Boundary unresolved</x:v>
      </x:c>
      <x:c r="C12" s="20" t="str">
        <x:v>67.5↔67.6</x:v>
      </x:c>
      <x:c r="D12" s="20" t="str">
        <x:v>Adjacent points change status</x:v>
      </x:c>
      <x:c r="E12" s="20" t="str">
        <x:v>Lock criterion 1</x:v>
      </x:c>
      <x:c r="F12" s="20" t="str">
        <x:v>Switch criterion</x:v>
      </x:c>
      <x:c r="G12" s="20" t="str">
        <x:v>Boundary proof</x:v>
      </x:c>
    </x:row>
    <x:row r="13" ht="49" customHeight="1">
      <x:c r="A13" s="20" t="str">
        <x:v>4 Criterion 2</x:v>
      </x:c>
      <x:c r="B13" s="20" t="str">
        <x:v>Stricter or opposite-side target</x:v>
      </x:c>
      <x:c r="C13" s="20" t="str">
        <x:v>68.4↔68.5</x:v>
      </x:c>
      <x:c r="D13" s="20" t="str">
        <x:v>Adjacent points change status</x:v>
      </x:c>
      <x:c r="E13" s="20" t="str">
        <x:v>Lock criterion 2</x:v>
      </x:c>
      <x:c r="F13" s="20" t="str">
        <x:v>Audit pressure energy</x:v>
      </x:c>
      <x:c r="G13" s="20" t="str">
        <x:v>Target switch</x:v>
      </x:c>
    </x:row>
    <x:row r="14" ht="49" customHeight="1">
      <x:c r="A14" s="20" t="str">
        <x:v>5 Energy audit</x:v>
      </x:c>
      <x:c r="B14" s="20" t="str">
        <x:v>Key point locked</x:v>
      </x:c>
      <x:c r="C14" s="20" t="str">
        <x:v>Calculate Qbrine, QΔP and ηQΔP</x:v>
      </x:c>
      <x:c r="D14" s="20" t="str">
        <x:v>Separate equivalent recovery, pump train and net power</x:v>
      </x:c>
      <x:c r="E14" s="20" t="str">
        <x:v>Build physical explanation</x:v>
      </x:c>
      <x:c r="F14" s="20" t="str">
        <x:v>Conclude</x:v>
      </x:c>
      <x:c r="G14" s="20" t="str">
        <x:v>Accounting basis</x:v>
      </x:c>
    </x:row>
    <x:row r="15" ht="49" customHeight="1">
      <x:c r="A15" s="20" t="str">
        <x:v>6 Decision</x:v>
      </x:c>
      <x:c r="B15" s="20" t="str">
        <x:v>Evidence complete</x:v>
      </x:c>
      <x:c r="C15" s="20" t="str">
        <x:v>Summarize</x:v>
      </x:c>
      <x:c r="D15" s="20" t="str">
        <x:v>Minimum basic pressure 67.6 bar(a) and recommended 68.5 bar(a); more pressure raises production and ERD differential but also HPP power.</x:v>
      </x:c>
      <x:c r="E15" s="20" t="str">
        <x:v>Set operating rule</x:v>
      </x:c>
      <x:c r="F15" s="20" t="str">
        <x:v>Stop</x:v>
      </x:c>
      <x:c r="G15" s="20" t="str">
        <x:v>Engineering decision</x:v>
      </x:c>
    </x:row>
    <x:row r="18">
      <x:c r="A18" s="11" t="str">
        <x:v>8 actual simulate_swro_system calls</x:v>
      </x:c>
      <x:c r="B18" s="11" t="str">
        <x:v>8 actual simulate_swro_system calls</x:v>
      </x:c>
      <x:c r="C18" s="11" t="str">
        <x:v>8 actual simulate_swro_system calls</x:v>
      </x:c>
      <x:c r="D18" s="11" t="str">
        <x:v>8 actual simulate_swro_system calls</x:v>
      </x:c>
      <x:c r="E18" s="11" t="str">
        <x:v>8 actual simulate_swro_system calls</x:v>
      </x:c>
      <x:c r="F18" s="11" t="str">
        <x:v>8 actual simulate_swro_system calls</x:v>
      </x:c>
      <x:c r="G18" s="11" t="str">
        <x:v>8 actual simulate_swro_system calls</x:v>
      </x:c>
      <x:c r="H18" s="11" t="str">
        <x:v>8 actual simulate_swro_system calls</x:v>
      </x:c>
      <x:c r="I18" s="11" t="str">
        <x:v>8 actual simulate_swro_system calls</x:v>
      </x:c>
      <x:c r="J18" s="11" t="str">
        <x:v>8 actual simulate_swro_system calls</x:v>
      </x:c>
      <x:c r="K18" s="11" t="str">
        <x:v>8 actual simulate_swro_system calls</x:v>
      </x:c>
      <x:c r="L18" s="11" t="str">
        <x:v>8 actual simulate_swro_system calls</x:v>
      </x:c>
      <x:c r="M18" s="11" t="str">
        <x:v>8 actual simulate_swro_system calls</x:v>
      </x:c>
      <x:c r="N18" s="11" t="str">
        <x:v>8 actual simulate_swro_system calls</x:v>
      </x:c>
      <x:c r="O18" s="11" t="str">
        <x:v>8 actual simulate_swro_system calls</x:v>
      </x:c>
      <x:c r="P18" s="11" t="str">
        <x:v>8 actual simulate_swro_system calls</x:v>
      </x:c>
      <x:c r="Q18" s="11" t="str">
        <x:v>8 actual simulate_swro_system calls</x:v>
      </x:c>
      <x:c r="R18" s="11" t="str">
        <x:v>8 actual simulate_swro_system calls</x:v>
      </x:c>
    </x:row>
    <x:row r="19">
      <x:c r="A19" s="17" t="str">
        <x:v>Call</x:v>
      </x:c>
      <x:c r="B19" s="17" t="str">
        <x:v>P1 outlet pressure</x:v>
      </x:c>
      <x:c r="C19" s="17" t="str">
        <x:v>Product m³/s</x:v>
      </x:c>
      <x:c r="D19" s="17" t="str">
        <x:v>Product m³/d</x:v>
      </x:c>
      <x:c r="E19" s="17" t="str">
        <x:v>Recovery %</x:v>
      </x:c>
      <x:c r="F19" s="17" t="str">
        <x:v>Brine m³/s</x:v>
      </x:c>
      <x:c r="G19" s="17" t="str">
        <x:v>ERD ΔP bar</x:v>
      </x:c>
      <x:c r="H19" s="17" t="str">
        <x:v>Available power kW</x:v>
      </x:c>
      <x:c r="I19" s="17" t="str">
        <x:v>Equivalent recovered kW</x:v>
      </x:c>
      <x:c r="J19" s="17" t="str">
        <x:v>P1 kW</x:v>
      </x:c>
      <x:c r="K19" s="17" t="str">
        <x:v>P2 kW</x:v>
      </x:c>
      <x:c r="L19" s="17" t="str">
        <x:v>Pump train kW</x:v>
      </x:c>
      <x:c r="M19" s="17" t="str">
        <x:v>SEC kWh/m³</x:v>
      </x:c>
      <x:c r="N19" s="17" t="str">
        <x:v>Net power kW</x:v>
      </x:c>
      <x:c r="O19" s="17" t="str">
        <x:v>LCOW $/m³</x:v>
      </x:c>
      <x:c r="P19" s="17" t="str">
        <x:v>Criterion 1</x:v>
      </x:c>
      <x:c r="Q19" s="17" t="str">
        <x:v>Criterion 2</x:v>
      </x:c>
      <x:c r="R19" s="17" t="str">
        <x:v>Observation/decision</x:v>
      </x:c>
      <x:c r="T19" t="str">
        <x:v>P1 outlet pressure</x:v>
      </x:c>
      <x:c r="U19" t="str">
        <x:v>Product m³/d</x:v>
      </x:c>
      <x:c r="V19" t="str">
        <x:v>Target</x:v>
      </x:c>
    </x:row>
    <x:row r="20" ht="31" customHeight="1">
      <x:c r="A20" s="20" t="n">
        <x:v>1</x:v>
      </x:c>
      <x:c r="B20" s="30" t="n">
        <x:v>62</x:v>
      </x:c>
      <x:c r="C20" s="31" t="n">
        <x:v>0.11266728014278088</x:v>
      </x:c>
      <x:c r="D20" s="32" t="n">
        <x:f>C20*86400</x:f>
        <x:v>9734.453004336268</x:v>
      </x:c>
      <x:c r="E20" s="32" t="n">
        <x:v>35.20852504461902</x:v>
      </x:c>
      <x:c r="F20" s="32" t="n">
        <x:f>0.32-C20</x:f>
        <x:v>0.20733271985721913</x:v>
      </x:c>
      <x:c r="G20" s="32" t="n">
        <x:f>B20-2.7-1.0</x:f>
        <x:v>58.3</x:v>
      </x:c>
      <x:c r="H20" s="32" t="n">
        <x:f>F20*G20*100</x:f>
        <x:v>1208.7497567675875</x:v>
      </x:c>
      <x:c r="I20" s="32" t="n">
        <x:f>H20*0.95</x:f>
        <x:v>1148.3122689292081</x:v>
      </x:c>
      <x:c r="J20" s="32" t="n">
        <x:v>839.5010393804982</x:v>
      </x:c>
      <x:c r="K20" s="32" t="n">
        <x:v>139.57217096983777</x:v>
      </x:c>
      <x:c r="L20" s="32" t="n">
        <x:f>J20+K20</x:f>
        <x:v>979.073210350336</x:v>
      </x:c>
      <x:c r="M20" s="32" t="n">
        <x:v>2.822127224056617</x:v>
      </x:c>
      <x:c r="N20" s="32" t="n">
        <x:f>D20/24*M20</x:f>
        <x:v>1144.6610347848796</x:v>
      </x:c>
      <x:c r="O20" s="32" t="n">
        <x:v>0.9080620431314281</x:v>
      </x:c>
      <x:c r="P20" s="35" t="str">
        <x:v>FAIL</x:v>
      </x:c>
      <x:c r="Q20" s="35" t="str">
        <x:v>FAIL</x:v>
      </x:c>
      <x:c r="R20" s="20" t="str">
        <x:v>low-pressure production short</x:v>
      </x:c>
      <x:c r="T20" t="n">
        <x:f>B20</x:f>
        <x:v>62</x:v>
      </x:c>
      <x:c r="U20" t="n">
        <x:f>D20</x:f>
        <x:v>9734.453004336268</x:v>
      </x:c>
      <x:c r="V20" t="n">
        <x:f>11200</x:f>
        <x:v>11200</x:v>
      </x:c>
    </x:row>
    <x:row r="21" ht="31" customHeight="1">
      <x:c r="A21" s="20" t="n">
        <x:v>2</x:v>
      </x:c>
      <x:c r="B21" s="30" t="n">
        <x:v>73</x:v>
      </x:c>
      <x:c r="C21" s="31" t="n">
        <x:v>0.14073802629706902</x:v>
      </x:c>
      <x:c r="D21" s="32" t="n">
        <x:f>C21*86400</x:f>
        <x:v>12159.765472066763</x:v>
      </x:c>
      <x:c r="E21" s="32" t="n">
        <x:v>43.98063321783407</x:v>
      </x:c>
      <x:c r="F21" s="32" t="n">
        <x:f>0.32-C21</x:f>
        <x:v>0.17926197370293098</x:v>
      </x:c>
      <x:c r="G21" s="32" t="n">
        <x:f>B21-2.7-1.0</x:f>
        <x:v>69.3</x:v>
      </x:c>
      <x:c r="H21" s="32" t="n">
        <x:f>F21*G21*100</x:f>
        <x:v>1242.2854777613115</x:v>
      </x:c>
      <x:c r="I21" s="32" t="n">
        <x:f>H21*0.95</x:f>
        <x:v>1180.171203873246</x:v>
      </x:c>
      <x:c r="J21" s="32" t="n">
        <x:v>1237.595041620772</x:v>
      </x:c>
      <x:c r="K21" s="32" t="n">
        <x:v>129.25157528399163</x:v>
      </x:c>
      <x:c r="L21" s="32" t="n">
        <x:f>J21+K21</x:f>
        <x:v>1366.8466169047636</x:v>
      </x:c>
      <x:c r="M21" s="32" t="n">
        <x:v>3.1057921984641887</x:v>
      </x:c>
      <x:c r="N21" s="32" t="n">
        <x:f>D21/24*M21</x:f>
        <x:v>1573.5710307624654</x:v>
      </x:c>
      <x:c r="O21" s="32" t="n">
        <x:v>0.8182383220720288</x:v>
      </x:c>
      <x:c r="P21" s="35" t="str">
        <x:v>FAIL</x:v>
      </x:c>
      <x:c r="Q21" s="35" t="str">
        <x:v>FAIL</x:v>
      </x:c>
      <x:c r="R21" s="20" t="str">
        <x:v>high-pressure SEC exceeds limit</x:v>
      </x:c>
      <x:c r="T21" t="n">
        <x:f>B22</x:f>
        <x:v>65</x:v>
      </x:c>
      <x:c r="U21" t="n">
        <x:f>D22</x:f>
        <x:v>10433.048359790062</x:v>
      </x:c>
      <x:c r="V21" t="n">
        <x:f>11200</x:f>
        <x:v>11200</x:v>
      </x:c>
    </x:row>
    <x:row r="22" ht="31" customHeight="1">
      <x:c r="A22" s="20" t="n">
        <x:v>3</x:v>
      </x:c>
      <x:c r="B22" s="30" t="n">
        <x:v>65</x:v>
      </x:c>
      <x:c r="C22" s="31" t="n">
        <x:v>0.1207528745346072</x:v>
      </x:c>
      <x:c r="D22" s="32" t="n">
        <x:f>C22*86400</x:f>
        <x:v>10433.048359790062</x:v>
      </x:c>
      <x:c r="E22" s="32" t="n">
        <x:v>37.73527329206475</x:v>
      </x:c>
      <x:c r="F22" s="32" t="n">
        <x:f>0.32-C22</x:f>
        <x:v>0.1992471254653928</x:v>
      </x:c>
      <x:c r="G22" s="32" t="n">
        <x:f>B22-2.7-1.0</x:f>
        <x:v>61.3</x:v>
      </x:c>
      <x:c r="H22" s="32" t="n">
        <x:f>F22*G22*100</x:f>
        <x:v>1221.384879102858</x:v>
      </x:c>
      <x:c r="I22" s="32" t="n">
        <x:f>H22*0.95</x:f>
        <x:v>1160.315635147715</x:v>
      </x:c>
      <x:c r="J22" s="32" t="n">
        <x:v>943.9660132169862</x:v>
      </x:c>
      <x:c r="K22" s="32" t="n">
        <x:v>136.63767185244987</x:v>
      </x:c>
      <x:c r="L22" s="32" t="n">
        <x:f>J22+K22</x:f>
        <x:v>1080.603685069436</x:v>
      </x:c>
      <x:c r="M22" s="32" t="n">
        <x:v>2.89397443432276</x:v>
      </x:c>
      <x:c r="N22" s="32" t="n">
        <x:f>D22/24*M22</x:f>
        <x:v>1258.0406343868935</x:v>
      </x:c>
      <x:c r="O22" s="32" t="n">
        <x:v>0.8756770350466637</x:v>
      </x:c>
      <x:c r="P22" s="35" t="str">
        <x:v>FAIL</x:v>
      </x:c>
      <x:c r="Q22" s="35" t="str">
        <x:v>FAIL</x:v>
      </x:c>
      <x:c r="R22" s="20" t="str">
        <x:v>production still short</x:v>
      </x:c>
      <x:c r="T22" t="n">
        <x:f>B24</x:f>
        <x:v>67.5</x:v>
      </x:c>
      <x:c r="U22" t="n">
        <x:f>D24</x:f>
        <x:v>10993.654861086388</x:v>
      </x:c>
      <x:c r="V22" t="n">
        <x:f>11200</x:f>
        <x:v>11200</x:v>
      </x:c>
    </x:row>
    <x:row r="23" ht="31" customHeight="1">
      <x:c r="A23" s="20" t="n">
        <x:v>4</x:v>
      </x:c>
      <x:c r="B23" s="30" t="n">
        <x:v>69</x:v>
      </x:c>
      <x:c r="C23" s="31" t="n">
        <x:v>0.13102724418495607</x:v>
      </x:c>
      <x:c r="D23" s="32" t="n">
        <x:f>C23*86400</x:f>
        <x:v>11320.753897580204</x:v>
      </x:c>
      <x:c r="E23" s="32" t="n">
        <x:v>40.94601380779877</x:v>
      </x:c>
      <x:c r="F23" s="32" t="n">
        <x:f>0.32-C23</x:f>
        <x:v>0.18897275581504394</x:v>
      </x:c>
      <x:c r="G23" s="32" t="n">
        <x:f>B23-2.7-1.0</x:f>
        <x:v>65.3</x:v>
      </x:c>
      <x:c r="H23" s="32" t="n">
        <x:f>F23*G23*100</x:f>
        <x:v>1233.9920954722368</x:v>
      </x:c>
      <x:c r="I23" s="32" t="n">
        <x:f>H23*0.95</x:f>
        <x:v>1172.292490698625</x:v>
      </x:c>
      <x:c r="J23" s="32" t="n">
        <x:v>1088.2486369527478</x:v>
      </x:c>
      <x:c r="K23" s="32" t="n">
        <x:v>132.867583023993</x:v>
      </x:c>
      <x:c r="L23" s="32" t="n">
        <x:f>J23+K23</x:f>
        <x:v>1221.116219976741</x:v>
      </x:c>
      <x:c r="M23" s="32" t="n">
        <x:v>2.996853118841807</x:v>
      </x:c>
      <x:c r="N23" s="32" t="n">
        <x:f>D23/24*M23</x:f>
        <x:v>1413.6098594001571</x:v>
      </x:c>
      <x:c r="O23" s="32" t="n">
        <x:v>0.8426068013560382</x:v>
      </x:c>
      <x:c r="P23" s="38" t="str">
        <x:v>PASS</x:v>
      </x:c>
      <x:c r="Q23" s="38" t="str">
        <x:v>PASS</x:v>
      </x:c>
      <x:c r="R23" s="20" t="str">
        <x:v>both targets pass</x:v>
      </x:c>
      <x:c r="T23" t="n">
        <x:f>B25</x:f>
        <x:v>67.6</x:v>
      </x:c>
      <x:c r="U23" t="n">
        <x:f>D25</x:f>
        <x:v>11015.676274831918</x:v>
      </x:c>
      <x:c r="V23" t="n">
        <x:f>11200</x:f>
        <x:v>11200</x:v>
      </x:c>
    </x:row>
    <x:row r="24" ht="31" customHeight="1">
      <x:c r="A24" s="20" t="n">
        <x:v>5</x:v>
      </x:c>
      <x:c r="B24" s="30" t="n">
        <x:v>67.5</x:v>
      </x:c>
      <x:c r="C24" s="31" t="n">
        <x:v>0.12724137570701838</x:v>
      </x:c>
      <x:c r="D24" s="32" t="n">
        <x:f>C24*86400</x:f>
        <x:v>10993.654861086388</x:v>
      </x:c>
      <x:c r="E24" s="32" t="n">
        <x:v>39.76292990844324</x:v>
      </x:c>
      <x:c r="F24" s="32" t="n">
        <x:f>0.32-C24</x:f>
        <x:v>0.19275862429298163</x:v>
      </x:c>
      <x:c r="G24" s="32" t="n">
        <x:f>B24-2.7-1.0</x:f>
        <x:v>63.8</x:v>
      </x:c>
      <x:c r="H24" s="32" t="n">
        <x:f>F24*G24*100</x:f>
        <x:v>1229.8000229892227</x:v>
      </x:c>
      <x:c r="I24" s="32" t="n">
        <x:f>H24*0.95</x:f>
        <x:v>1168.3100218397615</x:v>
      </x:c>
      <x:c r="J24" s="32" t="n">
        <x:v>1033.5126857469895</x:v>
      </x:c>
      <x:c r="K24" s="32" t="n">
        <x:v>134.26278687727614</x:v>
      </x:c>
      <x:c r="L24" s="32" t="n">
        <x:f>J24+K24</x:f>
        <x:v>1167.7754726242656</x:v>
      </x:c>
      <x:c r="M24" s="32" t="n">
        <x:v>2.957461013558726</x:v>
      </x:c>
      <x:c r="N24" s="32" t="n">
        <x:f>D24/24*M24</x:f>
        <x:v>1354.721068674307</x:v>
      </x:c>
      <x:c r="O24" s="32" t="n">
        <x:v>0.8538445812183355</x:v>
      </x:c>
      <x:c r="P24" s="35" t="str">
        <x:v>FAIL</x:v>
      </x:c>
      <x:c r="Q24" s="35" t="str">
        <x:v>FAIL</x:v>
      </x:c>
      <x:c r="R24" s="20" t="str">
        <x:v>basic fail on product</x:v>
      </x:c>
      <x:c r="T24" t="n">
        <x:f>B26</x:f>
        <x:v>68.4</x:v>
      </x:c>
      <x:c r="U24" t="n">
        <x:f>D26</x:f>
        <x:v>11190.741122742666</x:v>
      </x:c>
      <x:c r="V24" t="n">
        <x:f>11200</x:f>
        <x:v>11200</x:v>
      </x:c>
    </x:row>
    <x:row r="25" ht="31" customHeight="1">
      <x:c r="A25" s="20" t="n">
        <x:v>6</x:v>
      </x:c>
      <x:c r="B25" s="30" t="n">
        <x:v>67.6</x:v>
      </x:c>
      <x:c r="C25" s="31" t="n">
        <x:v>0.12749625318092497</x:v>
      </x:c>
      <x:c r="D25" s="32" t="n">
        <x:f>C25*86400</x:f>
        <x:v>11015.676274831918</x:v>
      </x:c>
      <x:c r="E25" s="32" t="n">
        <x:v>39.84257911903905</x:v>
      </x:c>
      <x:c r="F25" s="32" t="n">
        <x:f>0.32-C25</x:f>
        <x:v>0.19250374681907503</x:v>
      </x:c>
      <x:c r="G25" s="32" t="n">
        <x:f>B25-2.7-1.0</x:f>
        <x:v>63.89999999999999</x:v>
      </x:c>
      <x:c r="H25" s="32" t="n">
        <x:f>F25*G25*100</x:f>
        <x:v>1230.0989421738893</x:v>
      </x:c>
      <x:c r="I25" s="32" t="n">
        <x:f>H25*0.95</x:f>
        <x:v>1168.5939950651948</x:v>
      </x:c>
      <x:c r="J25" s="32" t="n">
        <x:v>1037.1388979697106</x:v>
      </x:c>
      <x:c r="K25" s="32" t="n">
        <x:v>134.16908885034866</x:v>
      </x:c>
      <x:c r="L25" s="32" t="n">
        <x:f>J25+K25</x:f>
        <x:v>1171.3079868200593</x:v>
      </x:c>
      <x:c r="M25" s="32" t="n">
        <x:v>2.9600588732413073</x:v>
      </x:c>
      <x:c r="N25" s="32" t="n">
        <x:f>D25/24*M25</x:f>
        <x:v>1358.6270959195822</x:v>
      </x:c>
      <x:c r="O25" s="32" t="n">
        <x:v>0.8530548412377198</x:v>
      </x:c>
      <x:c r="P25" s="38" t="str">
        <x:v>PASS</x:v>
      </x:c>
      <x:c r="Q25" s="35" t="str">
        <x:v>FAIL</x:v>
      </x:c>
      <x:c r="R25" s="20" t="str">
        <x:v>basic pass</x:v>
      </x:c>
      <x:c r="T25" t="n">
        <x:f>B27</x:f>
        <x:v>68.5</x:v>
      </x:c>
      <x:c r="U25" t="n">
        <x:f>D27</x:f>
        <x:v>11212.486276198608</x:v>
      </x:c>
      <x:c r="V25" t="n">
        <x:f>11200</x:f>
        <x:v>11200</x:v>
      </x:c>
    </x:row>
    <x:row r="26" ht="31" customHeight="1">
      <x:c r="A26" s="20" t="n">
        <x:v>7</x:v>
      </x:c>
      <x:c r="B26" s="30" t="n">
        <x:v>68.4</x:v>
      </x:c>
      <x:c r="C26" s="31" t="n">
        <x:v>0.12952246669841047</x:v>
      </x:c>
      <x:c r="D26" s="32" t="n">
        <x:f>C26*86400</x:f>
        <x:v>11190.741122742666</x:v>
      </x:c>
      <x:c r="E26" s="32" t="n">
        <x:v>40.47577084325327</x:v>
      </x:c>
      <x:c r="F26" s="32" t="n">
        <x:f>0.32-C26</x:f>
        <x:v>0.19047753330158954</x:v>
      </x:c>
      <x:c r="G26" s="32" t="n">
        <x:f>B26-2.7-1.0</x:f>
        <x:v>64.7</x:v>
      </x:c>
      <x:c r="H26" s="32" t="n">
        <x:f>F26*G26*100</x:f>
        <x:v>1232.3896404612844</x:v>
      </x:c>
      <x:c r="I26" s="32" t="n">
        <x:f>H26*0.95</x:f>
        <x:v>1170.7701584382203</x:v>
      </x:c>
      <x:c r="J26" s="32" t="n">
        <x:v>1066.2668917117378</x:v>
      </x:c>
      <x:c r="K26" s="32" t="n">
        <x:v>133.42303555026777</x:v>
      </x:c>
      <x:c r="L26" s="32" t="n">
        <x:f>J26+K26</x:f>
        <x:v>1199.6899272620055</x:v>
      </x:c>
      <x:c r="M26" s="32" t="n">
        <x:v>2.98098942705813</x:v>
      </x:c>
      <x:c r="N26" s="32" t="n">
        <x:f>D26/24*M26</x:f>
        <x:v>1389.9783736600214</x:v>
      </x:c>
      <x:c r="O26" s="32" t="n">
        <x:v>0.8469486234078538</x:v>
      </x:c>
      <x:c r="P26" s="38" t="str">
        <x:v>PASS</x:v>
      </x:c>
      <x:c r="Q26" s="35" t="str">
        <x:v>FAIL</x:v>
      </x:c>
      <x:c r="R26" s="20" t="str">
        <x:v>recommended fail on product</x:v>
      </x:c>
      <x:c r="T26" t="n">
        <x:f>B23</x:f>
        <x:v>69</x:v>
      </x:c>
      <x:c r="U26" t="n">
        <x:f>D23</x:f>
        <x:v>11320.753897580204</x:v>
      </x:c>
      <x:c r="V26" t="n">
        <x:f>11200</x:f>
        <x:v>11200</x:v>
      </x:c>
    </x:row>
    <x:row r="27" ht="31" customHeight="1">
      <x:c r="A27" s="20" t="n">
        <x:v>8</x:v>
      </x:c>
      <x:c r="B27" s="30" t="n">
        <x:v>68.5</x:v>
      </x:c>
      <x:c r="C27" s="31" t="n">
        <x:v>0.12977414671526166</x:v>
      </x:c>
      <x:c r="D27" s="32" t="n">
        <x:f>C27*86400</x:f>
        <x:v>11212.486276198608</x:v>
      </x:c>
      <x:c r="E27" s="32" t="n">
        <x:v>40.55442084851927</x:v>
      </x:c>
      <x:c r="F27" s="32" t="n">
        <x:f>0.32-C27</x:f>
        <x:v>0.19022585328473834</x:v>
      </x:c>
      <x:c r="G27" s="32" t="n">
        <x:f>B27-2.7-1.0</x:f>
        <x:v>64.8</x:v>
      </x:c>
      <x:c r="H27" s="32" t="n">
        <x:f>F27*G27*100</x:f>
        <x:v>1232.6635292851045</x:v>
      </x:c>
      <x:c r="I27" s="32" t="n">
        <x:f>H27*0.95</x:f>
        <x:v>1171.0303528208492</x:v>
      </x:c>
      <x:c r="J27" s="32" t="n">
        <x:v>1069.922515837726</x:v>
      </x:c>
      <x:c r="K27" s="32" t="n">
        <x:v>133.33021797072317</x:v>
      </x:c>
      <x:c r="L27" s="32" t="n">
        <x:f>J27+K27</x:f>
        <x:v>1203.2527338084492</x:v>
      </x:c>
      <x:c r="M27" s="32" t="n">
        <x:v>2.9836237348334427</x:v>
      </x:c>
      <x:c r="N27" s="32" t="n">
        <x:f>D27/24*M27</x:f>
        <x:v>1393.9100075066838</x:v>
      </x:c>
      <x:c r="O27" s="32" t="n">
        <x:v>0.8462111476871296</x:v>
      </x:c>
      <x:c r="P27" s="38" t="str">
        <x:v>PASS</x:v>
      </x:c>
      <x:c r="Q27" s="38" t="str">
        <x:v>PASS</x:v>
      </x:c>
      <x:c r="R27" s="20" t="str">
        <x:v>recommended pass</x:v>
      </x:c>
      <x:c r="T27" t="n">
        <x:f>B21</x:f>
        <x:v>73</x:v>
      </x:c>
      <x:c r="U27" t="n">
        <x:f>D21</x:f>
        <x:v>12159.765472066763</x:v>
      </x:c>
      <x:c r="V27" t="n">
        <x:f>11200</x:f>
        <x:v>11200</x:v>
      </x:c>
    </x:row>
    <x:row r="31">
      <x:c r="A31" s="11" t="str">
        <x:v>Boundaries and final answer</x:v>
      </x:c>
      <x:c r="B31" s="11" t="str">
        <x:v>Boundaries and final answer</x:v>
      </x:c>
      <x:c r="C31" s="11" t="str">
        <x:v>Boundaries and final answer</x:v>
      </x:c>
      <x:c r="D31" s="11" t="str">
        <x:v>Boundaries and final answer</x:v>
      </x:c>
      <x:c r="E31" s="11" t="str">
        <x:v>Boundaries and final answer</x:v>
      </x:c>
      <x:c r="F31" s="11" t="str">
        <x:v>Boundaries and final answer</x:v>
      </x:c>
      <x:c r="G31" s="11" t="str">
        <x:v>Boundaries and final answer</x:v>
      </x:c>
      <x:c r="H31" s="11" t="str">
        <x:v>Boundaries and final answer</x:v>
      </x:c>
      <x:c r="J31" s="11" t="str">
        <x:v>Energy audit and comparison</x:v>
      </x:c>
      <x:c r="K31" s="11" t="str">
        <x:v>Energy audit and comparison</x:v>
      </x:c>
      <x:c r="L31" s="11" t="str">
        <x:v>Energy audit and comparison</x:v>
      </x:c>
      <x:c r="M31" s="11" t="str">
        <x:v>Energy audit and comparison</x:v>
      </x:c>
      <x:c r="N31" s="11" t="str">
        <x:v>Energy audit and comparison</x:v>
      </x:c>
      <x:c r="O31" s="11" t="str">
        <x:v>Energy audit and comparison</x:v>
      </x:c>
      <x:c r="P31" s="11" t="str">
        <x:v>Energy audit and comparison</x:v>
      </x:c>
      <x:c r="Q31" s="11" t="str">
        <x:v>Energy audit and comparison</x:v>
      </x:c>
      <x:c r="R31" s="11" t="str">
        <x:v>Energy audit and comparison</x:v>
      </x:c>
    </x:row>
    <x:row r="32">
      <x:c r="A32" s="17" t="str">
        <x:v>Level</x:v>
      </x:c>
      <x:c r="B32" s="17" t="str">
        <x:v>Fail/mismatch</x:v>
      </x:c>
      <x:c r="C32" s="17" t="str">
        <x:v>Pass/match</x:v>
      </x:c>
      <x:c r="D32" s="17" t="str">
        <x:v>Resolution</x:v>
      </x:c>
      <x:c r="E32" s="17" t="str">
        <x:v>Criterion</x:v>
      </x:c>
      <x:c r="F32" s="17" t="str">
        <x:v>Recommended variable</x:v>
      </x:c>
      <x:c r="G32" s="17" t="str">
        <x:v>Key simulation result</x:v>
      </x:c>
      <x:c r="H32" s="17" t="str">
        <x:v>Conclusion</x:v>
      </x:c>
      <x:c r="J32" s="17" t="str">
        <x:v>Item</x:v>
      </x:c>
      <x:c r="K32" s="17" t="str">
        <x:v>Audit point</x:v>
      </x:c>
      <x:c r="L32" s="17" t="str">
        <x:v>Unit</x:v>
      </x:c>
      <x:c r="M32" s="17" t="str">
        <x:v>Before</x:v>
      </x:c>
      <x:c r="N32" s="17" t="str">
        <x:v>After</x:v>
      </x:c>
      <x:c r="O32" s="17" t="str">
        <x:v>Change (after−before)</x:v>
      </x:c>
      <x:c r="P32" s="17" t="str">
        <x:v>Unit</x:v>
      </x:c>
      <x:c r="Q32" s="17" t="str">
        <x:v>Formula basis</x:v>
      </x:c>
      <x:c r="R32" s="17" t="str">
        <x:v>Note</x:v>
      </x:c>
    </x:row>
    <x:row r="33" ht="39" customHeight="1">
      <x:c r="A33" s="20" t="str">
        <x:v>Criterion 1 boundary</x:v>
      </x:c>
      <x:c r="B33" s="20" t="n">
        <x:v>67.5</x:v>
      </x:c>
      <x:c r="C33" s="20" t="n">
        <x:v>67.6</x:v>
      </x:c>
      <x:c r="D33" s="20" t="str">
        <x:v>0.1 bar</x:v>
      </x:c>
      <x:c r="E33" s="20" t="str">
        <x:v>Product≥11,000 and SEC≤3.00</x:v>
      </x:c>
      <x:c r="F33" s="20" t="n">
        <x:v>68.5</x:v>
      </x:c>
      <x:c r="G33" s="20" t="str">
        <x:v>Minimum basic pressure 67.6 bar(a) and recommended 68.5 bar(a); more pressure raises production and ERD differential but also HPP power.</x:v>
      </x:c>
      <x:c r="H33" s="20" t="str">
        <x:v>Adjacent proof</x:v>
      </x:c>
      <x:c r="J33" s="20" t="str">
        <x:v>Decision variable</x:v>
      </x:c>
      <x:c r="K33" s="32" t="n">
        <x:f>B27</x:f>
        <x:v>68.5</x:v>
      </x:c>
      <x:c r="L33" s="32" t="n">
        <x:f>B25</x:f>
        <x:v>67.6</x:v>
      </x:c>
      <x:c r="M33" s="32" t="n">
        <x:f>B27</x:f>
        <x:v>68.5</x:v>
      </x:c>
      <x:c r="N33" s="32" t="n">
        <x:f>B27-B25</x:f>
        <x:v>0.9000000000000057</x:v>
      </x:c>
      <x:c r="O33" s="20"/>
      <x:c r="P33" s="20" t="str">
        <x:v>bar(a)</x:v>
      </x:c>
      <x:c r="Q33" s="20" t="str">
        <x:v>tool input</x:v>
      </x:c>
      <x:c r="R33" s="20" t="str">
        <x:v>Minimum pressure</x:v>
      </x:c>
    </x:row>
    <x:row r="34" ht="39" customHeight="1">
      <x:c r="A34" s="20" t="str">
        <x:v>Criterion 2 boundary</x:v>
      </x:c>
      <x:c r="B34" s="20" t="n">
        <x:v>68.4</x:v>
      </x:c>
      <x:c r="C34" s="20" t="n">
        <x:v>68.5</x:v>
      </x:c>
      <x:c r="D34" s="20" t="str">
        <x:v>0.1 bar</x:v>
      </x:c>
      <x:c r="E34" s="20" t="str">
        <x:v>Product≥11,200 and SEC≤3.00</x:v>
      </x:c>
      <x:c r="F34" s="20" t="n">
        <x:v>68.5</x:v>
      </x:c>
      <x:c r="G34" s="20" t="str">
        <x:v>Minimum basic pressure 67.6 bar(a) and recommended 68.5 bar(a); more pressure raises production and ERD differential but also HPP power.</x:v>
      </x:c>
      <x:c r="H34" s="20" t="str">
        <x:v>Adjacent proof</x:v>
      </x:c>
      <x:c r="J34" s="20" t="str">
        <x:v>Product</x:v>
      </x:c>
      <x:c r="K34" s="32" t="n">
        <x:f>D27</x:f>
        <x:v>11212.486276198608</x:v>
      </x:c>
      <x:c r="L34" s="32" t="n">
        <x:f>D25</x:f>
        <x:v>11015.676274831918</x:v>
      </x:c>
      <x:c r="M34" s="32" t="n">
        <x:f>D27</x:f>
        <x:v>11212.486276198608</x:v>
      </x:c>
      <x:c r="N34" s="32" t="n">
        <x:f>D27-D25</x:f>
        <x:v>196.8100013666899</x:v>
      </x:c>
      <x:c r="O34" s="20"/>
      <x:c r="P34" s="20" t="str">
        <x:v>m³/d</x:v>
      </x:c>
      <x:c r="Q34" s="20" t="str">
        <x:v>Qp×86400</x:v>
      </x:c>
      <x:c r="R34" s="20" t="str">
        <x:v>Simulation output</x:v>
      </x:c>
    </x:row>
    <x:row r="35" ht="39" customHeight="1">
      <x:c r="A35" s="20" t="str">
        <x:v>Engineering answer</x:v>
      </x:c>
      <x:c r="B35" s="20" t="str">
        <x:v>-</x:v>
      </x:c>
      <x:c r="C35" s="20" t="n">
        <x:v>68.5</x:v>
      </x:c>
      <x:c r="D35" s="20" t="str">
        <x:v>bar(a)</x:v>
      </x:c>
      <x:c r="E35" s="20" t="str">
        <x:v>Minimum pressure</x:v>
      </x:c>
      <x:c r="F35" s="20" t="n">
        <x:v>68.5</x:v>
      </x:c>
      <x:c r="G35" s="20" t="str">
        <x:v>Minimum basic pressure is 67.6 bar(a) and minimum recommended pressure 68.5 bar(a). At the recommendation product=11212.49 m³/d, ERD differential=64.8 bar, available/equivalent recovered power=1232.66/1171.03 kW, P1/P2=1069.92/133.33 kW and SEC=2.983624 kWh/m³.</x:v>
      </x:c>
      <x:c r="H35" s="20" t="str">
        <x:v>Use benchmark operating rule</x:v>
      </x:c>
      <x:c r="J35" s="20" t="str">
        <x:v>Brine flow</x:v>
      </x:c>
      <x:c r="K35" s="32" t="n">
        <x:f>F27</x:f>
        <x:v>0.19022585328473834</x:v>
      </x:c>
      <x:c r="L35" s="32" t="n">
        <x:f>F25</x:f>
        <x:v>0.19250374681907503</x:v>
      </x:c>
      <x:c r="M35" s="32" t="n">
        <x:f>F27</x:f>
        <x:v>0.19022585328473834</x:v>
      </x:c>
      <x:c r="N35" s="32" t="n">
        <x:f>F27-F25</x:f>
        <x:v>-0.002277893534336689</x:v>
      </x:c>
      <x:c r="O35" s="20"/>
      <x:c r="P35" s="20" t="str">
        <x:v>m³/s</x:v>
      </x:c>
      <x:c r="Q35" s="20" t="str">
        <x:v>Qfeed−Qp</x:v>
      </x:c>
      <x:c r="R35" s="20" t="str">
        <x:v>PX high-pressure side</x:v>
      </x:c>
    </x:row>
    <x:row r="36" ht="39" customHeight="1">
      <x:c r="A36" s="20" t="str">
        <x:v>Physical interpretation</x:v>
      </x:c>
      <x:c r="B36" s="20" t="str">
        <x:v>-</x:v>
      </x:c>
      <x:c r="C36" s="20" t="str">
        <x:v>-</x:v>
      </x:c>
      <x:c r="D36" s="20" t="str">
        <x:v>-</x:v>
      </x:c>
      <x:c r="E36" s="20" t="str">
        <x:v>Pressure energy vs SEC</x:v>
      </x:c>
      <x:c r="F36" s="20" t="n">
        <x:v>68.5</x:v>
      </x:c>
      <x:c r="G36" s="20" t="str">
        <x:v>Minimum basic pressure 67.6 bar(a) and recommended 68.5 bar(a); more pressure raises production and ERD differential but also HPP power.</x:v>
      </x:c>
      <x:c r="H36" s="20" t="str">
        <x:v>Do not mix total power and unit energy</x:v>
      </x:c>
      <x:c r="J36" s="20" t="str">
        <x:v>Available pressure power</x:v>
      </x:c>
      <x:c r="K36" s="32" t="n">
        <x:f>H27</x:f>
        <x:v>1232.6635292851045</x:v>
      </x:c>
      <x:c r="L36" s="32" t="n">
        <x:f>H25</x:f>
        <x:v>1230.0989421738893</x:v>
      </x:c>
      <x:c r="M36" s="32" t="n">
        <x:f>H27</x:f>
        <x:v>1232.6635292851045</x:v>
      </x:c>
      <x:c r="N36" s="32" t="n">
        <x:f>H27-H25</x:f>
        <x:v>2.5645871112151326</x:v>
      </x:c>
      <x:c r="O36" s="20"/>
      <x:c r="P36" s="20" t="str">
        <x:v>kW</x:v>
      </x:c>
      <x:c r="Q36" s="20" t="str">
        <x:v>Qbrine×ΔP</x:v>
      </x:c>
      <x:c r="R36" s="20" t="str">
        <x:v>100% hydraulic ceiling</x:v>
      </x:c>
    </x:row>
    <x:row r="37" ht="39" customHeight="1">
      <x:c r="J37" s="20" t="str">
        <x:v>Equivalent recovered power</x:v>
      </x:c>
      <x:c r="K37" s="32" t="n">
        <x:f>I27</x:f>
        <x:v>1171.0303528208492</x:v>
      </x:c>
      <x:c r="L37" s="32" t="n">
        <x:f>I25</x:f>
        <x:v>1168.5939950651948</x:v>
      </x:c>
      <x:c r="M37" s="32" t="n">
        <x:f>I27</x:f>
        <x:v>1171.0303528208492</x:v>
      </x:c>
      <x:c r="N37" s="32" t="n">
        <x:f>I27-I25</x:f>
        <x:v>2.4363577556543987</x:v>
      </x:c>
      <x:c r="O37" s="20"/>
      <x:c r="P37" s="20" t="str">
        <x:v>kW</x:v>
      </x:c>
      <x:c r="Q37" s="20" t="str">
        <x:v>ηPX×QΔP</x:v>
      </x:c>
      <x:c r="R37" s="20" t="str">
        <x:v>Audit equivalent</x:v>
      </x:c>
    </x:row>
    <x:row r="38" ht="39" customHeight="1">
      <x:c r="J38" s="20" t="str">
        <x:v>Pump-train power</x:v>
      </x:c>
      <x:c r="K38" s="32" t="n">
        <x:f>L27</x:f>
        <x:v>1203.2527338084492</x:v>
      </x:c>
      <x:c r="L38" s="32" t="n">
        <x:f>L25</x:f>
        <x:v>1171.3079868200593</x:v>
      </x:c>
      <x:c r="M38" s="32" t="n">
        <x:f>L27</x:f>
        <x:v>1203.2527338084492</x:v>
      </x:c>
      <x:c r="N38" s="32" t="n">
        <x:f>L27-L25</x:f>
        <x:v>31.944746988389852</x:v>
      </x:c>
      <x:c r="O38" s="20"/>
      <x:c r="P38" s="20" t="str">
        <x:v>kW</x:v>
      </x:c>
      <x:c r="Q38" s="20" t="str">
        <x:v>P1+P2</x:v>
      </x:c>
      <x:c r="R38" s="20" t="str">
        <x:v>Excludes other auxiliaries</x:v>
      </x:c>
    </x:row>
    <x:row r="39" ht="39" customHeight="1">
      <x:c r="J39" s="20" t="str">
        <x:v>SEC</x:v>
      </x:c>
      <x:c r="K39" s="32" t="n">
        <x:f>M27</x:f>
        <x:v>2.9836237348334427</x:v>
      </x:c>
      <x:c r="L39" s="32" t="n">
        <x:f>M25</x:f>
        <x:v>2.9600588732413073</x:v>
      </x:c>
      <x:c r="M39" s="32" t="n">
        <x:f>M27</x:f>
        <x:v>2.9836237348334427</x:v>
      </x:c>
      <x:c r="N39" s="32" t="n">
        <x:f>M27-M25</x:f>
        <x:v>0.023564861592135333</x:v>
      </x:c>
      <x:c r="O39" s="20"/>
      <x:c r="P39" s="20" t="str">
        <x:v>kWh/m³</x:v>
      </x:c>
      <x:c r="Q39" s="20" t="str">
        <x:v>tool output</x:v>
      </x:c>
      <x:c r="R39" s="20" t="str">
        <x:v>Per product volume</x:v>
      </x:c>
    </x:row>
    <x:row r="40" ht="39" customHeight="1">
      <x:c r="J40" s="20" t="str">
        <x:v>Net plant power</x:v>
      </x:c>
      <x:c r="K40" s="32" t="n">
        <x:f>N27</x:f>
        <x:v>1393.9100075066838</x:v>
      </x:c>
      <x:c r="L40" s="32" t="n">
        <x:f>N25</x:f>
        <x:v>1358.6270959195822</x:v>
      </x:c>
      <x:c r="M40" s="32" t="n">
        <x:f>N27</x:f>
        <x:v>1393.9100075066838</x:v>
      </x:c>
      <x:c r="N40" s="32" t="n">
        <x:f>N27-N25</x:f>
        <x:v>35.28291158710158</x:v>
      </x:c>
      <x:c r="O40" s="20"/>
      <x:c r="P40" s="20" t="str">
        <x:v>kW</x:v>
      </x:c>
      <x:c r="Q40" s="20" t="str">
        <x:v>SEC×Qproduct</x:v>
      </x:c>
      <x:c r="R40" s="20" t="str">
        <x:v>Whole-plant basis</x:v>
      </x:c>
    </x:row>
    <x:row r="41" ht="39" customHeight="1">
      <x:c r="J41" s="20" t="str">
        <x:v>Annual energy change</x:v>
      </x:c>
      <x:c r="K41" s="32" t="n">
        <x:f>D27*M27*330</x:f>
        <x:v>11039767.259452935</x:v>
      </x:c>
      <x:c r="L41" s="32" t="n">
        <x:f>D25*M25*330</x:f>
        <x:v>10760326.59968309</x:v>
      </x:c>
      <x:c r="M41" s="32" t="n">
        <x:f>D27*M27*330</x:f>
        <x:v>11039767.259452935</x:v>
      </x:c>
      <x:c r="N41" s="32" t="n">
        <x:f>(D27*M27-D25*M25)*330</x:f>
        <x:v>279440.6597698463</x:v>
      </x:c>
      <x:c r="O41" s="20"/>
      <x:c r="P41" s="20" t="str">
        <x:v>kWh/y</x:v>
      </x:c>
      <x:c r="Q41" s="20" t="str">
        <x:v>Δ日耗电×330</x:v>
      </x:c>
      <x:c r="R41" s="20" t="str">
        <x:v>Positive means increase</x:v>
      </x:c>
    </x:row>
    <x:row r="44" ht="28" customHeight="1">
      <x:c r="A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B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C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D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E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F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G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H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I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J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K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L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M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N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O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P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Q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R44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</x:row>
    <x:row r="45" ht="28" customHeight="1">
      <x:c r="A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B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C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D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E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F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G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H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I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J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K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L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M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N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O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P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Q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R45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</x:row>
    <x:row r="46" ht="28" customHeight="1">
      <x:c r="A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B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C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D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E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F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G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H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I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J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K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L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M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N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O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P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Q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R46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</x:row>
    <x:row r="47" ht="28" customHeight="1">
      <x:c r="A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B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C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D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E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F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G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H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I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J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K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L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M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N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O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P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Q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R47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</x:row>
    <x:row r="48" ht="28" customHeight="1">
      <x:c r="A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B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C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D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E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F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G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H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I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J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K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L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M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N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O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P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Q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R48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</x:row>
    <x:row r="49" ht="28" customHeight="1">
      <x:c r="A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B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C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D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E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F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G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H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I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J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K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L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M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N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O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P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Q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R49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</x:row>
    <x:row r="50" ht="28" customHeight="1">
      <x:c r="A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B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C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D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E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F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G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H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I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J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K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L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M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N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O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P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Q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  <x:c r="R50" s="29" t="str">
        <x:v>Final conclusion
Minimum basic pressure is 67.6 bar(a) and minimum recommended pressure 68.5 bar(a). At the recommendation product=11212.49 m³/d, ERD differential=64.8 bar, available/equivalent recovered power=1232.66/1171.03 kW, P1/P2=1069.92/133.33 kW and SEC=2.983624 kWh/m³.
Minimum basic pressure 67.6 bar(a) and recommended 68.5 bar(a); more pressure raises production and ERD differential but also HPP power.</x:v>
      </x:c>
    </x:row>
  </x:sheetData>
  <x:mergeCells>
    <x:mergeCell ref="A1:V2"/>
    <x:mergeCell ref="A4:V6"/>
    <x:mergeCell ref="A8:G8"/>
    <x:mergeCell ref="A18:R18"/>
    <x:mergeCell ref="A31:H31"/>
    <x:mergeCell ref="J31:R31"/>
    <x:mergeCell ref="A44:R50"/>
  </x:mergeCells>
  <x:pageMargins left="0.7" right="0.7" top="0.75" bottom="0.75" header="0.3" footer="0.3"/>
  <x:drawing xmlns:r="http://schemas.openxmlformats.org/officeDocument/2006/relationships" r:id="Rfe5a8f3504984b9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N05: Trajectory Rubric (100 points)</x:v>
      </x:c>
      <x:c r="B1" s="4" t="str">
        <x:v>D3-3a N05: Trajectory Rubric (100 points)</x:v>
      </x:c>
      <x:c r="C1" s="4" t="str">
        <x:v>D3-3a N05: Trajectory Rubric (100 points)</x:v>
      </x:c>
      <x:c r="D1" s="4" t="str">
        <x:v>D3-3a N05: Trajectory Rubric (100 points)</x:v>
      </x:c>
      <x:c r="E1" s="4" t="str">
        <x:v>D3-3a N05: Trajectory Rubric (100 points)</x:v>
      </x:c>
      <x:c r="F1" s="4" t="str">
        <x:v>D3-3a N05: Trajectory Rubric (100 points)</x:v>
      </x:c>
      <x:c r="G1" s="4" t="str">
        <x:v>D3-3a N05: Trajectory Rubric (100 points)</x:v>
      </x:c>
    </x:row>
    <x:row r="2" ht="26" customHeight="1">
      <x:c r="A2" s="4" t="str">
        <x:v>D3-3a N05: Trajectory Rubric (100 points)</x:v>
      </x:c>
      <x:c r="B2" s="4" t="str">
        <x:v>D3-3a N05: Trajectory Rubric (100 points)</x:v>
      </x:c>
      <x:c r="C2" s="4" t="str">
        <x:v>D3-3a N05: Trajectory Rubric (100 points)</x:v>
      </x:c>
      <x:c r="D2" s="4" t="str">
        <x:v>D3-3a N05: Trajectory Rubric (100 points)</x:v>
      </x:c>
      <x:c r="E2" s="4" t="str">
        <x:v>D3-3a N05: Trajectory Rubric (100 points)</x:v>
      </x:c>
      <x:c r="F2" s="4" t="str">
        <x:v>D3-3a N05: Trajectory Rubric (100 points)</x:v>
      </x:c>
      <x:c r="G2" s="4" t="str">
        <x:v>D3-3a N05: Trajectory Rubric (100 points)</x:v>
      </x:c>
    </x:row>
    <x:row r="4">
      <x:c r="A4" s="25" t="str">
        <x:v>Evaluate whether the agent converts the field problem into a one-variable, two-criterion full-plant simulation and pressure-energy audit, while separating total pressure power, pump power, net plant power and SEC.</x:v>
      </x:c>
      <x:c r="B4" s="25" t="str">
        <x:v>Evaluate whether the agent converts the field problem into a one-variable, two-criterion full-plant simulation and pressure-energy audit, while separating total pressure power, pump power, net plant power and SEC.</x:v>
      </x:c>
      <x:c r="C4" s="25" t="str">
        <x:v>Evaluate whether the agent converts the field problem into a one-variable, two-criterion full-plant simulation and pressure-energy audit, while separating total pressure power, pump power, net plant power and SEC.</x:v>
      </x:c>
      <x:c r="D4" s="25" t="str">
        <x:v>Evaluate whether the agent converts the field problem into a one-variable, two-criterion full-plant simulation and pressure-energy audit, while separating total pressure power, pump power, net plant power and SEC.</x:v>
      </x:c>
      <x:c r="E4" s="25" t="str">
        <x:v>Evaluate whether the agent converts the field problem into a one-variable, two-criterion full-plant simulation and pressure-energy audit, while separating total pressure power, pump power, net plant power and SEC.</x:v>
      </x:c>
      <x:c r="F4" s="25" t="str">
        <x:v>Evaluate whether the agent converts the field problem into a one-variable, two-criterion full-plant simulation and pressure-energy audit, while separating total pressure power, pump power, net plant power and SEC.</x:v>
      </x:c>
      <x:c r="G4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5">
      <x:c r="A5" s="25" t="str">
        <x:v>Evaluate whether the agent converts the field problem into a one-variable, two-criterion full-plant simulation and pressure-energy audit, while separating total pressure power, pump power, net plant power and SEC.</x:v>
      </x:c>
      <x:c r="B5" s="25" t="str">
        <x:v>Evaluate whether the agent converts the field problem into a one-variable, two-criterion full-plant simulation and pressure-energy audit, while separating total pressure power, pump power, net plant power and SEC.</x:v>
      </x:c>
      <x:c r="C5" s="25" t="str">
        <x:v>Evaluate whether the agent converts the field problem into a one-variable, two-criterion full-plant simulation and pressure-energy audit, while separating total pressure power, pump power, net plant power and SEC.</x:v>
      </x:c>
      <x:c r="D5" s="25" t="str">
        <x:v>Evaluate whether the agent converts the field problem into a one-variable, two-criterion full-plant simulation and pressure-energy audit, while separating total pressure power, pump power, net plant power and SEC.</x:v>
      </x:c>
      <x:c r="E5" s="25" t="str">
        <x:v>Evaluate whether the agent converts the field problem into a one-variable, two-criterion full-plant simulation and pressure-energy audit, while separating total pressure power, pump power, net plant power and SEC.</x:v>
      </x:c>
      <x:c r="F5" s="25" t="str">
        <x:v>Evaluate whether the agent converts the field problem into a one-variable, two-criterion full-plant simulation and pressure-energy audit, while separating total pressure power, pump power, net plant power and SEC.</x:v>
      </x:c>
      <x:c r="G5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6">
      <x:c r="A6" s="25" t="str">
        <x:v>Evaluate whether the agent converts the field problem into a one-variable, two-criterion full-plant simulation and pressure-energy audit, while separating total pressure power, pump power, net plant power and SEC.</x:v>
      </x:c>
      <x:c r="B6" s="25" t="str">
        <x:v>Evaluate whether the agent converts the field problem into a one-variable, two-criterion full-plant simulation and pressure-energy audit, while separating total pressure power, pump power, net plant power and SEC.</x:v>
      </x:c>
      <x:c r="C6" s="25" t="str">
        <x:v>Evaluate whether the agent converts the field problem into a one-variable, two-criterion full-plant simulation and pressure-energy audit, while separating total pressure power, pump power, net plant power and SEC.</x:v>
      </x:c>
      <x:c r="D6" s="25" t="str">
        <x:v>Evaluate whether the agent converts the field problem into a one-variable, two-criterion full-plant simulation and pressure-energy audit, while separating total pressure power, pump power, net plant power and SEC.</x:v>
      </x:c>
      <x:c r="E6" s="25" t="str">
        <x:v>Evaluate whether the agent converts the field problem into a one-variable, two-criterion full-plant simulation and pressure-energy audit, while separating total pressure power, pump power, net plant power and SEC.</x:v>
      </x:c>
      <x:c r="F6" s="25" t="str">
        <x:v>Evaluate whether the agent converts the field problem into a one-variable, two-criterion full-plant simulation and pressure-energy audit, while separating total pressure power, pump power, net plant power and SEC.</x:v>
      </x:c>
      <x:c r="G6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0" customHeight="1">
      <x:c r="A9" s="20" t="str">
        <x:v>TQ1 State</x:v>
      </x:c>
      <x:c r="B9" s="20" t="str">
        <x:v>Identify sole variable and two criteria</x:v>
      </x:c>
      <x:c r="C9" s="20" t="str">
        <x:v>Vary only P1 outlet pressure; criteria and direction correct</x:v>
      </x:c>
      <x:c r="D9" s="20" t="str">
        <x:v>Main goal right but strict level mixed</x:v>
      </x:c>
      <x:c r="E9" s="20" t="str">
        <x:v>Changes fixed inputs or wrong direction</x:v>
      </x:c>
      <x:c r="F9" s="20" t="n">
        <x:v>15</x:v>
      </x:c>
      <x:c r="G9" s="20"/>
    </x:row>
    <x:row r="10" ht="70" customHeight="1">
      <x:c r="A10" s="20" t="str">
        <x:v>TQ2 Planning</x:v>
      </x:c>
      <x:c r="B10" s="20" t="str">
        <x:v>Bracket then prove adjacent points</x:v>
      </x:c>
      <x:c r="C10" s="20" t="str">
        <x:v>Complete both limits/sides at 0.1 bar</x:v>
      </x:c>
      <x:c r="D10" s="20" t="str">
        <x:v>Limits approximate but one adjacent pair missing</x:v>
      </x:c>
      <x:c r="E10" s="20" t="str">
        <x:v>Guess or brute-force full grid</x:v>
      </x:c>
      <x:c r="F10" s="20" t="n">
        <x:v>15</x:v>
      </x:c>
      <x:c r="G10" s="20"/>
    </x:row>
    <x:row r="11" ht="70" customHeight="1">
      <x:c r="A11" s="20" t="str">
        <x:v>TQ3 Tool calls</x:v>
      </x:c>
      <x:c r="B11" s="20" t="str">
        <x:v>Correct tool, parameter domain and units</x:v>
      </x:c>
      <x:c r="C11" s="20" t="str">
        <x:v>Use simulate_swro_system and hold invariants</x:v>
      </x:c>
      <x:c r="D11" s="20" t="str">
        <x:v>Minor noncritical deviations</x:v>
      </x:c>
      <x:c r="E11" s="20" t="str">
        <x:v>Use simulate_ro for plant energy or wrong units</x:v>
      </x:c>
      <x:c r="F11" s="20" t="n">
        <x:v>20</x:v>
      </x:c>
      <x:c r="G11" s="20"/>
    </x:row>
    <x:row r="12" ht="70" customHeight="1">
      <x:c r="A12" s="20" t="str">
        <x:v>TQ4 Pressure-energy audit</x:v>
      </x:c>
      <x:c r="B12" s="20" t="str">
        <x:v>Correct brine flow, differential and power</x:v>
      </x:c>
      <x:c r="C12" s="20" t="str">
        <x:v>Qbrine=Qfeed−Qp; P=QΔP; equivalent recovery=ηPX·P</x:v>
      </x:c>
      <x:c r="D12" s="20" t="str">
        <x:v>Approximately right but power bases mixed</x:v>
      </x:c>
      <x:c r="E12" s="20" t="str">
        <x:v>Use feed instead of brine, miss conversion or treat PX as shaft power</x:v>
      </x:c>
      <x:c r="F12" s="20" t="n">
        <x:v>20</x:v>
      </x:c>
      <x:c r="G12" s="20"/>
    </x:row>
    <x:row r="13" ht="70" customHeight="1">
      <x:c r="A13" s="20" t="str">
        <x:v>TQ5 Observation</x:v>
      </x:c>
      <x:c r="B13" s="20" t="str">
        <x:v>Explain different effects on product, P1/P2 and SEC</x:v>
      </x:c>
      <x:c r="C13" s="20" t="str">
        <x:v>Minimum basic pressure 67.6 bar(a) and recommended 68.5 bar(a); more pressure raises production and ERD differential but also HPP power.</x:v>
      </x:c>
      <x:c r="D13" s="20" t="str">
        <x:v>Observation right but explanation incomplete</x:v>
      </x:c>
      <x:c r="E13" s="20" t="str">
        <x:v>Equate larger total recovery directly with lower SEC</x:v>
      </x:c>
      <x:c r="F13" s="20" t="n">
        <x:v>20</x:v>
      </x:c>
      <x:c r="G13" s="20"/>
    </x:row>
    <x:row r="14" ht="70" customHeight="1">
      <x:c r="A14" s="20" t="str">
        <x:v>TQ6 Decision</x:v>
      </x:c>
      <x:c r="B14" s="20" t="str">
        <x:v>Give actionable boundary and conclusion</x:v>
      </x:c>
      <x:c r="C14" s="20" t="str">
        <x:v>Minimum basic pressure is 67.6 bar(a) and minimum recommended pressure 68.5 bar(a). At the recommendation product=11212.49 m³/d, ERD differential=64.8 bar, available/equivalent recovered power=1232.66/1171.03 kW, P1/P2=1069.92/133.33 kW and SEC=2.983624 kWh/m³.</x:v>
      </x:c>
      <x:c r="D14" s="20" t="str">
        <x:v>Main values right but one key energy metric missing</x:v>
      </x:c>
      <x:c r="E14" s="20" t="str">
        <x:v>Wrong recommendation or no adjacent proof</x:v>
      </x:c>
      <x:c r="F14" s="20" t="n">
        <x:v>10</x:v>
      </x:c>
      <x:c r="G14" s="20"/>
    </x:row>
    <x:row r="17">
      <x:c r="A17" s="11" t="str">
        <x:v>Pattern calibration</x:v>
      </x:c>
      <x:c r="B17" s="11" t="str">
        <x:v>Pattern calibration</x:v>
      </x:c>
      <x:c r="C17" s="11" t="str">
        <x:v>Pattern calibration</x:v>
      </x:c>
      <x:c r="D17" s="11" t="str">
        <x:v>Pattern calibration</x:v>
      </x:c>
      <x:c r="E17" s="11" t="str">
        <x:v>Pattern calibration</x:v>
      </x:c>
      <x:c r="F17" s="11" t="str">
        <x:v>Pattern calibration</x:v>
      </x:c>
      <x:c r="G17" s="11" t="str">
        <x:v>Pattern calibration</x:v>
      </x:c>
    </x:row>
    <x:row r="18" ht="46" customHeight="1">
      <x:c r="A18" s="20" t="str">
        <x:v>Core pattern</x:v>
      </x:c>
      <x:c r="B18" s="20" t="str">
        <x:v>Plant simulation→one variable/two criteria→adjacent proof→pressure-energy audit→decision</x:v>
      </x:c>
      <x:c r="C18" s="20"/>
      <x:c r="D18" s="20"/>
      <x:c r="E18" s="20"/>
      <x:c r="F18" s="20"/>
      <x:c r="G18" s="20"/>
    </x:row>
    <x:row r="19" ht="46" customHeight="1">
      <x:c r="A19" s="20" t="str">
        <x:v>Key distinction</x:v>
      </x:c>
      <x:c r="B19" s="20" t="str">
        <x:v>ηQΔP is an audit equivalent, not PX shaft power or net saving</x:v>
      </x:c>
      <x:c r="C19" s="20"/>
      <x:c r="D19" s="20"/>
      <x:c r="E19" s="20"/>
      <x:c r="F19" s="20"/>
      <x:c r="G19" s="20"/>
    </x:row>
    <x:row r="20" ht="46" customHeight="1">
      <x:c r="A20" s="20" t="str">
        <x:v>Tolerance</x:v>
      </x:c>
      <x:c r="B20" s="20" t="str">
        <x:v>0.1 bar</x:v>
      </x:c>
      <x:c r="C20" s="20" t="str">
        <x:v>Power ±0.5 kW; SEC ±0.002 kWh/m³</x:v>
      </x:c>
      <x:c r="D20" s="20"/>
      <x:c r="E20" s="20"/>
      <x:c r="F20" s="20"/>
      <x:c r="G20" s="20"/>
    </x:row>
    <x:row r="21" ht="46" customHeight="1">
      <x:c r="A21" s="20" t="str">
        <x:v>Tool evidence</x:v>
      </x:c>
      <x:c r="B21" s="20" t="str">
        <x:v>Gold Answer records 8 actual calls</x:v>
      </x:c>
      <x:c r="C21" s="20"/>
      <x:c r="D21" s="20"/>
      <x:c r="E21" s="20"/>
      <x:c r="F21" s="20"/>
      <x:c r="G21" s="20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0" hidden="0" customWidth="1"/>
  </x:cols>
  <x:sheetData>
    <x:row r="1" ht="26" customHeight="1">
      <x:c r="A1" s="4" t="str">
        <x:v>D3-3a N05: Tool-Efficiency Rubric (100 points)</x:v>
      </x:c>
      <x:c r="B1" s="4" t="str">
        <x:v>D3-3a N05: Tool-Efficiency Rubric (100 points)</x:v>
      </x:c>
      <x:c r="C1" s="4" t="str">
        <x:v>D3-3a N05: Tool-Efficiency Rubric (100 points)</x:v>
      </x:c>
      <x:c r="D1" s="4" t="str">
        <x:v>D3-3a N05: Tool-Efficiency Rubric (100 points)</x:v>
      </x:c>
      <x:c r="E1" s="4" t="str">
        <x:v>D3-3a N05: Tool-Efficiency Rubric (100 points)</x:v>
      </x:c>
      <x:c r="F1" s="4" t="str">
        <x:v>D3-3a N05: Tool-Efficiency Rubric (100 points)</x:v>
      </x:c>
      <x:c r="G1" s="4" t="str">
        <x:v>D3-3a N05: Tool-Efficiency Rubric (100 points)</x:v>
      </x:c>
    </x:row>
    <x:row r="2" ht="26" customHeight="1">
      <x:c r="A2" s="4" t="str">
        <x:v>D3-3a N05: Tool-Efficiency Rubric (100 points)</x:v>
      </x:c>
      <x:c r="B2" s="4" t="str">
        <x:v>D3-3a N05: Tool-Efficiency Rubric (100 points)</x:v>
      </x:c>
      <x:c r="C2" s="4" t="str">
        <x:v>D3-3a N05: Tool-Efficiency Rubric (100 points)</x:v>
      </x:c>
      <x:c r="D2" s="4" t="str">
        <x:v>D3-3a N05: Tool-Efficiency Rubric (100 points)</x:v>
      </x:c>
      <x:c r="E2" s="4" t="str">
        <x:v>D3-3a N05: Tool-Efficiency Rubric (100 points)</x:v>
      </x:c>
      <x:c r="F2" s="4" t="str">
        <x:v>D3-3a N05: Tool-Efficiency Rubric (100 points)</x:v>
      </x:c>
      <x:c r="G2" s="4" t="str">
        <x:v>D3-3a N05: Tool-Efficiency Rubric (100 points)</x:v>
      </x:c>
    </x:row>
    <x:row r="4">
      <x:c r="A4" s="25" t="str">
        <x:v>The reference path uses 8 valid simulate_swro_system calls. Score information gain, feedback-driven iteration, adjacent evidence and timely stopping rather than exact sequence matching.</x:v>
      </x:c>
      <x:c r="B4" s="25" t="str">
        <x:v>The reference path uses 8 valid simulate_swro_system calls. Score information gain, feedback-driven iteration, adjacent evidence and timely stopping rather than exact sequence matching.</x:v>
      </x:c>
      <x:c r="C4" s="25" t="str">
        <x:v>The reference path uses 8 valid simulate_swro_system calls. Score information gain, feedback-driven iteration, adjacent evidence and timely stopping rather than exact sequence matching.</x:v>
      </x:c>
      <x:c r="D4" s="25" t="str">
        <x:v>The reference path uses 8 valid simulate_swro_system calls. Score information gain, feedback-driven iteration, adjacent evidence and timely stopping rather than exact sequence matching.</x:v>
      </x:c>
      <x:c r="E4" s="25" t="str">
        <x:v>The reference path uses 8 valid simulate_swro_system calls. Score information gain, feedback-driven iteration, adjacent evidence and timely stopping rather than exact sequence matching.</x:v>
      </x:c>
      <x:c r="F4" s="25" t="str">
        <x:v>The reference path uses 8 valid simulate_swro_system calls. Score information gain, feedback-driven iteration, adjacent evidence and timely stopping rather than exact sequence matching.</x:v>
      </x:c>
      <x:c r="G4" s="25" t="str">
        <x:v>The reference path uses 8 valid simulate_swro_system calls. Score information gain, feedback-driven iteration, adjacent evidence and timely stopping rather than exact sequence matching.</x:v>
      </x:c>
    </x:row>
    <x:row r="5">
      <x:c r="A5" s="25" t="str">
        <x:v>The reference path uses 8 valid simulate_swro_system calls. Score information gain, feedback-driven iteration, adjacent evidence and timely stopping rather than exact sequence matching.</x:v>
      </x:c>
      <x:c r="B5" s="25" t="str">
        <x:v>The reference path uses 8 valid simulate_swro_system calls. Score information gain, feedback-driven iteration, adjacent evidence and timely stopping rather than exact sequence matching.</x:v>
      </x:c>
      <x:c r="C5" s="25" t="str">
        <x:v>The reference path uses 8 valid simulate_swro_system calls. Score information gain, feedback-driven iteration, adjacent evidence and timely stopping rather than exact sequence matching.</x:v>
      </x:c>
      <x:c r="D5" s="25" t="str">
        <x:v>The reference path uses 8 valid simulate_swro_system calls. Score information gain, feedback-driven iteration, adjacent evidence and timely stopping rather than exact sequence matching.</x:v>
      </x:c>
      <x:c r="E5" s="25" t="str">
        <x:v>The reference path uses 8 valid simulate_swro_system calls. Score information gain, feedback-driven iteration, adjacent evidence and timely stopping rather than exact sequence matching.</x:v>
      </x:c>
      <x:c r="F5" s="25" t="str">
        <x:v>The reference path uses 8 valid simulate_swro_system calls. Score information gain, feedback-driven iteration, adjacent evidence and timely stopping rather than exact sequence matching.</x:v>
      </x:c>
      <x:c r="G5" s="25" t="str">
        <x:v>The reference path uses 8 valid simulate_swro_system calls. Score information gain, feedback-driven iteration, adjacent evidence and timely stopping rather than exact sequence matching.</x:v>
      </x:c>
    </x:row>
    <x:row r="6">
      <x:c r="A6" s="25" t="str">
        <x:v>The reference path uses 8 valid simulate_swro_system calls. Score information gain, feedback-driven iteration, adjacent evidence and timely stopping rather than exact sequence matching.</x:v>
      </x:c>
      <x:c r="B6" s="25" t="str">
        <x:v>The reference path uses 8 valid simulate_swro_system calls. Score information gain, feedback-driven iteration, adjacent evidence and timely stopping rather than exact sequence matching.</x:v>
      </x:c>
      <x:c r="C6" s="25" t="str">
        <x:v>The reference path uses 8 valid simulate_swro_system calls. Score information gain, feedback-driven iteration, adjacent evidence and timely stopping rather than exact sequence matching.</x:v>
      </x:c>
      <x:c r="D6" s="25" t="str">
        <x:v>The reference path uses 8 valid simulate_swro_system calls. Score information gain, feedback-driven iteration, adjacent evidence and timely stopping rather than exact sequence matching.</x:v>
      </x:c>
      <x:c r="E6" s="25" t="str">
        <x:v>The reference path uses 8 valid simulate_swro_system calls. Score information gain, feedback-driven iteration, adjacent evidence and timely stopping rather than exact sequence matching.</x:v>
      </x:c>
      <x:c r="F6" s="25" t="str">
        <x:v>The reference path uses 8 valid simulate_swro_system calls. Score information gain, feedback-driven iteration, adjacent evidence and timely stopping rather than exact sequence matching.</x:v>
      </x:c>
      <x:c r="G6" s="25" t="str">
        <x:v>The reference path uses 8 valid simulate_swro_system calls. Score information gain, feedback-driven iteration, adjacent evidence and timely stopping rather than exact sequence matching.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0" t="str">
        <x:v>E1 Tool choice</x:v>
      </x:c>
      <x:c r="B9" s="20" t="str">
        <x:v>Use full-plant tool</x:v>
      </x:c>
      <x:c r="C9" s="20" t="str">
        <x:v>Primarily simulate_swro_system</x:v>
      </x:c>
      <x:c r="D9" s="20" t="str">
        <x:v>A few irrelevant metadata calls</x:v>
      </x:c>
      <x:c r="E9" s="20" t="str">
        <x:v>Use single-membrane tool for plant SEC</x:v>
      </x:c>
      <x:c r="F9" s="20" t="str">
        <x:v>P1 outlet pressure</x:v>
      </x:c>
      <x:c r="G9" s="20" t="n">
        <x:v>20</x:v>
      </x:c>
    </x:row>
    <x:row r="10" ht="72" customHeight="1">
      <x:c r="A10" s="20" t="str">
        <x:v>E2 Information gain</x:v>
      </x:c>
      <x:c r="B10" s="20" t="str">
        <x:v>Establish direction and bracket first</x:v>
      </x:c>
      <x:c r="C10" s="20" t="str">
        <x:v>Endpoints/coarse points before final resolution</x:v>
      </x:c>
      <x:c r="D10" s="20" t="str">
        <x:v>One or two low-information points</x:v>
      </x:c>
      <x:c r="E10" s="20" t="str">
        <x:v>Dense full-range scan first</x:v>
      </x:c>
      <x:c r="F10" s="20" t="str">
        <x:v>62→73→65→69</x:v>
      </x:c>
      <x:c r="G10" s="20" t="n">
        <x:v>20</x:v>
      </x:c>
    </x:row>
    <x:row r="11" ht="72" customHeight="1">
      <x:c r="A11" s="20" t="str">
        <x:v>E3 Adaptive iteration</x:v>
      </x:c>
      <x:c r="B11" s="20" t="str">
        <x:v>Choose next point from feedback</x:v>
      </x:c>
      <x:c r="C11" s="20" t="str">
        <x:v>Lock criterion 1, then switch to criterion 2 or opposite diagnostic side</x:v>
      </x:c>
      <x:c r="D11" s="20" t="str">
        <x:v>Partly preset enumeration</x:v>
      </x:c>
      <x:c r="E11" s="20" t="str">
        <x:v>Sequence ignores results</x:v>
      </x:c>
      <x:c r="F11" s="20" t="str">
        <x:v>67.5/67.6; 68.4/68.5</x:v>
      </x:c>
      <x:c r="G11" s="20" t="n">
        <x:v>20</x:v>
      </x:c>
    </x:row>
    <x:row r="12" ht="72" customHeight="1">
      <x:c r="A12" s="20" t="str">
        <x:v>E4 Pruning</x:v>
      </x:c>
      <x:c r="B12" s="20" t="str">
        <x:v>Stop resolved branches</x:v>
      </x:c>
      <x:c r="C12" s="20" t="str">
        <x:v>Stop after adjacent proof; no equivalent repeats</x:v>
      </x:c>
      <x:c r="D12" s="20" t="str">
        <x:v>One or two confirmations</x:v>
      </x:c>
      <x:c r="E12" s="20" t="str">
        <x:v>Keep testing eliminated regions</x:v>
      </x:c>
      <x:c r="F12" s="20" t="str">
        <x:v>0.1 bar</x:v>
      </x:c>
      <x:c r="G12" s="20" t="n">
        <x:v>20</x:v>
      </x:c>
    </x:row>
    <x:row r="13" ht="72" customHeight="1">
      <x:c r="A13" s="20" t="str">
        <x:v>E5 Convergence</x:v>
      </x:c>
      <x:c r="B13" s="20" t="str">
        <x:v>Complete pressure audit within rational budget</x:v>
      </x:c>
      <x:c r="C13" s="20" t="str">
        <x:v>About 7–9 calls with complete evidence</x:v>
      </x:c>
      <x:c r="D13" s="20" t="str">
        <x:v>10–12 with minor redundancy</x:v>
      </x:c>
      <x:c r="E13" s="20" t="str">
        <x:v>Large enumeration or too few calls to prove result</x:v>
      </x:c>
      <x:c r="F13" s="20" t="str">
        <x:v>Reference 8 calls</x:v>
      </x:c>
      <x:c r="G13" s="20" t="n">
        <x:v>20</x:v>
      </x:c>
    </x:row>
    <x:row r="15">
      <x:c r="F15" s="39" t="str">
        <x:v>Tool-efficiency total</x:v>
      </x:c>
      <x:c r="G15" s="39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