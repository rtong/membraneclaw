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d64321ab5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4241926780a443f2"/>
    <x:sheet xmlns:r="http://schemas.openxmlformats.org/officeDocument/2006/relationships" name="Gold_Answer_A" sheetId="2" r:id="Re8855bde24b3482a"/>
    <x:sheet xmlns:r="http://schemas.openxmlformats.org/officeDocument/2006/relationships" name="Trajectory_Rubric" sheetId="3" r:id="R60701ed823de4a27"/>
    <x:sheet xmlns:r="http://schemas.openxmlformats.org/officeDocument/2006/relationships" name="Tool_Efficiency" sheetId="4" r:id="Rd90083b98aef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"/>
    <x:numFmt numFmtId="202" formatCode="0.000000"/>
    <x:numFmt numFmtId="203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c57e37a874bb9" /><Relationship Type="http://schemas.openxmlformats.org/officeDocument/2006/relationships/theme" Target="/xl/theme/theme1.xml" Id="R8f510147d7a0447b" /><Relationship Type="http://schemas.openxmlformats.org/officeDocument/2006/relationships/sharedStrings" Target="/xl/sharedStrings.xml" Id="Rbd29a85632164fbc" /><Relationship Type="http://schemas.openxmlformats.org/officeDocument/2006/relationships/worksheet" Target="/xl/worksheets/sheet1.xml" Id="R4241926780a443f2" /><Relationship Type="http://schemas.openxmlformats.org/officeDocument/2006/relationships/worksheet" Target="/xl/worksheets/sheet2.xml" Id="Re8855bde24b3482a" /><Relationship Type="http://schemas.openxmlformats.org/officeDocument/2006/relationships/worksheet" Target="/xl/worksheets/sheet3.xml" Id="R60701ed823de4a27" /><Relationship Type="http://schemas.openxmlformats.org/officeDocument/2006/relationships/worksheet" Target="/xl/worksheets/sheet4.xml" Id="Rd90083b98aef48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a4836c95b440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Feed TDS—key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 m³/d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'Gold_Answer_A'!$U$20:$U$27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'Gold_Answer_A'!$V$20:$V$27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a4836c95b4409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a81f1a2f7ee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N04: Maximum TDS During a Salinity Intrusion and the Brine-Energy Paradox</x:v>
      </x:c>
      <x:c r="B1" s="4" t="str">
        <x:v>D3-3a N04: Maximum TDS During a Salinity Intrusion and the Brine-Energy Paradox</x:v>
      </x:c>
      <x:c r="C1" s="4" t="str">
        <x:v>D3-3a N04: Maximum TDS During a Salinity Intrusion and the Brine-Energy Paradox</x:v>
      </x:c>
      <x:c r="D1" s="4" t="str">
        <x:v>D3-3a N04: Maximum TDS During a Salinity Intrusion and the Brine-Energy Paradox</x:v>
      </x:c>
      <x:c r="E1" s="4" t="str">
        <x:v>D3-3a N04: Maximum TDS During a Salinity Intrusion and the Brine-Energy Paradox</x:v>
      </x:c>
      <x:c r="F1" s="4" t="str">
        <x:v>D3-3a N04: Maximum TDS During a Salinity Intrusion and the Brine-Energy Paradox</x:v>
      </x:c>
      <x:c r="G1" s="4" t="str">
        <x:v>D3-3a N04: Maximum TDS During a Salinity Intrusion and the Brine-Energy Paradox</x:v>
      </x:c>
      <x:c r="H1" s="4" t="str">
        <x:v>D3-3a N04: Maximum TDS During a Salinity Intrusion and the Brine-Energy Paradox</x:v>
      </x:c>
    </x:row>
    <x:row r="2" ht="26" customHeight="1">
      <x:c r="A2" s="4" t="str">
        <x:v>D3-3a N04: Maximum TDS During a Salinity Intrusion and the Brine-Energy Paradox</x:v>
      </x:c>
      <x:c r="B2" s="4" t="str">
        <x:v>D3-3a N04: Maximum TDS During a Salinity Intrusion and the Brine-Energy Paradox</x:v>
      </x:c>
      <x:c r="C2" s="4" t="str">
        <x:v>D3-3a N04: Maximum TDS During a Salinity Intrusion and the Brine-Energy Paradox</x:v>
      </x:c>
      <x:c r="D2" s="4" t="str">
        <x:v>D3-3a N04: Maximum TDS During a Salinity Intrusion and the Brine-Energy Paradox</x:v>
      </x:c>
      <x:c r="E2" s="4" t="str">
        <x:v>D3-3a N04: Maximum TDS During a Salinity Intrusion and the Brine-Energy Paradox</x:v>
      </x:c>
      <x:c r="F2" s="4" t="str">
        <x:v>D3-3a N04: Maximum TDS During a Salinity Intrusion and the Brine-Energy Paradox</x:v>
      </x:c>
      <x:c r="G2" s="4" t="str">
        <x:v>D3-3a N04: Maximum TDS During a Salinity Intrusion and the Brine-Energy Paradox</x:v>
      </x:c>
      <x:c r="H2" s="4" t="str">
        <x:v>D3-3a N04: Maximum TDS During a Salinity Intrusion and the Brine-Energy Paradox</x:v>
      </x:c>
    </x:row>
    <x:row r="4" ht="25" customHeight="1">
      <x:c r="A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B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C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D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E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F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G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H4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</x:row>
    <x:row r="5" ht="25" customHeight="1">
      <x:c r="A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B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C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D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E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F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G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H5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</x:row>
    <x:row r="6" ht="25" customHeight="1">
      <x:c r="A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B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C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D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E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F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G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H6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</x:row>
    <x:row r="7" ht="25" customHeight="1">
      <x:c r="A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B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C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D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E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F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G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H7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</x:row>
    <x:row r="8" ht="25" customHeight="1">
      <x:c r="A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B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C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D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E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F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G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  <x:c r="H8" s="8" t="str">
        <x:v>A high-salinity plume reaches the intake while pressure and PX configuration cannot be changed. Hold flow, membrane area, P1 pressure and efficiencies fixed; vary only feed_tds_g_L. Find the maximum basic TDS meeting product≥10,200 m³/d and SEC≤3.08 kWh/m³, and the maximum recommended TDS meeting product≥10,500 m³/d and SEC≤3.04 kWh/m³; prove both with adjacent 0.1 g/L points. Report brine flow, available pressure power, equivalent recovered power and net energy at the recommendation, and explain why higher TDS increases total recoverable brine power yet worsens unit product energy.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Fixed</x:v>
      </x:c>
      <x:c r="F12" s="20" t="str">
        <x:v>Criterion 1</x:v>
      </x:c>
      <x:c r="G12" s="20" t="str">
        <x:v>Product≥10,200 and SEC≤3.08</x:v>
      </x:c>
      <x:c r="H12" s="20" t="str">
        <x:v>0.1 g/L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Decision variable</x:v>
      </x:c>
      <x:c r="F13" s="20" t="str">
        <x:v>Criterion 2</x:v>
      </x:c>
      <x:c r="G13" s="20" t="str">
        <x:v>Product≥10,500 and SEC≤3.04</x:v>
      </x:c>
      <x:c r="H13" s="20" t="str">
        <x:v>0.1 g/L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Feed TDS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Maximize tolerable TDS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Fixed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Fixed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Fixed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Fixed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N04: Stepwise Gold Answer — Maximum TDS During a Salinity Intrusion and the Brine-Energy Paradox</x:v>
      </x:c>
      <x:c r="B1" s="4" t="str">
        <x:v>D3-3a N04: Stepwise Gold Answer — Maximum TDS During a Salinity Intrusion and the Brine-Energy Paradox</x:v>
      </x:c>
      <x:c r="C1" s="4" t="str">
        <x:v>D3-3a N04: Stepwise Gold Answer — Maximum TDS During a Salinity Intrusion and the Brine-Energy Paradox</x:v>
      </x:c>
      <x:c r="D1" s="4" t="str">
        <x:v>D3-3a N04: Stepwise Gold Answer — Maximum TDS During a Salinity Intrusion and the Brine-Energy Paradox</x:v>
      </x:c>
      <x:c r="E1" s="4" t="str">
        <x:v>D3-3a N04: Stepwise Gold Answer — Maximum TDS During a Salinity Intrusion and the Brine-Energy Paradox</x:v>
      </x:c>
      <x:c r="F1" s="4" t="str">
        <x:v>D3-3a N04: Stepwise Gold Answer — Maximum TDS During a Salinity Intrusion and the Brine-Energy Paradox</x:v>
      </x:c>
      <x:c r="G1" s="4" t="str">
        <x:v>D3-3a N04: Stepwise Gold Answer — Maximum TDS During a Salinity Intrusion and the Brine-Energy Paradox</x:v>
      </x:c>
      <x:c r="H1" s="4" t="str">
        <x:v>D3-3a N04: Stepwise Gold Answer — Maximum TDS During a Salinity Intrusion and the Brine-Energy Paradox</x:v>
      </x:c>
      <x:c r="I1" s="4" t="str">
        <x:v>D3-3a N04: Stepwise Gold Answer — Maximum TDS During a Salinity Intrusion and the Brine-Energy Paradox</x:v>
      </x:c>
      <x:c r="J1" s="4" t="str">
        <x:v>D3-3a N04: Stepwise Gold Answer — Maximum TDS During a Salinity Intrusion and the Brine-Energy Paradox</x:v>
      </x:c>
      <x:c r="K1" s="4" t="str">
        <x:v>D3-3a N04: Stepwise Gold Answer — Maximum TDS During a Salinity Intrusion and the Brine-Energy Paradox</x:v>
      </x:c>
      <x:c r="L1" s="4" t="str">
        <x:v>D3-3a N04: Stepwise Gold Answer — Maximum TDS During a Salinity Intrusion and the Brine-Energy Paradox</x:v>
      </x:c>
      <x:c r="M1" s="4" t="str">
        <x:v>D3-3a N04: Stepwise Gold Answer — Maximum TDS During a Salinity Intrusion and the Brine-Energy Paradox</x:v>
      </x:c>
      <x:c r="N1" s="4" t="str">
        <x:v>D3-3a N04: Stepwise Gold Answer — Maximum TDS During a Salinity Intrusion and the Brine-Energy Paradox</x:v>
      </x:c>
      <x:c r="O1" s="4" t="str">
        <x:v>D3-3a N04: Stepwise Gold Answer — Maximum TDS During a Salinity Intrusion and the Brine-Energy Paradox</x:v>
      </x:c>
      <x:c r="P1" s="4" t="str">
        <x:v>D3-3a N04: Stepwise Gold Answer — Maximum TDS During a Salinity Intrusion and the Brine-Energy Paradox</x:v>
      </x:c>
      <x:c r="Q1" s="4" t="str">
        <x:v>D3-3a N04: Stepwise Gold Answer — Maximum TDS During a Salinity Intrusion and the Brine-Energy Paradox</x:v>
      </x:c>
      <x:c r="R1" s="4" t="str">
        <x:v>D3-3a N04: Stepwise Gold Answer — Maximum TDS During a Salinity Intrusion and the Brine-Energy Paradox</x:v>
      </x:c>
      <x:c r="S1" s="4" t="str">
        <x:v>D3-3a N04: Stepwise Gold Answer — Maximum TDS During a Salinity Intrusion and the Brine-Energy Paradox</x:v>
      </x:c>
      <x:c r="T1" s="4" t="str">
        <x:v>D3-3a N04: Stepwise Gold Answer — Maximum TDS During a Salinity Intrusion and the Brine-Energy Paradox</x:v>
      </x:c>
      <x:c r="U1" s="4" t="str">
        <x:v>D3-3a N04: Stepwise Gold Answer — Maximum TDS During a Salinity Intrusion and the Brine-Energy Paradox</x:v>
      </x:c>
      <x:c r="V1" s="4" t="str">
        <x:v>D3-3a N04: Stepwise Gold Answer — Maximum TDS During a Salinity Intrusion and the Brine-Energy Paradox</x:v>
      </x:c>
    </x:row>
    <x:row r="2" ht="26" customHeight="1">
      <x:c r="A2" s="4" t="str">
        <x:v>D3-3a N04: Stepwise Gold Answer — Maximum TDS During a Salinity Intrusion and the Brine-Energy Paradox</x:v>
      </x:c>
      <x:c r="B2" s="4" t="str">
        <x:v>D3-3a N04: Stepwise Gold Answer — Maximum TDS During a Salinity Intrusion and the Brine-Energy Paradox</x:v>
      </x:c>
      <x:c r="C2" s="4" t="str">
        <x:v>D3-3a N04: Stepwise Gold Answer — Maximum TDS During a Salinity Intrusion and the Brine-Energy Paradox</x:v>
      </x:c>
      <x:c r="D2" s="4" t="str">
        <x:v>D3-3a N04: Stepwise Gold Answer — Maximum TDS During a Salinity Intrusion and the Brine-Energy Paradox</x:v>
      </x:c>
      <x:c r="E2" s="4" t="str">
        <x:v>D3-3a N04: Stepwise Gold Answer — Maximum TDS During a Salinity Intrusion and the Brine-Energy Paradox</x:v>
      </x:c>
      <x:c r="F2" s="4" t="str">
        <x:v>D3-3a N04: Stepwise Gold Answer — Maximum TDS During a Salinity Intrusion and the Brine-Energy Paradox</x:v>
      </x:c>
      <x:c r="G2" s="4" t="str">
        <x:v>D3-3a N04: Stepwise Gold Answer — Maximum TDS During a Salinity Intrusion and the Brine-Energy Paradox</x:v>
      </x:c>
      <x:c r="H2" s="4" t="str">
        <x:v>D3-3a N04: Stepwise Gold Answer — Maximum TDS During a Salinity Intrusion and the Brine-Energy Paradox</x:v>
      </x:c>
      <x:c r="I2" s="4" t="str">
        <x:v>D3-3a N04: Stepwise Gold Answer — Maximum TDS During a Salinity Intrusion and the Brine-Energy Paradox</x:v>
      </x:c>
      <x:c r="J2" s="4" t="str">
        <x:v>D3-3a N04: Stepwise Gold Answer — Maximum TDS During a Salinity Intrusion and the Brine-Energy Paradox</x:v>
      </x:c>
      <x:c r="K2" s="4" t="str">
        <x:v>D3-3a N04: Stepwise Gold Answer — Maximum TDS During a Salinity Intrusion and the Brine-Energy Paradox</x:v>
      </x:c>
      <x:c r="L2" s="4" t="str">
        <x:v>D3-3a N04: Stepwise Gold Answer — Maximum TDS During a Salinity Intrusion and the Brine-Energy Paradox</x:v>
      </x:c>
      <x:c r="M2" s="4" t="str">
        <x:v>D3-3a N04: Stepwise Gold Answer — Maximum TDS During a Salinity Intrusion and the Brine-Energy Paradox</x:v>
      </x:c>
      <x:c r="N2" s="4" t="str">
        <x:v>D3-3a N04: Stepwise Gold Answer — Maximum TDS During a Salinity Intrusion and the Brine-Energy Paradox</x:v>
      </x:c>
      <x:c r="O2" s="4" t="str">
        <x:v>D3-3a N04: Stepwise Gold Answer — Maximum TDS During a Salinity Intrusion and the Brine-Energy Paradox</x:v>
      </x:c>
      <x:c r="P2" s="4" t="str">
        <x:v>D3-3a N04: Stepwise Gold Answer — Maximum TDS During a Salinity Intrusion and the Brine-Energy Paradox</x:v>
      </x:c>
      <x:c r="Q2" s="4" t="str">
        <x:v>D3-3a N04: Stepwise Gold Answer — Maximum TDS During a Salinity Intrusion and the Brine-Energy Paradox</x:v>
      </x:c>
      <x:c r="R2" s="4" t="str">
        <x:v>D3-3a N04: Stepwise Gold Answer — Maximum TDS During a Salinity Intrusion and the Brine-Energy Paradox</x:v>
      </x:c>
      <x:c r="S2" s="4" t="str">
        <x:v>D3-3a N04: Stepwise Gold Answer — Maximum TDS During a Salinity Intrusion and the Brine-Energy Paradox</x:v>
      </x:c>
      <x:c r="T2" s="4" t="str">
        <x:v>D3-3a N04: Stepwise Gold Answer — Maximum TDS During a Salinity Intrusion and the Brine-Energy Paradox</x:v>
      </x:c>
      <x:c r="U2" s="4" t="str">
        <x:v>D3-3a N04: Stepwise Gold Answer — Maximum TDS During a Salinity Intrusion and the Brine-Energy Paradox</x:v>
      </x:c>
      <x:c r="V2" s="4" t="str">
        <x:v>D3-3a N04: Stepwise Gold Answer — Maximum TDS During a Salinity Intrusion and the Brine-Energy Paradox</x:v>
      </x:c>
    </x:row>
    <x:row r="4">
      <x:c r="A4" s="29" t="str">
        <x:v>The actual trajectory uses 8 valid simulate_swro_system calls. Sole variable: Feed TDS; final resolution: 0.1 g/L. It brackets coarsely, then locks both limits or both sides of the diagnostic window.</x:v>
      </x:c>
      <x:c r="B4" s="29" t="str">
        <x:v>The actual trajectory uses 8 valid simulate_swro_system calls. Sole variable: Feed TDS; final resolution: 0.1 g/L. It brackets coarsely, then locks both limits or both sides of the diagnostic window.</x:v>
      </x:c>
      <x:c r="C4" s="29" t="str">
        <x:v>The actual trajectory uses 8 valid simulate_swro_system calls. Sole variable: Feed TDS; final resolution: 0.1 g/L. It brackets coarsely, then locks both limits or both sides of the diagnostic window.</x:v>
      </x:c>
      <x:c r="D4" s="29" t="str">
        <x:v>The actual trajectory uses 8 valid simulate_swro_system calls. Sole variable: Feed TDS; final resolution: 0.1 g/L. It brackets coarsely, then locks both limits or both sides of the diagnostic window.</x:v>
      </x:c>
      <x:c r="E4" s="29" t="str">
        <x:v>The actual trajectory uses 8 valid simulate_swro_system calls. Sole variable: Feed TDS; final resolution: 0.1 g/L. It brackets coarsely, then locks both limits or both sides of the diagnostic window.</x:v>
      </x:c>
      <x:c r="F4" s="29" t="str">
        <x:v>The actual trajectory uses 8 valid simulate_swro_system calls. Sole variable: Feed TDS; final resolution: 0.1 g/L. It brackets coarsely, then locks both limits or both sides of the diagnostic window.</x:v>
      </x:c>
      <x:c r="G4" s="29" t="str">
        <x:v>The actual trajectory uses 8 valid simulate_swro_system calls. Sole variable: Feed TDS; final resolution: 0.1 g/L. It brackets coarsely, then locks both limits or both sides of the diagnostic window.</x:v>
      </x:c>
      <x:c r="H4" s="29" t="str">
        <x:v>The actual trajectory uses 8 valid simulate_swro_system calls. Sole variable: Feed TDS; final resolution: 0.1 g/L. It brackets coarsely, then locks both limits or both sides of the diagnostic window.</x:v>
      </x:c>
      <x:c r="I4" s="29" t="str">
        <x:v>The actual trajectory uses 8 valid simulate_swro_system calls. Sole variable: Feed TDS; final resolution: 0.1 g/L. It brackets coarsely, then locks both limits or both sides of the diagnostic window.</x:v>
      </x:c>
      <x:c r="J4" s="29" t="str">
        <x:v>The actual trajectory uses 8 valid simulate_swro_system calls. Sole variable: Feed TDS; final resolution: 0.1 g/L. It brackets coarsely, then locks both limits or both sides of the diagnostic window.</x:v>
      </x:c>
      <x:c r="K4" s="29" t="str">
        <x:v>The actual trajectory uses 8 valid simulate_swro_system calls. Sole variable: Feed TDS; final resolution: 0.1 g/L. It brackets coarsely, then locks both limits or both sides of the diagnostic window.</x:v>
      </x:c>
      <x:c r="L4" s="29" t="str">
        <x:v>The actual trajectory uses 8 valid simulate_swro_system calls. Sole variable: Feed TDS; final resolution: 0.1 g/L. It brackets coarsely, then locks both limits or both sides of the diagnostic window.</x:v>
      </x:c>
      <x:c r="M4" s="29" t="str">
        <x:v>The actual trajectory uses 8 valid simulate_swro_system calls. Sole variable: Feed TDS; final resolution: 0.1 g/L. It brackets coarsely, then locks both limits or both sides of the diagnostic window.</x:v>
      </x:c>
      <x:c r="N4" s="29" t="str">
        <x:v>The actual trajectory uses 8 valid simulate_swro_system calls. Sole variable: Feed TDS; final resolution: 0.1 g/L. It brackets coarsely, then locks both limits or both sides of the diagnostic window.</x:v>
      </x:c>
      <x:c r="O4" s="29" t="str">
        <x:v>The actual trajectory uses 8 valid simulate_swro_system calls. Sole variable: Feed TDS; final resolution: 0.1 g/L. It brackets coarsely, then locks both limits or both sides of the diagnostic window.</x:v>
      </x:c>
      <x:c r="P4" s="29" t="str">
        <x:v>The actual trajectory uses 8 valid simulate_swro_system calls. Sole variable: Feed TDS; final resolution: 0.1 g/L. It brackets coarsely, then locks both limits or both sides of the diagnostic window.</x:v>
      </x:c>
      <x:c r="Q4" s="29" t="str">
        <x:v>The actual trajectory uses 8 valid simulate_swro_system calls. Sole variable: Feed TDS; final resolution: 0.1 g/L. It brackets coarsely, then locks both limits or both sides of the diagnostic window.</x:v>
      </x:c>
      <x:c r="R4" s="29" t="str">
        <x:v>The actual trajectory uses 8 valid simulate_swro_system calls. Sole variable: Feed TDS; final resolution: 0.1 g/L. It brackets coarsely, then locks both limits or both sides of the diagnostic window.</x:v>
      </x:c>
      <x:c r="S4" s="29" t="str">
        <x:v>The actual trajectory uses 8 valid simulate_swro_system calls. Sole variable: Feed TDS; final resolution: 0.1 g/L. It brackets coarsely, then locks both limits or both sides of the diagnostic window.</x:v>
      </x:c>
      <x:c r="T4" s="29" t="str">
        <x:v>The actual trajectory uses 8 valid simulate_swro_system calls. Sole variable: Feed TDS; final resolution: 0.1 g/L. It brackets coarsely, then locks both limits or both sides of the diagnostic window.</x:v>
      </x:c>
      <x:c r="U4" s="29" t="str">
        <x:v>The actual trajectory uses 8 valid simulate_swro_system calls. Sole variable: Feed TDS; final resolution: 0.1 g/L. It brackets coarsely, then locks both limits or both sides of the diagnostic window.</x:v>
      </x:c>
      <x:c r="V4" s="29" t="str">
        <x:v>The actual trajectory uses 8 valid simulate_swro_system calls. Sole variable: Feed TDS; final resolution: 0.1 g/L. It brackets coarsely, then locks both limits or both sides of the diagnostic window.</x:v>
      </x:c>
    </x:row>
    <x:row r="5">
      <x:c r="A5" s="29" t="str">
        <x:v>The actual trajectory uses 8 valid simulate_swro_system calls. Sole variable: Feed TDS; final resolution: 0.1 g/L. It brackets coarsely, then locks both limits or both sides of the diagnostic window.</x:v>
      </x:c>
      <x:c r="B5" s="29" t="str">
        <x:v>The actual trajectory uses 8 valid simulate_swro_system calls. Sole variable: Feed TDS; final resolution: 0.1 g/L. It brackets coarsely, then locks both limits or both sides of the diagnostic window.</x:v>
      </x:c>
      <x:c r="C5" s="29" t="str">
        <x:v>The actual trajectory uses 8 valid simulate_swro_system calls. Sole variable: Feed TDS; final resolution: 0.1 g/L. It brackets coarsely, then locks both limits or both sides of the diagnostic window.</x:v>
      </x:c>
      <x:c r="D5" s="29" t="str">
        <x:v>The actual trajectory uses 8 valid simulate_swro_system calls. Sole variable: Feed TDS; final resolution: 0.1 g/L. It brackets coarsely, then locks both limits or both sides of the diagnostic window.</x:v>
      </x:c>
      <x:c r="E5" s="29" t="str">
        <x:v>The actual trajectory uses 8 valid simulate_swro_system calls. Sole variable: Feed TDS; final resolution: 0.1 g/L. It brackets coarsely, then locks both limits or both sides of the diagnostic window.</x:v>
      </x:c>
      <x:c r="F5" s="29" t="str">
        <x:v>The actual trajectory uses 8 valid simulate_swro_system calls. Sole variable: Feed TDS; final resolution: 0.1 g/L. It brackets coarsely, then locks both limits or both sides of the diagnostic window.</x:v>
      </x:c>
      <x:c r="G5" s="29" t="str">
        <x:v>The actual trajectory uses 8 valid simulate_swro_system calls. Sole variable: Feed TDS; final resolution: 0.1 g/L. It brackets coarsely, then locks both limits or both sides of the diagnostic window.</x:v>
      </x:c>
      <x:c r="H5" s="29" t="str">
        <x:v>The actual trajectory uses 8 valid simulate_swro_system calls. Sole variable: Feed TDS; final resolution: 0.1 g/L. It brackets coarsely, then locks both limits or both sides of the diagnostic window.</x:v>
      </x:c>
      <x:c r="I5" s="29" t="str">
        <x:v>The actual trajectory uses 8 valid simulate_swro_system calls. Sole variable: Feed TDS; final resolution: 0.1 g/L. It brackets coarsely, then locks both limits or both sides of the diagnostic window.</x:v>
      </x:c>
      <x:c r="J5" s="29" t="str">
        <x:v>The actual trajectory uses 8 valid simulate_swro_system calls. Sole variable: Feed TDS; final resolution: 0.1 g/L. It brackets coarsely, then locks both limits or both sides of the diagnostic window.</x:v>
      </x:c>
      <x:c r="K5" s="29" t="str">
        <x:v>The actual trajectory uses 8 valid simulate_swro_system calls. Sole variable: Feed TDS; final resolution: 0.1 g/L. It brackets coarsely, then locks both limits or both sides of the diagnostic window.</x:v>
      </x:c>
      <x:c r="L5" s="29" t="str">
        <x:v>The actual trajectory uses 8 valid simulate_swro_system calls. Sole variable: Feed TDS; final resolution: 0.1 g/L. It brackets coarsely, then locks both limits or both sides of the diagnostic window.</x:v>
      </x:c>
      <x:c r="M5" s="29" t="str">
        <x:v>The actual trajectory uses 8 valid simulate_swro_system calls. Sole variable: Feed TDS; final resolution: 0.1 g/L. It brackets coarsely, then locks both limits or both sides of the diagnostic window.</x:v>
      </x:c>
      <x:c r="N5" s="29" t="str">
        <x:v>The actual trajectory uses 8 valid simulate_swro_system calls. Sole variable: Feed TDS; final resolution: 0.1 g/L. It brackets coarsely, then locks both limits or both sides of the diagnostic window.</x:v>
      </x:c>
      <x:c r="O5" s="29" t="str">
        <x:v>The actual trajectory uses 8 valid simulate_swro_system calls. Sole variable: Feed TDS; final resolution: 0.1 g/L. It brackets coarsely, then locks both limits or both sides of the diagnostic window.</x:v>
      </x:c>
      <x:c r="P5" s="29" t="str">
        <x:v>The actual trajectory uses 8 valid simulate_swro_system calls. Sole variable: Feed TDS; final resolution: 0.1 g/L. It brackets coarsely, then locks both limits or both sides of the diagnostic window.</x:v>
      </x:c>
      <x:c r="Q5" s="29" t="str">
        <x:v>The actual trajectory uses 8 valid simulate_swro_system calls. Sole variable: Feed TDS; final resolution: 0.1 g/L. It brackets coarsely, then locks both limits or both sides of the diagnostic window.</x:v>
      </x:c>
      <x:c r="R5" s="29" t="str">
        <x:v>The actual trajectory uses 8 valid simulate_swro_system calls. Sole variable: Feed TDS; final resolution: 0.1 g/L. It brackets coarsely, then locks both limits or both sides of the diagnostic window.</x:v>
      </x:c>
      <x:c r="S5" s="29" t="str">
        <x:v>The actual trajectory uses 8 valid simulate_swro_system calls. Sole variable: Feed TDS; final resolution: 0.1 g/L. It brackets coarsely, then locks both limits or both sides of the diagnostic window.</x:v>
      </x:c>
      <x:c r="T5" s="29" t="str">
        <x:v>The actual trajectory uses 8 valid simulate_swro_system calls. Sole variable: Feed TDS; final resolution: 0.1 g/L. It brackets coarsely, then locks both limits or both sides of the diagnostic window.</x:v>
      </x:c>
      <x:c r="U5" s="29" t="str">
        <x:v>The actual trajectory uses 8 valid simulate_swro_system calls. Sole variable: Feed TDS; final resolution: 0.1 g/L. It brackets coarsely, then locks both limits or both sides of the diagnostic window.</x:v>
      </x:c>
      <x:c r="V5" s="29" t="str">
        <x:v>The actual trajectory uses 8 valid simulate_swro_system calls. Sole variable: Feed TDS; final resolution: 0.1 g/L. It brackets coarsely, then locks both limits or both sides of the diagnostic window.</x:v>
      </x:c>
    </x:row>
    <x:row r="6">
      <x:c r="A6" s="29" t="str">
        <x:v>The actual trajectory uses 8 valid simulate_swro_system calls. Sole variable: Feed TDS; final resolution: 0.1 g/L. It brackets coarsely, then locks both limits or both sides of the diagnostic window.</x:v>
      </x:c>
      <x:c r="B6" s="29" t="str">
        <x:v>The actual trajectory uses 8 valid simulate_swro_system calls. Sole variable: Feed TDS; final resolution: 0.1 g/L. It brackets coarsely, then locks both limits or both sides of the diagnostic window.</x:v>
      </x:c>
      <x:c r="C6" s="29" t="str">
        <x:v>The actual trajectory uses 8 valid simulate_swro_system calls. Sole variable: Feed TDS; final resolution: 0.1 g/L. It brackets coarsely, then locks both limits or both sides of the diagnostic window.</x:v>
      </x:c>
      <x:c r="D6" s="29" t="str">
        <x:v>The actual trajectory uses 8 valid simulate_swro_system calls. Sole variable: Feed TDS; final resolution: 0.1 g/L. It brackets coarsely, then locks both limits or both sides of the diagnostic window.</x:v>
      </x:c>
      <x:c r="E6" s="29" t="str">
        <x:v>The actual trajectory uses 8 valid simulate_swro_system calls. Sole variable: Feed TDS; final resolution: 0.1 g/L. It brackets coarsely, then locks both limits or both sides of the diagnostic window.</x:v>
      </x:c>
      <x:c r="F6" s="29" t="str">
        <x:v>The actual trajectory uses 8 valid simulate_swro_system calls. Sole variable: Feed TDS; final resolution: 0.1 g/L. It brackets coarsely, then locks both limits or both sides of the diagnostic window.</x:v>
      </x:c>
      <x:c r="G6" s="29" t="str">
        <x:v>The actual trajectory uses 8 valid simulate_swro_system calls. Sole variable: Feed TDS; final resolution: 0.1 g/L. It brackets coarsely, then locks both limits or both sides of the diagnostic window.</x:v>
      </x:c>
      <x:c r="H6" s="29" t="str">
        <x:v>The actual trajectory uses 8 valid simulate_swro_system calls. Sole variable: Feed TDS; final resolution: 0.1 g/L. It brackets coarsely, then locks both limits or both sides of the diagnostic window.</x:v>
      </x:c>
      <x:c r="I6" s="29" t="str">
        <x:v>The actual trajectory uses 8 valid simulate_swro_system calls. Sole variable: Feed TDS; final resolution: 0.1 g/L. It brackets coarsely, then locks both limits or both sides of the diagnostic window.</x:v>
      </x:c>
      <x:c r="J6" s="29" t="str">
        <x:v>The actual trajectory uses 8 valid simulate_swro_system calls. Sole variable: Feed TDS; final resolution: 0.1 g/L. It brackets coarsely, then locks both limits or both sides of the diagnostic window.</x:v>
      </x:c>
      <x:c r="K6" s="29" t="str">
        <x:v>The actual trajectory uses 8 valid simulate_swro_system calls. Sole variable: Feed TDS; final resolution: 0.1 g/L. It brackets coarsely, then locks both limits or both sides of the diagnostic window.</x:v>
      </x:c>
      <x:c r="L6" s="29" t="str">
        <x:v>The actual trajectory uses 8 valid simulate_swro_system calls. Sole variable: Feed TDS; final resolution: 0.1 g/L. It brackets coarsely, then locks both limits or both sides of the diagnostic window.</x:v>
      </x:c>
      <x:c r="M6" s="29" t="str">
        <x:v>The actual trajectory uses 8 valid simulate_swro_system calls. Sole variable: Feed TDS; final resolution: 0.1 g/L. It brackets coarsely, then locks both limits or both sides of the diagnostic window.</x:v>
      </x:c>
      <x:c r="N6" s="29" t="str">
        <x:v>The actual trajectory uses 8 valid simulate_swro_system calls. Sole variable: Feed TDS; final resolution: 0.1 g/L. It brackets coarsely, then locks both limits or both sides of the diagnostic window.</x:v>
      </x:c>
      <x:c r="O6" s="29" t="str">
        <x:v>The actual trajectory uses 8 valid simulate_swro_system calls. Sole variable: Feed TDS; final resolution: 0.1 g/L. It brackets coarsely, then locks both limits or both sides of the diagnostic window.</x:v>
      </x:c>
      <x:c r="P6" s="29" t="str">
        <x:v>The actual trajectory uses 8 valid simulate_swro_system calls. Sole variable: Feed TDS; final resolution: 0.1 g/L. It brackets coarsely, then locks both limits or both sides of the diagnostic window.</x:v>
      </x:c>
      <x:c r="Q6" s="29" t="str">
        <x:v>The actual trajectory uses 8 valid simulate_swro_system calls. Sole variable: Feed TDS; final resolution: 0.1 g/L. It brackets coarsely, then locks both limits or both sides of the diagnostic window.</x:v>
      </x:c>
      <x:c r="R6" s="29" t="str">
        <x:v>The actual trajectory uses 8 valid simulate_swro_system calls. Sole variable: Feed TDS; final resolution: 0.1 g/L. It brackets coarsely, then locks both limits or both sides of the diagnostic window.</x:v>
      </x:c>
      <x:c r="S6" s="29" t="str">
        <x:v>The actual trajectory uses 8 valid simulate_swro_system calls. Sole variable: Feed TDS; final resolution: 0.1 g/L. It brackets coarsely, then locks both limits or both sides of the diagnostic window.</x:v>
      </x:c>
      <x:c r="T6" s="29" t="str">
        <x:v>The actual trajectory uses 8 valid simulate_swro_system calls. Sole variable: Feed TDS; final resolution: 0.1 g/L. It brackets coarsely, then locks both limits or both sides of the diagnostic window.</x:v>
      </x:c>
      <x:c r="U6" s="29" t="str">
        <x:v>The actual trajectory uses 8 valid simulate_swro_system calls. Sole variable: Feed TDS; final resolution: 0.1 g/L. It brackets coarsely, then locks both limits or both sides of the diagnostic window.</x:v>
      </x:c>
      <x:c r="V6" s="29" t="str">
        <x:v>The actual trajectory uses 8 valid simulate_swro_system calls. Sole variable: Feed TDS; final resolution: 0.1 g/L.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34 and 42</x:v>
      </x:c>
      <x:c r="D10" s="20" t="str">
        <x:v>low-salinity baseline; high-salinity failure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38 and 40</x:v>
      </x:c>
      <x:c r="D11" s="20" t="str">
        <x:v>both targets pass; basic only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40.5↔40.4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39.4↔39.3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Maximum basic TDS 40.4 g/L and recommended limit 39.3 g/L; higher TDS raises brine flow and total pressure power, but the falling product denominator raises SEC.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8 actual simulate_swro_system calls</x:v>
      </x:c>
      <x:c r="B18" s="11" t="str">
        <x:v>8 actual simulate_swro_system calls</x:v>
      </x:c>
      <x:c r="C18" s="11" t="str">
        <x:v>8 actual simulate_swro_system calls</x:v>
      </x:c>
      <x:c r="D18" s="11" t="str">
        <x:v>8 actual simulate_swro_system calls</x:v>
      </x:c>
      <x:c r="E18" s="11" t="str">
        <x:v>8 actual simulate_swro_system calls</x:v>
      </x:c>
      <x:c r="F18" s="11" t="str">
        <x:v>8 actual simulate_swro_system calls</x:v>
      </x:c>
      <x:c r="G18" s="11" t="str">
        <x:v>8 actual simulate_swro_system calls</x:v>
      </x:c>
      <x:c r="H18" s="11" t="str">
        <x:v>8 actual simulate_swro_system calls</x:v>
      </x:c>
      <x:c r="I18" s="11" t="str">
        <x:v>8 actual simulate_swro_system calls</x:v>
      </x:c>
      <x:c r="J18" s="11" t="str">
        <x:v>8 actual simulate_swro_system calls</x:v>
      </x:c>
      <x:c r="K18" s="11" t="str">
        <x:v>8 actual simulate_swro_system calls</x:v>
      </x:c>
      <x:c r="L18" s="11" t="str">
        <x:v>8 actual simulate_swro_system calls</x:v>
      </x:c>
      <x:c r="M18" s="11" t="str">
        <x:v>8 actual simulate_swro_system calls</x:v>
      </x:c>
      <x:c r="N18" s="11" t="str">
        <x:v>8 actual simulate_swro_system calls</x:v>
      </x:c>
      <x:c r="O18" s="11" t="str">
        <x:v>8 actual simulate_swro_system calls</x:v>
      </x:c>
      <x:c r="P18" s="11" t="str">
        <x:v>8 actual simulate_swro_system calls</x:v>
      </x:c>
      <x:c r="Q18" s="11" t="str">
        <x:v>8 actual simulate_swro_system calls</x:v>
      </x:c>
      <x:c r="R18" s="11" t="str">
        <x:v>8 actual simulate_swro_system calls</x:v>
      </x:c>
    </x:row>
    <x:row r="19">
      <x:c r="A19" s="17" t="str">
        <x:v>Call</x:v>
      </x:c>
      <x:c r="B19" s="17" t="str">
        <x:v>Feed TDS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Feed TDS</x:v>
      </x:c>
      <x:c r="U19" t="str">
        <x:v>Product m³/d</x:v>
      </x:c>
      <x:c r="V19" t="str">
        <x:v>Target</x:v>
      </x:c>
    </x:row>
    <x:row r="20" ht="31" customHeight="1">
      <x:c r="A20" s="20" t="n">
        <x:v>1</x:v>
      </x:c>
      <x:c r="B20" s="30" t="n">
        <x:v>34</x:v>
      </x:c>
      <x:c r="C20" s="31" t="n">
        <x:v>0.13955982177307896</x:v>
      </x:c>
      <x:c r="D20" s="32" t="n">
        <x:f>C20*86400</x:f>
        <x:v>12057.968601194023</x:v>
      </x:c>
      <x:c r="E20" s="32" t="n">
        <x:v>43.61244430408717</x:v>
      </x:c>
      <x:c r="F20" s="32" t="n">
        <x:f>0.32-C20</x:f>
        <x:v>0.18044017822692104</x:v>
      </x:c>
      <x:c r="G20" s="32" t="n">
        <x:f>69-2.7-1.0</x:f>
        <x:v>65.3</x:v>
      </x:c>
      <x:c r="H20" s="32" t="n">
        <x:f>F20*G20*100</x:f>
        <x:v>1178.2743638217944</x:v>
      </x:c>
      <x:c r="I20" s="32" t="n">
        <x:f>H20*0.95</x:f>
        <x:v>1119.3606456307045</x:v>
      </x:c>
      <x:c r="J20" s="32" t="n">
        <x:v>1159.253687990112</x:v>
      </x:c>
      <x:c r="K20" s="32" t="n">
        <x:v>126.17987566610579</x:v>
      </x:c>
      <x:c r="L20" s="32" t="n">
        <x:f>J20+K20</x:f>
        <x:v>1285.4335636562178</x:v>
      </x:c>
      <x:c r="M20" s="32" t="n">
        <x:v>2.966532309118383</x:v>
      </x:c>
      <x:c r="N20" s="32" t="n">
        <x:f>D20/24*M20</x:f>
        <x:v>1490.431393240711</x:v>
      </x:c>
      <x:c r="O20" s="32" t="n">
        <x:v>0.8083335652556666</x:v>
      </x:c>
      <x:c r="P20" s="35" t="str">
        <x:v>PASS</x:v>
      </x:c>
      <x:c r="Q20" s="35" t="str">
        <x:v>PASS</x:v>
      </x:c>
      <x:c r="R20" s="20" t="str">
        <x:v>low-salinity baseline</x:v>
      </x:c>
      <x:c r="T20" t="n">
        <x:f>B20</x:f>
        <x:v>34</x:v>
      </x:c>
      <x:c r="U20" t="n">
        <x:f>D20</x:f>
        <x:v>12057.968601194023</x:v>
      </x:c>
      <x:c r="V20" t="n">
        <x:f>10500</x:f>
        <x:v>10500</x:v>
      </x:c>
    </x:row>
    <x:row r="21" ht="31" customHeight="1">
      <x:c r="A21" s="20" t="n">
        <x:v>2</x:v>
      </x:c>
      <x:c r="B21" s="30" t="n">
        <x:v>42</x:v>
      </x:c>
      <x:c r="C21" s="31" t="n">
        <x:v>0.11311971846225481</x:v>
      </x:c>
      <x:c r="D21" s="32" t="n">
        <x:f>C21*86400</x:f>
        <x:v>9773.543675138815</x:v>
      </x:c>
      <x:c r="E21" s="32" t="n">
        <x:v>35.34991201945463</x:v>
      </x:c>
      <x:c r="F21" s="32" t="n">
        <x:f>0.32-C21</x:f>
        <x:v>0.20688028153774518</x:v>
      </x:c>
      <x:c r="G21" s="32" t="n">
        <x:f>69-2.7-1.0</x:f>
        <x:v>65.3</x:v>
      </x:c>
      <x:c r="H21" s="32" t="n">
        <x:f>F21*G21*100</x:f>
        <x:v>1350.928238441476</x:v>
      </x:c>
      <x:c r="I21" s="32" t="n">
        <x:f>H21*0.95</x:f>
        <x:v>1283.381826519402</x:v>
      </x:c>
      <x:c r="J21" s="32" t="n">
        <x:v>939.2590690913131</x:v>
      </x:c>
      <x:c r="K21" s="32" t="n">
        <x:v>147.27827950732666</x:v>
      </x:c>
      <x:c r="L21" s="32" t="n">
        <x:f>J21+K21</x:f>
        <x:v>1086.5373485986397</x:v>
      </x:c>
      <x:c r="M21" s="32" t="n">
        <x:v>3.076357601061213</x:v>
      </x:c>
      <x:c r="N21" s="32" t="n">
        <x:f>D21/24*M21</x:f>
        <x:v>1252.7881405965431</x:v>
      </x:c>
      <x:c r="O21" s="32" t="n">
        <x:v>0.9310850782240921</x:v>
      </x:c>
      <x:c r="P21" s="38" t="str">
        <x:v>FAIL</x:v>
      </x:c>
      <x:c r="Q21" s="38" t="str">
        <x:v>FAIL</x:v>
      </x:c>
      <x:c r="R21" s="20" t="str">
        <x:v>high-salinity failure</x:v>
      </x:c>
      <x:c r="T21" t="n">
        <x:f>B22</x:f>
        <x:v>38</x:v>
      </x:c>
      <x:c r="U21" t="n">
        <x:f>D22</x:f>
        <x:v>10889.014979270405</x:v>
      </x:c>
      <x:c r="V21" t="n">
        <x:f>10500</x:f>
        <x:v>10500</x:v>
      </x:c>
    </x:row>
    <x:row r="22" ht="31" customHeight="1">
      <x:c r="A22" s="20" t="n">
        <x:v>3</x:v>
      </x:c>
      <x:c r="B22" s="30" t="n">
        <x:v>38</x:v>
      </x:c>
      <x:c r="C22" s="31" t="n">
        <x:v>0.12603026596377784</x:v>
      </x:c>
      <x:c r="D22" s="32" t="n">
        <x:f>C22*86400</x:f>
        <x:v>10889.014979270405</x:v>
      </x:c>
      <x:c r="E22" s="32" t="n">
        <x:v>39.38445811368057</x:v>
      </x:c>
      <x:c r="F22" s="32" t="n">
        <x:f>0.32-C22</x:f>
        <x:v>0.19396973403622217</x:v>
      </x:c>
      <x:c r="G22" s="32" t="n">
        <x:f>69-2.7-1.0</x:f>
        <x:v>65.3</x:v>
      </x:c>
      <x:c r="H22" s="32" t="n">
        <x:f>F22*G22*100</x:f>
        <x:v>1266.6223632565307</x:v>
      </x:c>
      <x:c r="I22" s="32" t="n">
        <x:f>H22*0.95</x:f>
        <x:v>1203.291245093704</x:v>
      </x:c>
      <x:c r="J22" s="32" t="n">
        <x:v>1046.6696728525121</x:v>
      </x:c>
      <x:c r="K22" s="32" t="n">
        <x:v>136.83685983924804</x:v>
      </x:c>
      <x:c r="L22" s="32" t="n">
        <x:f>J22+K22</x:f>
        <x:v>1183.5065326917602</x:v>
      </x:c>
      <x:c r="M22" s="32" t="n">
        <x:v>3.016641515712261</x:v>
      </x:c>
      <x:c r="N22" s="32" t="n">
        <x:f>D22/24*M22</x:f>
        <x:v>1368.6772771533244</x:v>
      </x:c>
      <x:c r="O22" s="32" t="n">
        <x:v>0.8648015263193971</x:v>
      </x:c>
      <x:c r="P22" s="35" t="str">
        <x:v>PASS</x:v>
      </x:c>
      <x:c r="Q22" s="35" t="str">
        <x:v>PASS</x:v>
      </x:c>
      <x:c r="R22" s="20" t="str">
        <x:v>both targets pass</x:v>
      </x:c>
      <x:c r="T22" t="n">
        <x:f>B24</x:f>
        <x:v>39.3</x:v>
      </x:c>
      <x:c r="U22" t="n">
        <x:f>D24</x:f>
        <x:v>10520.92355289701</x:v>
      </x:c>
      <x:c r="V22" t="n">
        <x:f>10500</x:f>
        <x:v>10500</x:v>
      </x:c>
    </x:row>
    <x:row r="23" ht="31" customHeight="1">
      <x:c r="A23" s="20" t="n">
        <x:v>4</x:v>
      </x:c>
      <x:c r="B23" s="30" t="n">
        <x:v>40</x:v>
      </x:c>
      <x:c r="C23" s="31" t="n">
        <x:v>0.11950209315989134</x:v>
      </x:c>
      <x:c r="D23" s="32" t="n">
        <x:f>C23*86400</x:f>
        <x:v>10324.980849014612</x:v>
      </x:c>
      <x:c r="E23" s="32" t="n">
        <x:v>37.34440411246604</x:v>
      </x:c>
      <x:c r="F23" s="32" t="n">
        <x:f>0.32-C23</x:f>
        <x:v>0.20049790684010865</x:v>
      </x:c>
      <x:c r="G23" s="32" t="n">
        <x:f>69-2.7-1.0</x:f>
        <x:v>65.3</x:v>
      </x:c>
      <x:c r="H23" s="32" t="n">
        <x:f>F23*G23*100</x:f>
        <x:v>1309.2513316659094</x:v>
      </x:c>
      <x:c r="I23" s="32" t="n">
        <x:f>H23*0.95</x:f>
        <x:v>1243.788765082614</x:v>
      </x:c>
      <x:c r="J23" s="32" t="n">
        <x:v>992.3549002642449</x:v>
      </x:c>
      <x:c r="K23" s="32" t="n">
        <x:v>142.0825309326341</x:v>
      </x:c>
      <x:c r="L23" s="32" t="n">
        <x:f>J23+K23</x:f>
        <x:v>1134.437431196879</x:v>
      </x:c>
      <x:c r="M23" s="32" t="n">
        <x:v>3.045138127459241</x:v>
      </x:c>
      <x:c r="N23" s="32" t="n">
        <x:f>D23/24*M23</x:f>
        <x:v>1310.0413686925367</x:v>
      </x:c>
      <x:c r="O23" s="32" t="n">
        <x:v>0.8965525969977084</x:v>
      </x:c>
      <x:c r="P23" s="35" t="str">
        <x:v>PASS</x:v>
      </x:c>
      <x:c r="Q23" s="38" t="str">
        <x:v>FAIL</x:v>
      </x:c>
      <x:c r="R23" s="20" t="str">
        <x:v>basic only</x:v>
      </x:c>
      <x:c r="T23" t="n">
        <x:f>B25</x:f>
        <x:v>39.4</x:v>
      </x:c>
      <x:c r="U23" t="n">
        <x:f>D25</x:f>
        <x:v>10492.836158014565</x:v>
      </x:c>
      <x:c r="V23" t="n">
        <x:f>10500</x:f>
        <x:v>10500</x:v>
      </x:c>
    </x:row>
    <x:row r="24" ht="31" customHeight="1">
      <x:c r="A24" s="20" t="n">
        <x:v>5</x:v>
      </x:c>
      <x:c r="B24" s="30" t="n">
        <x:v>39.3</x:v>
      </x:c>
      <x:c r="C24" s="31" t="n">
        <x:v>0.12176994852890058</x:v>
      </x:c>
      <x:c r="D24" s="32" t="n">
        <x:f>C24*86400</x:f>
        <x:v>10520.92355289701</x:v>
      </x:c>
      <x:c r="E24" s="32" t="n">
        <x:v>38.05310891528143</x:v>
      </x:c>
      <x:c r="F24" s="32" t="n">
        <x:f>0.32-C24</x:f>
        <x:v>0.19823005147109943</x:v>
      </x:c>
      <x:c r="G24" s="32" t="n">
        <x:f>69-2.7-1.0</x:f>
        <x:v>65.3</x:v>
      </x:c>
      <x:c r="H24" s="32" t="n">
        <x:f>F24*G24*100</x:f>
        <x:v>1294.442236106279</x:v>
      </x:c>
      <x:c r="I24" s="32" t="n">
        <x:f>H24*0.95</x:f>
        <x:v>1229.7201243009652</x:v>
      </x:c>
      <x:c r="J24" s="32" t="n">
        <x:v>1011.2229207310215</x:v>
      </x:c>
      <x:c r="K24" s="32" t="n">
        <x:v>140.25240602807162</x:v>
      </x:c>
      <x:c r="L24" s="32" t="n">
        <x:f>J24+K24</x:f>
        <x:v>1151.4753267590932</x:v>
      </x:c>
      <x:c r="M24" s="32" t="n">
        <x:v>3.034872867587558</x:v>
      </x:c>
      <x:c r="N24" s="32" t="n">
        <x:f>D24/24*M24</x:f>
        <x:v>1330.4027263604175</x:v>
      </x:c>
      <x:c r="O24" s="32" t="n">
        <x:v>0.8851419567637446</x:v>
      </x:c>
      <x:c r="P24" s="35" t="str">
        <x:v>PASS</x:v>
      </x:c>
      <x:c r="Q24" s="35" t="str">
        <x:v>PASS</x:v>
      </x:c>
      <x:c r="R24" s="20" t="str">
        <x:v>recommended pass</x:v>
      </x:c>
      <x:c r="T24" t="n">
        <x:f>B23</x:f>
        <x:v>40</x:v>
      </x:c>
      <x:c r="U24" t="n">
        <x:f>D23</x:f>
        <x:v>10324.980849014612</x:v>
      </x:c>
      <x:c r="V24" t="n">
        <x:f>10500</x:f>
        <x:v>10500</x:v>
      </x:c>
    </x:row>
    <x:row r="25" ht="31" customHeight="1">
      <x:c r="A25" s="20" t="n">
        <x:v>6</x:v>
      </x:c>
      <x:c r="B25" s="30" t="n">
        <x:v>39.4</x:v>
      </x:c>
      <x:c r="C25" s="31" t="n">
        <x:v>0.12144486293998338</x:v>
      </x:c>
      <x:c r="D25" s="32" t="n">
        <x:f>C25*86400</x:f>
        <x:v>10492.836158014565</x:v>
      </x:c>
      <x:c r="E25" s="32" t="n">
        <x:v>37.9515196687448</x:v>
      </x:c>
      <x:c r="F25" s="32" t="n">
        <x:f>0.32-C25</x:f>
        <x:v>0.19855513706001662</x:v>
      </x:c>
      <x:c r="G25" s="32" t="n">
        <x:f>69-2.7-1.0</x:f>
        <x:v>65.3</x:v>
      </x:c>
      <x:c r="H25" s="32" t="n">
        <x:f>F25*G25*100</x:f>
        <x:v>1296.5650450019086</x:v>
      </x:c>
      <x:c r="I25" s="32" t="n">
        <x:f>H25*0.95</x:f>
        <x:v>1231.736792751813</x:v>
      </x:c>
      <x:c r="J25" s="32" t="n">
        <x:v>1008.5182410868499</x:v>
      </x:c>
      <x:c r="K25" s="32" t="n">
        <x:v>140.5142322742324</x:v>
      </x:c>
      <x:c r="L25" s="32" t="n">
        <x:f>J25+K25</x:f>
        <x:v>1149.0324733610823</x:v>
      </x:c>
      <x:c r="M25" s="32" t="n">
        <x:v>3.036319526587813</x:v>
      </x:c>
      <x:c r="N25" s="32" t="n">
        <x:f>D25/24*M25</x:f>
        <x:v>1327.483471494428</x:v>
      </x:c>
      <x:c r="O25" s="32" t="n">
        <x:v>0.8867518134728092</x:v>
      </x:c>
      <x:c r="P25" s="35" t="str">
        <x:v>PASS</x:v>
      </x:c>
      <x:c r="Q25" s="38" t="str">
        <x:v>FAIL</x:v>
      </x:c>
      <x:c r="R25" s="20" t="str">
        <x:v>recommended fail on product</x:v>
      </x:c>
      <x:c r="T25" t="n">
        <x:f>B26</x:f>
        <x:v>40.4</x:v>
      </x:c>
      <x:c r="U25" t="n">
        <x:f>D26</x:f>
        <x:v>10213.707987007354</x:v>
      </x:c>
      <x:c r="V25" t="n">
        <x:f>10500</x:f>
        <x:v>10500</x:v>
      </x:c>
    </x:row>
    <x:row r="26" ht="31" customHeight="1">
      <x:c r="A26" s="20" t="n">
        <x:v>7</x:v>
      </x:c>
      <x:c r="B26" s="30" t="n">
        <x:v>40.4</x:v>
      </x:c>
      <x:c r="C26" s="31" t="n">
        <x:v>0.11821421281258512</x:v>
      </x:c>
      <x:c r="D26" s="32" t="n">
        <x:f>C26*86400</x:f>
        <x:v>10213.707987007354</x:v>
      </x:c>
      <x:c r="E26" s="32" t="n">
        <x:v>36.94194150393285</x:v>
      </x:c>
      <x:c r="F26" s="32" t="n">
        <x:f>0.32-C26</x:f>
        <x:v>0.20178578718741488</x:v>
      </x:c>
      <x:c r="G26" s="32" t="n">
        <x:f>69-2.7-1.0</x:f>
        <x:v>65.3</x:v>
      </x:c>
      <x:c r="H26" s="32" t="n">
        <x:f>F26*G26*100</x:f>
        <x:v>1317.6611903338191</x:v>
      </x:c>
      <x:c r="I26" s="32" t="n">
        <x:f>H26*0.95</x:f>
        <x:v>1251.7781308171282</x:v>
      </x:c>
      <x:c r="J26" s="32" t="n">
        <x:v>981.6403665986446</x:v>
      </x:c>
      <x:c r="K26" s="32" t="n">
        <x:v>143.1255637399265</x:v>
      </x:c>
      <x:c r="L26" s="32" t="n">
        <x:f>J26+K26</x:f>
        <x:v>1124.765930338571</x:v>
      </x:c>
      <x:c r="M26" s="32" t="n">
        <x:v>3.051152493187817</x:v>
      </x:c>
      <x:c r="N26" s="32" t="n">
        <x:f>D26/24*M26</x:f>
        <x:v>1298.4825245520753</x:v>
      </x:c>
      <x:c r="O26" s="32" t="n">
        <x:v>0.9032246656605277</x:v>
      </x:c>
      <x:c r="P26" s="35" t="str">
        <x:v>PASS</x:v>
      </x:c>
      <x:c r="Q26" s="38" t="str">
        <x:v>FAIL</x:v>
      </x:c>
      <x:c r="R26" s="20" t="str">
        <x:v>basic pass</x:v>
      </x:c>
      <x:c r="T26" t="n">
        <x:f>B27</x:f>
        <x:v>40.5</x:v>
      </x:c>
      <x:c r="U26" t="n">
        <x:f>D27</x:f>
        <x:v>10185.967805939094</x:v>
      </x:c>
      <x:c r="V26" t="n">
        <x:f>10500</x:f>
        <x:v>10500</x:v>
      </x:c>
    </x:row>
    <x:row r="27" ht="31" customHeight="1">
      <x:c r="A27" s="20" t="n">
        <x:v>8</x:v>
      </x:c>
      <x:c r="B27" s="30" t="n">
        <x:v>40.5</x:v>
      </x:c>
      <x:c r="C27" s="31" t="n">
        <x:v>0.11789314590207285</x:v>
      </x:c>
      <x:c r="D27" s="32" t="n">
        <x:f>C27*86400</x:f>
        <x:v>10185.967805939094</x:v>
      </x:c>
      <x:c r="E27" s="32" t="n">
        <x:v>36.84160809439776</x:v>
      </x:c>
      <x:c r="F27" s="32" t="n">
        <x:f>0.32-C27</x:f>
        <x:v>0.20210685409792717</x:v>
      </x:c>
      <x:c r="G27" s="32" t="n">
        <x:f>69-2.7-1.0</x:f>
        <x:v>65.3</x:v>
      </x:c>
      <x:c r="H27" s="32" t="n">
        <x:f>F27*G27*100</x:f>
        <x:v>1319.7577572594644</x:v>
      </x:c>
      <x:c r="I27" s="32" t="n">
        <x:f>H27*0.95</x:f>
        <x:v>1253.769869396491</x:v>
      </x:c>
      <x:c r="J27" s="32" t="n">
        <x:v>978.9692845673051</x:v>
      </x:c>
      <x:c r="K27" s="32" t="n">
        <x:v>143.38601345731482</x:v>
      </x:c>
      <x:c r="L27" s="32" t="n">
        <x:f>J27+K27</x:f>
        <x:v>1122.35529802462</x:v>
      </x:c>
      <x:c r="M27" s="32" t="n">
        <x:v>3.0526734142599885</x:v>
      </x:c>
      <x:c r="N27" s="32" t="n">
        <x:f>D27/24*M27</x:f>
        <x:v>1295.601379987434</x:v>
      </x:c>
      <x:c r="O27" s="32" t="n">
        <x:v>0.904910384455847</x:v>
      </x:c>
      <x:c r="P27" s="38" t="str">
        <x:v>FAIL</x:v>
      </x:c>
      <x:c r="Q27" s="38" t="str">
        <x:v>FAIL</x:v>
      </x:c>
      <x:c r="R27" s="20" t="str">
        <x:v>basic fail on product</x:v>
      </x:c>
      <x:c r="T27" t="n">
        <x:f>B21</x:f>
        <x:v>42</x:v>
      </x:c>
      <x:c r="U27" t="n">
        <x:f>D21</x:f>
        <x:v>9773.543675138815</x:v>
      </x:c>
      <x:c r="V27" t="n">
        <x:f>10500</x:f>
        <x:v>10500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40.5</x:v>
      </x:c>
      <x:c r="C33" s="20" t="n">
        <x:v>40.4</x:v>
      </x:c>
      <x:c r="D33" s="20" t="str">
        <x:v>0.1 g/L</x:v>
      </x:c>
      <x:c r="E33" s="20" t="str">
        <x:v>Product≥10,200 and SEC≤3.08</x:v>
      </x:c>
      <x:c r="F33" s="20" t="n">
        <x:v>39.3</x:v>
      </x:c>
      <x:c r="G33" s="20" t="str">
        <x:v>Maximum basic TDS 40.4 g/L and recommended limit 39.3 g/L; higher TDS raises brine flow and total pressure power, but the falling product denominator raises SEC.</x:v>
      </x:c>
      <x:c r="H33" s="20" t="str">
        <x:v>Adjacent proof</x:v>
      </x:c>
      <x:c r="J33" s="20" t="str">
        <x:v>Decision variable</x:v>
      </x:c>
      <x:c r="K33" s="32" t="n">
        <x:f>B24</x:f>
        <x:v>39.3</x:v>
      </x:c>
      <x:c r="L33" s="32" t="n">
        <x:f>B20</x:f>
        <x:v>34</x:v>
      </x:c>
      <x:c r="M33" s="32" t="n">
        <x:f>B24</x:f>
        <x:v>39.3</x:v>
      </x:c>
      <x:c r="N33" s="32" t="n">
        <x:f>B24-B20</x:f>
        <x:v>5.299999999999997</x:v>
      </x:c>
      <x:c r="O33" s="20"/>
      <x:c r="P33" s="20" t="str">
        <x:v>g/L</x:v>
      </x:c>
      <x:c r="Q33" s="20" t="str">
        <x:v>tool input</x:v>
      </x:c>
      <x:c r="R33" s="20" t="str">
        <x:v>Maximum allowable TDS</x:v>
      </x:c>
    </x:row>
    <x:row r="34" ht="39" customHeight="1">
      <x:c r="A34" s="20" t="str">
        <x:v>Criterion 2 boundary</x:v>
      </x:c>
      <x:c r="B34" s="20" t="n">
        <x:v>39.4</x:v>
      </x:c>
      <x:c r="C34" s="20" t="n">
        <x:v>39.3</x:v>
      </x:c>
      <x:c r="D34" s="20" t="str">
        <x:v>0.1 g/L</x:v>
      </x:c>
      <x:c r="E34" s="20" t="str">
        <x:v>Product≥10,500 and SEC≤3.04</x:v>
      </x:c>
      <x:c r="F34" s="20" t="n">
        <x:v>39.3</x:v>
      </x:c>
      <x:c r="G34" s="20" t="str">
        <x:v>Maximum basic TDS 40.4 g/L and recommended limit 39.3 g/L; higher TDS raises brine flow and total pressure power, but the falling product denominator raises SEC.</x:v>
      </x:c>
      <x:c r="H34" s="20" t="str">
        <x:v>Adjacent proof</x:v>
      </x:c>
      <x:c r="J34" s="20" t="str">
        <x:v>Product</x:v>
      </x:c>
      <x:c r="K34" s="32" t="n">
        <x:f>D24</x:f>
        <x:v>10520.92355289701</x:v>
      </x:c>
      <x:c r="L34" s="32" t="n">
        <x:f>D20</x:f>
        <x:v>12057.968601194023</x:v>
      </x:c>
      <x:c r="M34" s="32" t="n">
        <x:f>D24</x:f>
        <x:v>10520.92355289701</x:v>
      </x:c>
      <x:c r="N34" s="32" t="n">
        <x:f>D24-D20</x:f>
        <x:v>-1537.0450482970136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39.3</x:v>
      </x:c>
      <x:c r="D35" s="20" t="str">
        <x:v>g/L</x:v>
      </x:c>
      <x:c r="E35" s="20" t="str">
        <x:v>Maximum allowable TDS</x:v>
      </x:c>
      <x:c r="F35" s="20" t="n">
        <x:v>39.3</x:v>
      </x:c>
      <x:c r="G35" s="20" t="str">
        <x:v>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</x:v>
      </x:c>
      <x:c r="H35" s="20" t="str">
        <x:v>Use benchmark operating rule</x:v>
      </x:c>
      <x:c r="J35" s="20" t="str">
        <x:v>Brine flow</x:v>
      </x:c>
      <x:c r="K35" s="32" t="n">
        <x:f>F24</x:f>
        <x:v>0.19823005147109943</x:v>
      </x:c>
      <x:c r="L35" s="32" t="n">
        <x:f>F20</x:f>
        <x:v>0.18044017822692104</x:v>
      </x:c>
      <x:c r="M35" s="32" t="n">
        <x:f>F24</x:f>
        <x:v>0.19823005147109943</x:v>
      </x:c>
      <x:c r="N35" s="32" t="n">
        <x:f>F24-F20</x:f>
        <x:v>0.017789873244178384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39.3</x:v>
      </x:c>
      <x:c r="G36" s="20" t="str">
        <x:v>Maximum basic TDS 40.4 g/L and recommended limit 39.3 g/L; higher TDS raises brine flow and total pressure power, but the falling product denominator raises SEC.</x:v>
      </x:c>
      <x:c r="H36" s="20" t="str">
        <x:v>Do not mix total power and unit energy</x:v>
      </x:c>
      <x:c r="J36" s="20" t="str">
        <x:v>Available pressure power</x:v>
      </x:c>
      <x:c r="K36" s="32" t="n">
        <x:f>H24</x:f>
        <x:v>1294.442236106279</x:v>
      </x:c>
      <x:c r="L36" s="32" t="n">
        <x:f>H20</x:f>
        <x:v>1178.2743638217944</x:v>
      </x:c>
      <x:c r="M36" s="32" t="n">
        <x:f>H24</x:f>
        <x:v>1294.442236106279</x:v>
      </x:c>
      <x:c r="N36" s="32" t="n">
        <x:f>H24-H20</x:f>
        <x:v>116.1678722844847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2" t="n">
        <x:f>I24</x:f>
        <x:v>1229.7201243009652</x:v>
      </x:c>
      <x:c r="L37" s="32" t="n">
        <x:f>I20</x:f>
        <x:v>1119.3606456307045</x:v>
      </x:c>
      <x:c r="M37" s="32" t="n">
        <x:f>I24</x:f>
        <x:v>1229.7201243009652</x:v>
      </x:c>
      <x:c r="N37" s="32" t="n">
        <x:f>I24-I20</x:f>
        <x:v>110.35947867026061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2" t="n">
        <x:f>L24</x:f>
        <x:v>1151.4753267590932</x:v>
      </x:c>
      <x:c r="L38" s="32" t="n">
        <x:f>L20</x:f>
        <x:v>1285.4335636562178</x:v>
      </x:c>
      <x:c r="M38" s="32" t="n">
        <x:f>L24</x:f>
        <x:v>1151.4753267590932</x:v>
      </x:c>
      <x:c r="N38" s="32" t="n">
        <x:f>L24-L20</x:f>
        <x:v>-133.9582368971246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2" t="n">
        <x:f>M24</x:f>
        <x:v>3.034872867587558</x:v>
      </x:c>
      <x:c r="L39" s="32" t="n">
        <x:f>M20</x:f>
        <x:v>2.966532309118383</x:v>
      </x:c>
      <x:c r="M39" s="32" t="n">
        <x:f>M24</x:f>
        <x:v>3.034872867587558</x:v>
      </x:c>
      <x:c r="N39" s="32" t="n">
        <x:f>M24-M20</x:f>
        <x:v>0.06834055846917497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2" t="n">
        <x:f>N24</x:f>
        <x:v>1330.4027263604175</x:v>
      </x:c>
      <x:c r="L40" s="32" t="n">
        <x:f>N20</x:f>
        <x:v>1490.431393240711</x:v>
      </x:c>
      <x:c r="M40" s="32" t="n">
        <x:f>N24</x:f>
        <x:v>1330.4027263604175</x:v>
      </x:c>
      <x:c r="N40" s="32" t="n">
        <x:f>N24-N20</x:f>
        <x:v>-160.02866688029349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2" t="n">
        <x:f>D24*M24*330</x:f>
        <x:v>10536789.592774509</x:v>
      </x:c>
      <x:c r="L41" s="32" t="n">
        <x:f>D20*M20*330</x:f>
        <x:v>11804216.63446643</x:v>
      </x:c>
      <x:c r="M41" s="32" t="n">
        <x:f>D24*M24*330</x:f>
        <x:v>10536789.592774509</x:v>
      </x:c>
      <x:c r="N41" s="32" t="n">
        <x:f>(D24*M24-D20*M20)*330</x:f>
        <x:v>-1267427.0416919226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4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45" ht="28" customHeight="1">
      <x:c r="A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5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46" ht="28" customHeight="1">
      <x:c r="A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6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47" ht="28" customHeight="1">
      <x:c r="A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7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48" ht="28" customHeight="1">
      <x:c r="A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8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49" ht="28" customHeight="1">
      <x:c r="A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49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  <x:row r="50" ht="28" customHeight="1">
      <x:c r="A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B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C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D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E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F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G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H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I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J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K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L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M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N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O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P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Q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  <x:c r="R50" s="29" t="str">
        <x:v>Final conclusion
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
Maximum basic TDS 40.4 g/L and recommended limit 39.3 g/L; higher TDS raises brine flow and total pressure power, but the falling product denominator raises SEC.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1a81f1a2f7ee4ca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N04: Trajectory Rubric (100 points)</x:v>
      </x:c>
      <x:c r="B1" s="4" t="str">
        <x:v>D3-3a N04: Trajectory Rubric (100 points)</x:v>
      </x:c>
      <x:c r="C1" s="4" t="str">
        <x:v>D3-3a N04: Trajectory Rubric (100 points)</x:v>
      </x:c>
      <x:c r="D1" s="4" t="str">
        <x:v>D3-3a N04: Trajectory Rubric (100 points)</x:v>
      </x:c>
      <x:c r="E1" s="4" t="str">
        <x:v>D3-3a N04: Trajectory Rubric (100 points)</x:v>
      </x:c>
      <x:c r="F1" s="4" t="str">
        <x:v>D3-3a N04: Trajectory Rubric (100 points)</x:v>
      </x:c>
      <x:c r="G1" s="4" t="str">
        <x:v>D3-3a N04: Trajectory Rubric (100 points)</x:v>
      </x:c>
    </x:row>
    <x:row r="2" ht="26" customHeight="1">
      <x:c r="A2" s="4" t="str">
        <x:v>D3-3a N04: Trajectory Rubric (100 points)</x:v>
      </x:c>
      <x:c r="B2" s="4" t="str">
        <x:v>D3-3a N04: Trajectory Rubric (100 points)</x:v>
      </x:c>
      <x:c r="C2" s="4" t="str">
        <x:v>D3-3a N04: Trajectory Rubric (100 points)</x:v>
      </x:c>
      <x:c r="D2" s="4" t="str">
        <x:v>D3-3a N04: Trajectory Rubric (100 points)</x:v>
      </x:c>
      <x:c r="E2" s="4" t="str">
        <x:v>D3-3a N04: Trajectory Rubric (100 points)</x:v>
      </x:c>
      <x:c r="F2" s="4" t="str">
        <x:v>D3-3a N04: Trajectory Rubric (100 points)</x:v>
      </x:c>
      <x:c r="G2" s="4" t="str">
        <x:v>D3-3a N04: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Feed TDS;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0.1 g/L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Maximum basic TDS 40.4 g/L and recommended limit 39.3 g/L; higher TDS raises brine flow and total pressure power, but the falling product denominator raises SEC.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Maximum basic TDS is 40.4 g/L and recommended limit 39.3 g/L. At the recommendation product=10520.92 m³/d, brine=0.198230 m³/s, available/equivalent recovered power=1294.44/1229.72 kW and SEC=3.034873 kWh/m³. Higher salinity raises total brine pressure power, but lower product worsens SEC.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0.1 g/L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8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N04: Tool-Efficiency Rubric (100 points)</x:v>
      </x:c>
      <x:c r="B1" s="4" t="str">
        <x:v>D3-3a N04: Tool-Efficiency Rubric (100 points)</x:v>
      </x:c>
      <x:c r="C1" s="4" t="str">
        <x:v>D3-3a N04: Tool-Efficiency Rubric (100 points)</x:v>
      </x:c>
      <x:c r="D1" s="4" t="str">
        <x:v>D3-3a N04: Tool-Efficiency Rubric (100 points)</x:v>
      </x:c>
      <x:c r="E1" s="4" t="str">
        <x:v>D3-3a N04: Tool-Efficiency Rubric (100 points)</x:v>
      </x:c>
      <x:c r="F1" s="4" t="str">
        <x:v>D3-3a N04: Tool-Efficiency Rubric (100 points)</x:v>
      </x:c>
      <x:c r="G1" s="4" t="str">
        <x:v>D3-3a N04: Tool-Efficiency Rubric (100 points)</x:v>
      </x:c>
    </x:row>
    <x:row r="2" ht="26" customHeight="1">
      <x:c r="A2" s="4" t="str">
        <x:v>D3-3a N04: Tool-Efficiency Rubric (100 points)</x:v>
      </x:c>
      <x:c r="B2" s="4" t="str">
        <x:v>D3-3a N04: Tool-Efficiency Rubric (100 points)</x:v>
      </x:c>
      <x:c r="C2" s="4" t="str">
        <x:v>D3-3a N04: Tool-Efficiency Rubric (100 points)</x:v>
      </x:c>
      <x:c r="D2" s="4" t="str">
        <x:v>D3-3a N04: Tool-Efficiency Rubric (100 points)</x:v>
      </x:c>
      <x:c r="E2" s="4" t="str">
        <x:v>D3-3a N04: Tool-Efficiency Rubric (100 points)</x:v>
      </x:c>
      <x:c r="F2" s="4" t="str">
        <x:v>D3-3a N04: Tool-Efficiency Rubric (100 points)</x:v>
      </x:c>
      <x:c r="G2" s="4" t="str">
        <x:v>D3-3a N04: Tool-Efficiency Rubric (100 points)</x:v>
      </x:c>
    </x:row>
    <x:row r="4">
      <x:c r="A4" s="25" t="str">
        <x:v>The reference path uses 8 valid simulate_swro_system calls. Score information gain, feedback-driven iteration, adjacent evidence and timely stopping rather than exact sequence matching.</x:v>
      </x:c>
      <x:c r="B4" s="25" t="str">
        <x:v>The reference path uses 8 valid simulate_swro_system calls. Score information gain, feedback-driven iteration, adjacent evidence and timely stopping rather than exact sequence matching.</x:v>
      </x:c>
      <x:c r="C4" s="25" t="str">
        <x:v>The reference path uses 8 valid simulate_swro_system calls. Score information gain, feedback-driven iteration, adjacent evidence and timely stopping rather than exact sequence matching.</x:v>
      </x:c>
      <x:c r="D4" s="25" t="str">
        <x:v>The reference path uses 8 valid simulate_swro_system calls. Score information gain, feedback-driven iteration, adjacent evidence and timely stopping rather than exact sequence matching.</x:v>
      </x:c>
      <x:c r="E4" s="25" t="str">
        <x:v>The reference path uses 8 valid simulate_swro_system calls. Score information gain, feedback-driven iteration, adjacent evidence and timely stopping rather than exact sequence matching.</x:v>
      </x:c>
      <x:c r="F4" s="25" t="str">
        <x:v>The reference path uses 8 valid simulate_swro_system calls. Score information gain, feedback-driven iteration, adjacent evidence and timely stopping rather than exact sequence matching.</x:v>
      </x:c>
      <x:c r="G4" s="25" t="str">
        <x:v>The reference path uses 8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8 valid simulate_swro_system calls. Score information gain, feedback-driven iteration, adjacent evidence and timely stopping rather than exact sequence matching.</x:v>
      </x:c>
      <x:c r="B5" s="25" t="str">
        <x:v>The reference path uses 8 valid simulate_swro_system calls. Score information gain, feedback-driven iteration, adjacent evidence and timely stopping rather than exact sequence matching.</x:v>
      </x:c>
      <x:c r="C5" s="25" t="str">
        <x:v>The reference path uses 8 valid simulate_swro_system calls. Score information gain, feedback-driven iteration, adjacent evidence and timely stopping rather than exact sequence matching.</x:v>
      </x:c>
      <x:c r="D5" s="25" t="str">
        <x:v>The reference path uses 8 valid simulate_swro_system calls. Score information gain, feedback-driven iteration, adjacent evidence and timely stopping rather than exact sequence matching.</x:v>
      </x:c>
      <x:c r="E5" s="25" t="str">
        <x:v>The reference path uses 8 valid simulate_swro_system calls. Score information gain, feedback-driven iteration, adjacent evidence and timely stopping rather than exact sequence matching.</x:v>
      </x:c>
      <x:c r="F5" s="25" t="str">
        <x:v>The reference path uses 8 valid simulate_swro_system calls. Score information gain, feedback-driven iteration, adjacent evidence and timely stopping rather than exact sequence matching.</x:v>
      </x:c>
      <x:c r="G5" s="25" t="str">
        <x:v>The reference path uses 8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8 valid simulate_swro_system calls. Score information gain, feedback-driven iteration, adjacent evidence and timely stopping rather than exact sequence matching.</x:v>
      </x:c>
      <x:c r="B6" s="25" t="str">
        <x:v>The reference path uses 8 valid simulate_swro_system calls. Score information gain, feedback-driven iteration, adjacent evidence and timely stopping rather than exact sequence matching.</x:v>
      </x:c>
      <x:c r="C6" s="25" t="str">
        <x:v>The reference path uses 8 valid simulate_swro_system calls. Score information gain, feedback-driven iteration, adjacent evidence and timely stopping rather than exact sequence matching.</x:v>
      </x:c>
      <x:c r="D6" s="25" t="str">
        <x:v>The reference path uses 8 valid simulate_swro_system calls. Score information gain, feedback-driven iteration, adjacent evidence and timely stopping rather than exact sequence matching.</x:v>
      </x:c>
      <x:c r="E6" s="25" t="str">
        <x:v>The reference path uses 8 valid simulate_swro_system calls. Score information gain, feedback-driven iteration, adjacent evidence and timely stopping rather than exact sequence matching.</x:v>
      </x:c>
      <x:c r="F6" s="25" t="str">
        <x:v>The reference path uses 8 valid simulate_swro_system calls. Score information gain, feedback-driven iteration, adjacent evidence and timely stopping rather than exact sequence matching.</x:v>
      </x:c>
      <x:c r="G6" s="25" t="str">
        <x:v>The reference path uses 8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Feed TDS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34→42→38→40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40.5/40.4; 39.4/39.3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0.1 g/L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7–9 calls with complete evidence</x:v>
      </x:c>
      <x:c r="D13" s="20" t="str">
        <x:v>10–12 with minor redundancy</x:v>
      </x:c>
      <x:c r="E13" s="20" t="str">
        <x:v>Large enumeration or too few calls to prove result</x:v>
      </x:c>
      <x:c r="F13" s="20" t="str">
        <x:v>Reference 8 calls</x:v>
      </x:c>
      <x:c r="G13" s="20" t="n">
        <x:v>20</x:v>
      </x:c>
    </x:row>
    <x:row r="15">
      <x:c r="F15" s="39" t="str">
        <x:v>Tool-efficiency total</x:v>
      </x:c>
      <x:c r="G15" s="39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