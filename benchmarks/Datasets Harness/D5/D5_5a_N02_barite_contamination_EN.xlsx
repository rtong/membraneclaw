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8852b3b54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7b6befc6bb2145bf"/>
    <x:sheet xmlns:r="http://schemas.openxmlformats.org/officeDocument/2006/relationships" name="Gold_Answer_A" sheetId="2" r:id="R624f3625e832464f"/>
    <x:sheet xmlns:r="http://schemas.openxmlformats.org/officeDocument/2006/relationships" name="Trajectory_Rubric" sheetId="3" r:id="R2ad4cfa377a64b03"/>
    <x:sheet xmlns:r="http://schemas.openxmlformats.org/officeDocument/2006/relationships" name="Tool_Efficiency" sheetId="4" r:id="Re69ca3442bff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0.000"/>
    <x:numFmt numFmtId="202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23c4868594504" /><Relationship Type="http://schemas.openxmlformats.org/officeDocument/2006/relationships/theme" Target="/xl/theme/theme1.xml" Id="Raeac05826c314190" /><Relationship Type="http://schemas.openxmlformats.org/officeDocument/2006/relationships/sharedStrings" Target="/xl/sharedStrings.xml" Id="R0e270d63b6954255" /><Relationship Type="http://schemas.openxmlformats.org/officeDocument/2006/relationships/worksheet" Target="/xl/worksheets/sheet1.xml" Id="R7b6befc6bb2145bf" /><Relationship Type="http://schemas.openxmlformats.org/officeDocument/2006/relationships/worksheet" Target="/xl/worksheets/sheet2.xml" Id="R624f3625e832464f" /><Relationship Type="http://schemas.openxmlformats.org/officeDocument/2006/relationships/worksheet" Target="/xl/worksheets/sheet3.xml" Id="R2ad4cfa377a64b03" /><Relationship Type="http://schemas.openxmlformats.org/officeDocument/2006/relationships/worksheet" Target="/xl/worksheets/sheet4.xml" Id="Re69ca3442bff4c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3458297b8343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 mol/s vs Barite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Barite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3458297b8343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2cd2886c9ff49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N02: Allowable Barium Contamination before Barite Scaling</x:v>
      </x:c>
      <x:c r="B1" s="5" t="str">
        <x:v>D5-5a N02: Allowable Barium Contamination before Barite Scaling</x:v>
      </x:c>
      <x:c r="C1" s="5" t="str">
        <x:v>D5-5a N02: Allowable Barium Contamination before Barite Scaling</x:v>
      </x:c>
      <x:c r="D1" s="5" t="str">
        <x:v>D5-5a N02: Allowable Barium Contamination before Barite Scaling</x:v>
      </x:c>
      <x:c r="E1" s="5" t="str">
        <x:v>D5-5a N02: Allowable Barium Contamination before Barite Scaling</x:v>
      </x:c>
      <x:c r="F1" s="5" t="str">
        <x:v>D5-5a N02: Allowable Barium Contamination before Barite Scaling</x:v>
      </x:c>
      <x:c r="G1" s="5" t="str">
        <x:v>D5-5a N02: Allowable Barium Contamination before Barite Scaling</x:v>
      </x:c>
      <x:c r="H1" s="5" t="str">
        <x:v>D5-5a N02: Allowable Barium Contamination before Barite Scaling</x:v>
      </x:c>
    </x:row>
    <x:row r="2" ht="25" customHeight="1">
      <x:c r="A2" s="5" t="str">
        <x:v>D5-5a N02: Allowable Barium Contamination before Barite Scaling</x:v>
      </x:c>
      <x:c r="B2" s="5" t="str">
        <x:v>D5-5a N02: Allowable Barium Contamination before Barite Scaling</x:v>
      </x:c>
      <x:c r="C2" s="5" t="str">
        <x:v>D5-5a N02: Allowable Barium Contamination before Barite Scaling</x:v>
      </x:c>
      <x:c r="D2" s="5" t="str">
        <x:v>D5-5a N02: Allowable Barium Contamination before Barite Scaling</x:v>
      </x:c>
      <x:c r="E2" s="5" t="str">
        <x:v>D5-5a N02: Allowable Barium Contamination before Barite Scaling</x:v>
      </x:c>
      <x:c r="F2" s="5" t="str">
        <x:v>D5-5a N02: Allowable Barium Contamination before Barite Scaling</x:v>
      </x:c>
      <x:c r="G2" s="5" t="str">
        <x:v>D5-5a N02: Allowable Barium Contamination before Barite Scaling</x:v>
      </x:c>
      <x:c r="H2" s="5" t="str">
        <x:v>D5-5a N02: Allowable Barium Contamination before Barite Scaling</x:v>
      </x:c>
    </x:row>
    <x:row r="4" ht="28" customHeight="1">
      <x:c r="A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B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C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D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E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F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G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H4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</x:row>
    <x:row r="5" ht="28" customHeight="1">
      <x:c r="A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B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C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D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E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F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G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H5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</x:row>
    <x:row r="6" ht="28" customHeight="1">
      <x:c r="A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B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C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D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E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F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G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  <x:c r="H6" s="9" t="str">
        <x:v>A coastal SWRO intake is intermittently affected by an upstream barium-bearing discharge. The seawater has high sulfate, while recovery and pH cannot be changed. Use equilibrate_feed and vary only feed Ba (adding 2×Ba as Cl for approximate charge balance). Find the maximum Ba input with Barite SI&lt;0 and the recommended alarm limit with Barite SI≤-0.05. Resolve the boundary to 1×10^-9 mol/s and convert it to approximate feed Ba μg/L for about 1 L/s of water.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Temperature</x:v>
      </x:c>
      <x:c r="B10" s="23" t="n">
        <x:v>25</x:v>
      </x:c>
      <x:c r="C10" s="22" t="str">
        <x:v>°C</x:v>
      </x:c>
      <x:c r="D10" s="22" t="str">
        <x:v>fixed</x:v>
      </x:c>
      <x:c r="F10" s="22" t="str">
        <x:v>Basic safety</x:v>
      </x:c>
      <x:c r="G10" s="22" t="str">
        <x:v>Barite SI&lt;0</x:v>
      </x:c>
      <x:c r="H10" s="22" t="str">
        <x:v>Thermodynamically undersaturated</x:v>
      </x:c>
    </x:row>
    <x:row r="11" ht="28" customHeight="1">
      <x:c r="A11" s="22" t="str">
        <x:v>Pressure</x:v>
      </x:c>
      <x:c r="B11" s="23" t="n">
        <x:v>1.013</x:v>
      </x:c>
      <x:c r="C11" s="22" t="str">
        <x:v>bar</x:v>
      </x:c>
      <x:c r="D11" s="22" t="str">
        <x:v>chemical equilibrium</x:v>
      </x:c>
      <x:c r="F11" s="22" t="str">
        <x:v>Recommended margin</x:v>
      </x:c>
      <x:c r="G11" s="22" t="str">
        <x:v>Barite SI≤-0.05</x:v>
      </x:c>
      <x:c r="H11" s="22" t="str">
        <x:v>Benchmark-specific; not a universal standard</x:v>
      </x:c>
    </x:row>
    <x:row r="12" ht="28" customHeight="1">
      <x:c r="A12" s="22" t="str">
        <x:v>Feed pH</x:v>
      </x:c>
      <x:c r="B12" s="23" t="n">
        <x:v>7.5</x:v>
      </x:c>
      <x:c r="C12" s="22" t="str">
        <x:v>-</x:v>
      </x:c>
      <x:c r="D12" s="22" t="str">
        <x:v>fixed</x:v>
      </x:c>
      <x:c r="F12" s="22" t="str">
        <x:v>Objective</x:v>
      </x:c>
      <x:c r="G12" s="22" t="str">
        <x:v>Maximize allowable Ba contamination</x:v>
      </x:c>
      <x:c r="H12" s="22" t="str">
        <x:v>Adjacent pass/fail proof required</x:v>
      </x:c>
    </x:row>
    <x:row r="13" ht="28" customHeight="1">
      <x:c r="A13" s="22" t="str">
        <x:v>Water recovery</x:v>
      </x:c>
      <x:c r="B13" s="23" t="n">
        <x:v>0.45</x:v>
      </x:c>
      <x:c r="C13" s="22" t="str">
        <x:v>-</x:v>
      </x:c>
      <x:c r="D13" s="22" t="str">
        <x:v>fixed</x:v>
      </x:c>
    </x:row>
    <x:row r="14" ht="28" customHeight="1">
      <x:c r="A14" s="22" t="str">
        <x:v>Mineral</x:v>
      </x:c>
      <x:c r="B14" s="23" t="str">
        <x:v>Barite</x:v>
      </x:c>
      <x:c r="C14" s="22" t="str">
        <x:v>-</x:v>
      </x:c>
      <x:c r="D14" s="22" t="str">
        <x:v>controlling sulfate scale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Acid / base dose</x:v>
      </x:c>
      <x:c r="B15" s="23" t="n">
        <x:v>0</x:v>
      </x:c>
      <x:c r="C15" s="22" t="str">
        <x:v>mol/s</x:v>
      </x:c>
      <x:c r="D15" s="22" t="str">
        <x:v>not useful for BaSO4</x:v>
      </x:c>
      <x:c r="F15" s="24" t="str">
        <x:v>1. Establish a near-zero-Ba baseline.</x:v>
      </x:c>
      <x:c r="G15" s="24" t="str">
        <x:v>1. Establish a near-zero-Ba baseline.</x:v>
      </x:c>
      <x:c r="H15" s="24" t="str">
        <x:v>1. Establish a near-zero-Ba baseline.</x:v>
      </x:c>
    </x:row>
    <x:row r="16" ht="28" customHeight="1">
      <x:c r="A16" s="22" t="str">
        <x:v>Primary tool</x:v>
      </x:c>
      <x:c r="B16" s="23" t="str">
        <x:v>equilibrate_feed</x:v>
      </x:c>
      <x:c r="C16" s="22" t="str">
        <x:v>-</x:v>
      </x:c>
      <x:c r="D16" s="22" t="str">
        <x:v>Ba boundary search</x:v>
      </x:c>
      <x:c r="F16" s="24" t="str">
        <x:v>2. Use a high-Ba probe to create a safe/unsafe bracket.</x:v>
      </x:c>
      <x:c r="G16" s="24" t="str">
        <x:v>2. Use a high-Ba probe to create a safe/unsafe bracket.</x:v>
      </x:c>
      <x:c r="H16" s="24" t="str">
        <x:v>2. Use a high-Ba probe to create a safe/unsafe bracket.</x:v>
      </x:c>
    </x:row>
    <x:row r="17" ht="28" customHeight="1">
      <x:c r="F17" s="24" t="str">
        <x:v>3. Locate the maximum SI&lt;0 Ba input at 1e-9 mol/s resolution.</x:v>
      </x:c>
      <x:c r="G17" s="24" t="str">
        <x:v>3. Locate the maximum SI&lt;0 Ba input at 1e-9 mol/s resolution.</x:v>
      </x:c>
      <x:c r="H17" s="24" t="str">
        <x:v>3. Locate the maximum SI&lt;0 Ba input at 1e-9 mol/s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Locate the stricter SI≤-0.05 alarm boundary.</x:v>
      </x:c>
      <x:c r="G18" s="24" t="str">
        <x:v>4. Locate the stricter SI≤-0.05 alarm boundary.</x:v>
      </x:c>
      <x:c r="H18" s="24" t="str">
        <x:v>4. Locate the stricter SI≤-0.05 alarm boundary.</x:v>
      </x:c>
    </x:row>
    <x:row r="19" ht="25" customHeight="1">
      <x:c r="A19" s="18" t="str">
        <x:v>Species</x:v>
      </x:c>
      <x:c r="B19" s="18" t="str">
        <x:v>Baseline mol/s</x:v>
      </x:c>
      <x:c r="C19" s="18" t="str">
        <x:v>Note</x:v>
      </x:c>
      <x:c r="D19" s="18" t="str">
        <x:v>Status</x:v>
      </x:c>
      <x:c r="F19" s="24" t="str">
        <x:v>5. Convert the recommended molar input to approximate μg/L and state why acid is not the control action.</x:v>
      </x:c>
      <x:c r="G19" s="24" t="str">
        <x:v>5. Convert the recommended molar input to approximate μg/L and state why acid is not the control action.</x:v>
      </x:c>
      <x:c r="H19" s="24" t="str">
        <x:v>5. Convert the recommended molar input to approximate μg/L and state why acid is not the control action.</x:v>
      </x:c>
    </x:row>
    <x:row r="20" ht="26" customHeight="1">
      <x:c r="A20" s="22" t="str">
        <x:v>H2O</x:v>
      </x:c>
      <x:c r="B20" s="22" t="n">
        <x:v>55.5</x:v>
      </x:c>
      <x:c r="C20" s="22" t="str">
        <x:v>required</x:v>
      </x:c>
      <x:c r="D20" s="22" t="str">
        <x:v>fixed</x:v>
      </x:c>
    </x:row>
    <x:row r="21" ht="26" customHeight="1">
      <x:c r="A21" s="22" t="str">
        <x:v>Na</x:v>
      </x:c>
      <x:c r="B21" s="22" t="n">
        <x:v>0.469</x:v>
      </x:c>
      <x:c r="C21" s="22" t="str"/>
      <x:c r="D21" s="22" t="str">
        <x:v>fixed</x:v>
      </x:c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0.546</x:v>
      </x:c>
      <x:c r="C22" s="22" t="str">
        <x:v>plus 2×Ba</x:v>
      </x:c>
      <x:c r="D22" s="22" t="str">
        <x:v>adjusted</x:v>
      </x:c>
      <x:c r="F22" s="22" t="str">
        <x:v>Variable</x:v>
      </x:c>
      <x:c r="G22" s="22" t="str">
        <x:v>Ba mol/s</x:v>
      </x:c>
      <x:c r="H22" s="22" t="str">
        <x:v>mol/s</x:v>
      </x:c>
    </x:row>
    <x:row r="23" ht="26" customHeight="1">
      <x:c r="A23" s="22" t="str">
        <x:v>Mg</x:v>
      </x:c>
      <x:c r="B23" s="22" t="n">
        <x:v>0.0528</x:v>
      </x:c>
      <x:c r="C23" s="22" t="str"/>
      <x:c r="D23" s="22" t="str">
        <x:v>fixed</x:v>
      </x:c>
      <x:c r="F23" s="22" t="str">
        <x:v>Resolution</x:v>
      </x:c>
      <x:c r="G23" s="22" t="str">
        <x:v>1e-9 mol/s</x:v>
      </x:c>
      <x:c r="H23" s="22" t="str">
        <x:v>Final boundary</x:v>
      </x:c>
    </x:row>
    <x:row r="24" ht="26" customHeight="1">
      <x:c r="A24" s="22" t="str">
        <x:v>SO4</x:v>
      </x:c>
      <x:c r="B24" s="22" t="n">
        <x:v>0.0282</x:v>
      </x:c>
      <x:c r="C24" s="22" t="str">
        <x:v>high sulfate</x:v>
      </x:c>
      <x:c r="D24" s="22" t="str">
        <x:v>fixed</x:v>
      </x:c>
      <x:c r="F24" s="22" t="str">
        <x:v>Primary tool</x:v>
      </x:c>
      <x:c r="G24" s="22" t="str">
        <x:v>equilibrate_feed</x:v>
      </x:c>
      <x:c r="H24" s="22" t="str">
        <x:v>8-call reference trajectory</x:v>
      </x:c>
    </x:row>
    <x:row r="25" ht="26" customHeight="1">
      <x:c r="A25" s="22" t="str">
        <x:v>Ca</x:v>
      </x:c>
      <x:c r="B25" s="22" t="n">
        <x:v>0.0103</x:v>
      </x:c>
      <x:c r="C25" s="22" t="str"/>
      <x:c r="D25" s="22" t="str">
        <x:v>fixed</x:v>
      </x:c>
      <x:c r="F25" s="22" t="str">
        <x:v>Controlling mineral</x:v>
      </x:c>
      <x:c r="G25" s="22" t="str">
        <x:v>Barite</x:v>
      </x:c>
      <x:c r="H25" s="22" t="str">
        <x:v>Confirmed from baseline/probes</x:v>
      </x:c>
    </x:row>
    <x:row r="26" ht="26" customHeight="1">
      <x:c r="A26" s="22" t="str">
        <x:v>HCO3</x:v>
      </x:c>
      <x:c r="B26" s="22" t="n">
        <x:v>0.0024</x:v>
      </x:c>
      <x:c r="C26" s="22" t="str"/>
      <x:c r="D26" s="22" t="str">
        <x:v>fixed</x:v>
      </x:c>
    </x:row>
    <x:row r="27" ht="26" customHeight="1">
      <x:c r="A27" s="22" t="str">
        <x:v>Ba</x:v>
      </x:c>
      <x:c r="B27" s="22" t="str">
        <x:v>decision variable</x:v>
      </x:c>
      <x:c r="C27" s="22" t="str">
        <x:v>1e-9 mol/s resolution</x:v>
      </x:c>
      <x:c r="D27" s="22" t="str">
        <x:v>variable</x:v>
      </x:c>
      <x:c r="F27" s="28" t="str">
        <x:v>Scope: this is a BaSO4 thermodynamic boundary. HCl does not materially control sulfate scale and must not replace source control/alarming.</x:v>
      </x:c>
      <x:c r="G27" s="28" t="str">
        <x:v>Scope: this is a BaSO4 thermodynamic boundary. HCl does not materially control sulfate scale and must not replace source control/alarming.</x:v>
      </x:c>
      <x:c r="H27" s="28" t="str">
        <x:v>Scope: this is a BaSO4 thermodynamic boundary. HCl does not materially control sulfate scale and must not replace source control/alarming.</x:v>
      </x:c>
    </x:row>
    <x:row r="28" ht="26" customHeight="1">
      <x:c r="F28" s="28" t="str">
        <x:v>Scope: this is a BaSO4 thermodynamic boundary. HCl does not materially control sulfate scale and must not replace source control/alarming.</x:v>
      </x:c>
      <x:c r="G28" s="28" t="str">
        <x:v>Scope: this is a BaSO4 thermodynamic boundary. HCl does not materially control sulfate scale and must not replace source control/alarming.</x:v>
      </x:c>
      <x:c r="H28" s="28" t="str">
        <x:v>Scope: this is a BaSO4 thermodynamic boundary. HCl does not materially control sulfate scale and must not replace source control/alarming.</x:v>
      </x:c>
    </x:row>
    <x:row r="29" ht="26" customHeight="1">
      <x:c r="F29" s="28" t="str">
        <x:v>Scope: this is a BaSO4 thermodynamic boundary. HCl does not materially control sulfate scale and must not replace source control/alarming.</x:v>
      </x:c>
      <x:c r="G29" s="28" t="str">
        <x:v>Scope: this is a BaSO4 thermodynamic boundary. HCl does not materially control sulfate scale and must not replace source control/alarming.</x:v>
      </x:c>
      <x:c r="H29" s="28" t="str">
        <x:v>Scope: this is a BaSO4 thermodynamic boundary. HCl does not materially control sulfate scale and must not replace source control/alarming.</x:v>
      </x:c>
    </x:row>
    <x:row r="30" ht="26" customHeight="1">
      <x:c r="F30" s="28" t="str">
        <x:v>Scope: this is a BaSO4 thermodynamic boundary. HCl does not materially control sulfate scale and must not replace source control/alarming.</x:v>
      </x:c>
      <x:c r="G30" s="28" t="str">
        <x:v>Scope: this is a BaSO4 thermodynamic boundary. HCl does not materially control sulfate scale and must not replace source control/alarming.</x:v>
      </x:c>
      <x:c r="H30" s="28" t="str">
        <x:v>Scope: this is a BaSO4 thermodynamic boundary. HCl does not materially control sulfate scale and must not replace source control/alarming.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N02: Stepwise Gold Answer — Allowable Barium Contamination before Barite Scaling</x:v>
      </x:c>
      <x:c r="B1" s="5" t="str">
        <x:v>D5-5a N02: Stepwise Gold Answer — Allowable Barium Contamination before Barite Scaling</x:v>
      </x:c>
      <x:c r="C1" s="5" t="str">
        <x:v>D5-5a N02: Stepwise Gold Answer — Allowable Barium Contamination before Barite Scaling</x:v>
      </x:c>
      <x:c r="D1" s="5" t="str">
        <x:v>D5-5a N02: Stepwise Gold Answer — Allowable Barium Contamination before Barite Scaling</x:v>
      </x:c>
      <x:c r="E1" s="5" t="str">
        <x:v>D5-5a N02: Stepwise Gold Answer — Allowable Barium Contamination before Barite Scaling</x:v>
      </x:c>
      <x:c r="F1" s="5" t="str">
        <x:v>D5-5a N02: Stepwise Gold Answer — Allowable Barium Contamination before Barite Scaling</x:v>
      </x:c>
      <x:c r="G1" s="5" t="str">
        <x:v>D5-5a N02: Stepwise Gold Answer — Allowable Barium Contamination before Barite Scaling</x:v>
      </x:c>
      <x:c r="H1" s="5" t="str">
        <x:v>D5-5a N02: Stepwise Gold Answer — Allowable Barium Contamination before Barite Scaling</x:v>
      </x:c>
      <x:c r="I1" s="5" t="str">
        <x:v>D5-5a N02: Stepwise Gold Answer — Allowable Barium Contamination before Barite Scaling</x:v>
      </x:c>
      <x:c r="J1" s="5" t="str">
        <x:v>D5-5a N02: Stepwise Gold Answer — Allowable Barium Contamination before Barite Scaling</x:v>
      </x:c>
      <x:c r="K1" s="5" t="str">
        <x:v>D5-5a N02: Stepwise Gold Answer — Allowable Barium Contamination before Barite Scaling</x:v>
      </x:c>
      <x:c r="L1" s="5" t="str">
        <x:v>D5-5a N02: Stepwise Gold Answer — Allowable Barium Contamination before Barite Scaling</x:v>
      </x:c>
      <x:c r="M1" s="5" t="str">
        <x:v>D5-5a N02: Stepwise Gold Answer — Allowable Barium Contamination before Barite Scaling</x:v>
      </x:c>
      <x:c r="N1" s="5" t="str">
        <x:v>D5-5a N02: Stepwise Gold Answer — Allowable Barium Contamination before Barite Scaling</x:v>
      </x:c>
      <x:c r="O1" s="5" t="str">
        <x:v>D5-5a N02: Stepwise Gold Answer — Allowable Barium Contamination before Barite Scaling</x:v>
      </x:c>
      <x:c r="P1" s="5" t="str">
        <x:v>D5-5a N02: Stepwise Gold Answer — Allowable Barium Contamination before Barite Scaling</x:v>
      </x:c>
    </x:row>
    <x:row r="2">
      <x:c r="A2" s="5" t="str">
        <x:v>D5-5a N02: Stepwise Gold Answer — Allowable Barium Contamination before Barite Scaling</x:v>
      </x:c>
      <x:c r="B2" s="5" t="str">
        <x:v>D5-5a N02: Stepwise Gold Answer — Allowable Barium Contamination before Barite Scaling</x:v>
      </x:c>
      <x:c r="C2" s="5" t="str">
        <x:v>D5-5a N02: Stepwise Gold Answer — Allowable Barium Contamination before Barite Scaling</x:v>
      </x:c>
      <x:c r="D2" s="5" t="str">
        <x:v>D5-5a N02: Stepwise Gold Answer — Allowable Barium Contamination before Barite Scaling</x:v>
      </x:c>
      <x:c r="E2" s="5" t="str">
        <x:v>D5-5a N02: Stepwise Gold Answer — Allowable Barium Contamination before Barite Scaling</x:v>
      </x:c>
      <x:c r="F2" s="5" t="str">
        <x:v>D5-5a N02: Stepwise Gold Answer — Allowable Barium Contamination before Barite Scaling</x:v>
      </x:c>
      <x:c r="G2" s="5" t="str">
        <x:v>D5-5a N02: Stepwise Gold Answer — Allowable Barium Contamination before Barite Scaling</x:v>
      </x:c>
      <x:c r="H2" s="5" t="str">
        <x:v>D5-5a N02: Stepwise Gold Answer — Allowable Barium Contamination before Barite Scaling</x:v>
      </x:c>
      <x:c r="I2" s="5" t="str">
        <x:v>D5-5a N02: Stepwise Gold Answer — Allowable Barium Contamination before Barite Scaling</x:v>
      </x:c>
      <x:c r="J2" s="5" t="str">
        <x:v>D5-5a N02: Stepwise Gold Answer — Allowable Barium Contamination before Barite Scaling</x:v>
      </x:c>
      <x:c r="K2" s="5" t="str">
        <x:v>D5-5a N02: Stepwise Gold Answer — Allowable Barium Contamination before Barite Scaling</x:v>
      </x:c>
      <x:c r="L2" s="5" t="str">
        <x:v>D5-5a N02: Stepwise Gold Answer — Allowable Barium Contamination before Barite Scaling</x:v>
      </x:c>
      <x:c r="M2" s="5" t="str">
        <x:v>D5-5a N02: Stepwise Gold Answer — Allowable Barium Contamination before Barite Scaling</x:v>
      </x:c>
      <x:c r="N2" s="5" t="str">
        <x:v>D5-5a N02: Stepwise Gold Answer — Allowable Barium Contamination before Barite Scaling</x:v>
      </x:c>
      <x:c r="O2" s="5" t="str">
        <x:v>D5-5a N02: Stepwise Gold Answer — Allowable Barium Contamination before Barite Scaling</x:v>
      </x:c>
      <x:c r="P2" s="5" t="str">
        <x:v>D5-5a N02: Stepwise Gold Answer — Allowable Barium Contamination before Barite Scaling</x:v>
      </x:c>
    </x:row>
    <x:row r="4" ht="25" customHeight="1">
      <x:c r="A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B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C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D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E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F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G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H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I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J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K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L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M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N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O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P4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B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C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D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E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F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G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H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I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J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K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L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M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N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O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P5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B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C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D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E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F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G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H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I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J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K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L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M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N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O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  <x:c r="P6" s="32" t="str">
        <x:v>Reference efficient trajectory: 8 equilibrate_feed calls: 1.000e-9 → 2.000e-7 → 1.500e-7 → 1.700e-7 → 1.740e-7 → 1.750e-7 → 1.550e-7 → 1.560e-7.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Baseline</x:v>
      </x:c>
      <x:c r="B10" s="22" t="str">
        <x:v>Ba sensitivity unknown</x:v>
      </x:c>
      <x:c r="C10" s="22" t="str">
        <x:v>1e-9 mol/s</x:v>
      </x:c>
      <x:c r="D10" s="22" t="str">
        <x:v>Barite SI=-2.241</x:v>
      </x:c>
      <x:c r="E10" s="22" t="str">
        <x:v>Very safe at low Ba</x:v>
      </x:c>
      <x:c r="F10" s="22" t="str">
        <x:v>Test high contamination</x:v>
      </x:c>
      <x:c r="G10" s="22" t="str">
        <x:v>Problem diagnosis</x:v>
      </x:c>
    </x:row>
    <x:row r="11" ht="45" customHeight="1">
      <x:c r="A11" s="22" t="str">
        <x:v>2 Coarse bracket</x:v>
      </x:c>
      <x:c r="B11" s="22" t="str">
        <x:v>Need a failing upper point</x:v>
      </x:c>
      <x:c r="C11" s="22" t="str">
        <x:v>2.00e-7</x:v>
      </x:c>
      <x:c r="D11" s="22" t="str">
        <x:v>SI=+0.0604</x:v>
      </x:c>
      <x:c r="E11" s="22" t="str">
        <x:v>Upper point fails</x:v>
      </x:c>
      <x:c r="F11" s="22" t="str">
        <x:v>Return to 1.5–1.7e-7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1.7e-7 remains safe</x:v>
      </x:c>
      <x:c r="C12" s="22" t="str">
        <x:v>1.74e-7→1.75e-7</x:v>
      </x:c>
      <x:c r="D12" s="22" t="str">
        <x:v>-0.00010→+0.00239</x:v>
      </x:c>
      <x:c r="E12" s="22" t="str">
        <x:v>1.74 pass / 1.75 fail</x:v>
      </x:c>
      <x:c r="F12" s="22" t="str">
        <x:v>Lock basic maximum</x:v>
      </x:c>
      <x:c r="G12" s="22" t="str">
        <x:v>Adaptive search</x:v>
      </x:c>
    </x:row>
    <x:row r="13" ht="45" customHeight="1">
      <x:c r="A13" s="22" t="str">
        <x:v>4 Alarm margin</x:v>
      </x:c>
      <x:c r="B13" s="22" t="str">
        <x:v>Need SI≤-0.05</x:v>
      </x:c>
      <x:c r="C13" s="22" t="str">
        <x:v>1.55e-7→1.56e-7</x:v>
      </x:c>
      <x:c r="D13" s="22" t="str">
        <x:v>-0.05032→-0.04752</x:v>
      </x:c>
      <x:c r="E13" s="22" t="str">
        <x:v>1.55 pass / 1.56 fail</x:v>
      </x:c>
      <x:c r="F13" s="22" t="str">
        <x:v>Lock alarm value</x:v>
      </x:c>
      <x:c r="G13" s="22" t="str">
        <x:v>Second boundary</x:v>
      </x:c>
    </x:row>
    <x:row r="14" ht="45" customHeight="1">
      <x:c r="A14" s="22" t="str">
        <x:v>5 Decision</x:v>
      </x:c>
      <x:c r="B14" s="22" t="str">
        <x:v>Limits and conversion complete</x:v>
      </x:c>
      <x:c r="C14" s="22" t="str">
        <x:v>Convert to μg/L</x:v>
      </x:c>
      <x:c r="D14" s="22" t="str">
        <x:v>Recommend ≈21.3 μg/L</x:v>
      </x:c>
      <x:c r="E14" s="22" t="str">
        <x:v>Acid is not the control</x:v>
      </x:c>
      <x:c r="F14" s="22" t="str">
        <x:v>Set intake alarm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Ba mol/s</x:v>
      </x:c>
      <x:c r="C18" s="18" t="str">
        <x:v>Approx. Ba μg/L</x:v>
      </x:c>
      <x:c r="D18" s="18" t="str">
        <x:v>Concentration factor</x:v>
      </x:c>
      <x:c r="E18" s="18" t="str">
        <x:v>Barite SI</x:v>
      </x:c>
      <x:c r="F18" s="18" t="str">
        <x:v>- SI</x:v>
      </x:c>
      <x:c r="G18" s="18" t="str">
        <x:v>-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2" t="str">
        <x:v>Ba mol/s</x:v>
      </x:c>
      <x:c r="P18" s="42" t="str">
        <x:v>Barite SI</x:v>
      </x:c>
    </x:row>
    <x:row r="19" ht="27" customHeight="1">
      <x:c r="A19" s="34" t="n">
        <x:v>1</x:v>
      </x:c>
      <x:c r="B19" s="35" t="n">
        <x:v>1e-9</x:v>
      </x:c>
      <x:c r="C19" s="36" t="n">
        <x:f>B19*137.327*1000000</x:f>
        <x:v>0.137327</x:v>
      </x:c>
      <x:c r="D19" s="36" t="n">
        <x:f>1/(1-0.45)</x:f>
        <x:v>1.8181818181818181</x:v>
      </x:c>
      <x:c r="E19" s="37" t="n">
        <x:v>-2.2406466461</x:v>
      </x:c>
      <x:c r="F19" s="37"/>
      <x:c r="G19" s="37"/>
      <x:c r="H19" s="37" t="n">
        <x:v>7.394755183</x:v>
      </x:c>
      <x:c r="I19" s="37" t="n">
        <x:v>45.48997882</x:v>
      </x:c>
      <x:c r="J19" s="39" t="str">
        <x:v>PASS</x:v>
      </x:c>
      <x:c r="K19" s="39" t="str">
        <x:v>PASS</x:v>
      </x:c>
      <x:c r="L19" s="34" t="str">
        <x:v>Near-zero-Ba baseline</x:v>
      </x:c>
      <x:c r="O19" s="42" t="n">
        <x:v>1e-9</x:v>
      </x:c>
      <x:c r="P19" s="42" t="n">
        <x:v>-2.2406466461</x:v>
      </x:c>
    </x:row>
    <x:row r="20" ht="27" customHeight="1">
      <x:c r="A20" s="34" t="n">
        <x:v>2</x:v>
      </x:c>
      <x:c r="B20" s="35" t="n">
        <x:v>2e-7</x:v>
      </x:c>
      <x:c r="C20" s="36" t="n">
        <x:f>B20*137.327*1000000</x:f>
        <x:v>27.4654</x:v>
      </x:c>
      <x:c r="D20" s="36" t="n">
        <x:f>1/(1-0.45)</x:f>
        <x:v>1.8181818181818181</x:v>
      </x:c>
      <x:c r="E20" s="37" t="n">
        <x:v>0.0603828534</x:v>
      </x:c>
      <x:c r="F20" s="37"/>
      <x:c r="G20" s="37"/>
      <x:c r="H20" s="37" t="n">
        <x:v>7.39475515</x:v>
      </x:c>
      <x:c r="I20" s="37" t="n">
        <x:v>45.49000521</x:v>
      </x:c>
      <x:c r="J20" s="41" t="str">
        <x:v>FAIL</x:v>
      </x:c>
      <x:c r="K20" s="41" t="str">
        <x:v>FAIL</x:v>
      </x:c>
      <x:c r="L20" s="34" t="str">
        <x:v>High point fails</x:v>
      </x:c>
      <x:c r="O20" s="42" t="n">
        <x:v>2e-7</x:v>
      </x:c>
      <x:c r="P20" s="42" t="n">
        <x:v>0.0603828534</x:v>
      </x:c>
    </x:row>
    <x:row r="21" ht="27" customHeight="1">
      <x:c r="A21" s="34" t="n">
        <x:v>3</x:v>
      </x:c>
      <x:c r="B21" s="35" t="n">
        <x:v>1.5e-7</x:v>
      </x:c>
      <x:c r="C21" s="36" t="n">
        <x:f>B21*137.327*1000000</x:f>
        <x:v>20.59905</x:v>
      </x:c>
      <x:c r="D21" s="36" t="n">
        <x:f>1/(1-0.45)</x:f>
        <x:v>1.8181818181818181</x:v>
      </x:c>
      <x:c r="E21" s="37" t="n">
        <x:v>-0.0645557585</x:v>
      </x:c>
      <x:c r="F21" s="37"/>
      <x:c r="G21" s="37"/>
      <x:c r="H21" s="37" t="n">
        <x:v>7.394755158</x:v>
      </x:c>
      <x:c r="I21" s="37" t="n">
        <x:v>45.48999858</x:v>
      </x:c>
      <x:c r="J21" s="39" t="str">
        <x:v>PASS</x:v>
      </x:c>
      <x:c r="K21" s="39" t="str">
        <x:v>PASS</x:v>
      </x:c>
      <x:c r="L21" s="34" t="str">
        <x:v>Safe; move upward</x:v>
      </x:c>
      <x:c r="O21" s="42" t="n">
        <x:v>1.5e-7</x:v>
      </x:c>
      <x:c r="P21" s="42" t="n">
        <x:v>-0.0645557585</x:v>
      </x:c>
    </x:row>
    <x:row r="22" ht="27" customHeight="1">
      <x:c r="A22" s="34" t="n">
        <x:v>4</x:v>
      </x:c>
      <x:c r="B22" s="35" t="n">
        <x:v>1.7e-7</x:v>
      </x:c>
      <x:c r="C22" s="36" t="n">
        <x:f>B22*137.327*1000000</x:f>
        <x:v>23.345589999999998</x:v>
      </x:c>
      <x:c r="D22" s="36" t="n">
        <x:f>1/(1-0.45)</x:f>
        <x:v>1.8181818181818181</x:v>
      </x:c>
      <x:c r="E22" s="37" t="n">
        <x:v>-0.0101981461</x:v>
      </x:c>
      <x:c r="F22" s="37"/>
      <x:c r="G22" s="37"/>
      <x:c r="H22" s="37" t="n">
        <x:v>7.394755155</x:v>
      </x:c>
      <x:c r="I22" s="37" t="n">
        <x:v>45.49000123</x:v>
      </x:c>
      <x:c r="J22" s="39" t="str">
        <x:v>PASS</x:v>
      </x:c>
      <x:c r="K22" s="41" t="str">
        <x:v>FAIL</x:v>
      </x:c>
      <x:c r="L22" s="34" t="str">
        <x:v>Basic-safe; near limit</x:v>
      </x:c>
      <x:c r="O22" s="42" t="n">
        <x:v>1.7e-7</x:v>
      </x:c>
      <x:c r="P22" s="42" t="n">
        <x:v>-0.0101981461</x:v>
      </x:c>
    </x:row>
    <x:row r="23" ht="27" customHeight="1">
      <x:c r="A23" s="34" t="n">
        <x:v>5</x:v>
      </x:c>
      <x:c r="B23" s="35" t="n">
        <x:v>1.74e-7</x:v>
      </x:c>
      <x:c r="C23" s="36" t="n">
        <x:f>B23*137.327*1000000</x:f>
        <x:v>23.894897999999998</x:v>
      </x:c>
      <x:c r="D23" s="36" t="n">
        <x:f>1/(1-0.45)</x:f>
        <x:v>1.8181818181818181</x:v>
      </x:c>
      <x:c r="E23" s="37" t="n">
        <x:v>-0.0000978291</x:v>
      </x:c>
      <x:c r="F23" s="37"/>
      <x:c r="G23" s="37"/>
      <x:c r="H23" s="37" t="n">
        <x:v>7.394755154</x:v>
      </x:c>
      <x:c r="I23" s="37" t="n">
        <x:v>45.49000177</x:v>
      </x:c>
      <x:c r="J23" s="39" t="str">
        <x:v>PASS</x:v>
      </x:c>
      <x:c r="K23" s="41" t="str">
        <x:v>FAIL</x:v>
      </x:c>
      <x:c r="L23" s="34" t="str">
        <x:v>Basic-boundary pass</x:v>
      </x:c>
      <x:c r="O23" s="42" t="n">
        <x:v>1.74e-7</x:v>
      </x:c>
      <x:c r="P23" s="42" t="n">
        <x:v>-0.0000978291</x:v>
      </x:c>
    </x:row>
    <x:row r="24" ht="27" customHeight="1">
      <x:c r="A24" s="34" t="n">
        <x:v>6</x:v>
      </x:c>
      <x:c r="B24" s="35" t="n">
        <x:v>1.75e-7</x:v>
      </x:c>
      <x:c r="C24" s="36" t="n">
        <x:f>B24*137.327*1000000</x:f>
        <x:v>24.032224999999997</x:v>
      </x:c>
      <x:c r="D24" s="36" t="n">
        <x:f>1/(1-0.45)</x:f>
        <x:v>1.8181818181818181</x:v>
      </x:c>
      <x:c r="E24" s="37" t="n">
        <x:v>0.0023909688</x:v>
      </x:c>
      <x:c r="F24" s="37"/>
      <x:c r="G24" s="37"/>
      <x:c r="H24" s="37" t="n">
        <x:v>7.394755154</x:v>
      </x:c>
      <x:c r="I24" s="37" t="n">
        <x:v>45.4900019</x:v>
      </x:c>
      <x:c r="J24" s="41" t="str">
        <x:v>FAIL</x:v>
      </x:c>
      <x:c r="K24" s="41" t="str">
        <x:v>FAIL</x:v>
      </x:c>
      <x:c r="L24" s="34" t="str">
        <x:v>Basic-boundary fail</x:v>
      </x:c>
      <x:c r="O24" s="42" t="n">
        <x:v>1.75e-7</x:v>
      </x:c>
      <x:c r="P24" s="42" t="n">
        <x:v>0.0023909688</x:v>
      </x:c>
    </x:row>
    <x:row r="25" ht="27" customHeight="1">
      <x:c r="A25" s="34" t="n">
        <x:v>7</x:v>
      </x:c>
      <x:c r="B25" s="35" t="n">
        <x:v>1.55e-7</x:v>
      </x:c>
      <x:c r="C25" s="36" t="n">
        <x:f>B25*137.327*1000000</x:f>
        <x:v>21.285685</x:v>
      </x:c>
      <x:c r="D25" s="36" t="n">
        <x:f>1/(1-0.45)</x:f>
        <x:v>1.8181818181818181</x:v>
      </x:c>
      <x:c r="E25" s="37" t="n">
        <x:v>-0.0503153319</x:v>
      </x:c>
      <x:c r="F25" s="37"/>
      <x:c r="G25" s="37"/>
      <x:c r="H25" s="37" t="n">
        <x:v>7.394755157</x:v>
      </x:c>
      <x:c r="I25" s="37" t="n">
        <x:v>45.48999924</x:v>
      </x:c>
      <x:c r="J25" s="39" t="str">
        <x:v>PASS</x:v>
      </x:c>
      <x:c r="K25" s="39" t="str">
        <x:v>PASS</x:v>
      </x:c>
      <x:c r="L25" s="34" t="str">
        <x:v>Alarm-margin pass</x:v>
      </x:c>
      <x:c r="O25" s="42" t="n">
        <x:v>1.55e-7</x:v>
      </x:c>
      <x:c r="P25" s="42" t="n">
        <x:v>-0.0503153319</x:v>
      </x:c>
    </x:row>
    <x:row r="26" ht="27" customHeight="1">
      <x:c r="A26" s="34" t="n">
        <x:v>8</x:v>
      </x:c>
      <x:c r="B26" s="35" t="n">
        <x:v>1.56e-7</x:v>
      </x:c>
      <x:c r="C26" s="36" t="n">
        <x:f>B26*137.327*1000000</x:f>
        <x:v>21.423011999999996</x:v>
      </x:c>
      <x:c r="D26" s="36" t="n">
        <x:f>1/(1-0.45)</x:f>
        <x:v>1.8181818181818181</x:v>
      </x:c>
      <x:c r="E26" s="37" t="n">
        <x:v>-0.0475224342</x:v>
      </x:c>
      <x:c r="F26" s="37"/>
      <x:c r="G26" s="37"/>
      <x:c r="H26" s="37" t="n">
        <x:v>7.394755157</x:v>
      </x:c>
      <x:c r="I26" s="37" t="n">
        <x:v>45.48999938</x:v>
      </x:c>
      <x:c r="J26" s="39" t="str">
        <x:v>PASS</x:v>
      </x:c>
      <x:c r="K26" s="41" t="str">
        <x:v>FAIL</x:v>
      </x:c>
      <x:c r="L26" s="34" t="str">
        <x:v>Alarm-margin fail</x:v>
      </x:c>
      <x:c r="O26" s="42" t="n">
        <x:v>1.56e-7</x:v>
      </x:c>
      <x:c r="P26" s="42" t="n">
        <x:v>-0.0475224342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29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30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  <x:row r="31" ht="38" customHeight="1">
      <x:c r="A31" s="22" t="str">
        <x:v>Basic-safe boundary</x:v>
      </x:c>
      <x:c r="B31" s="22" t="str">
        <x:v>1.75e-7</x:v>
      </x:c>
      <x:c r="C31" s="22" t="str">
        <x:v>1.74e-7</x:v>
      </x:c>
      <x:c r="D31" s="22" t="str">
        <x:v>0.00239 → -0.00010</x:v>
      </x:c>
      <x:c r="E31" s="22" t="str">
        <x:v>Adjacent points prove basic boundary</x:v>
      </x:c>
      <x:c r="F31" s="22" t="str">
        <x:v>Basic-safe Ba limit: 1.74×10^-7 mol/s. Recommended alarm limit: 1.55×10^-7 mol/s, approximately 21.3 μg/L.</x:v>
      </x:c>
      <x:c r="H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31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  <x:row r="32" ht="38" customHeight="1">
      <x:c r="A32" s="22" t="str">
        <x:v>Recommended-margin boundary</x:v>
      </x:c>
      <x:c r="B32" s="22" t="str">
        <x:v>1.56e-7</x:v>
      </x:c>
      <x:c r="C32" s="22" t="str">
        <x:v>1.55e-7</x:v>
      </x:c>
      <x:c r="D32" s="22" t="str">
        <x:v>-0.04752 → -0.05032</x:v>
      </x:c>
      <x:c r="E32" s="22" t="str">
        <x:v>Adjacent points prove recommended boundary</x:v>
      </x:c>
      <x:c r="F32" s="22" t="str">
        <x:v>Basic-safe Ba limit: 1.74×10^-7 mol/s. Recommended alarm limit: 1.55×10^-7 mol/s, approximately 21.3 μg/L.</x:v>
      </x:c>
      <x:c r="H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32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  <x:row r="33" ht="38" customHeight="1">
      <x:c r="A33" s="22" t="str">
        <x:v>Controlling mineral</x:v>
      </x:c>
      <x:c r="B33" s="22" t="str">
        <x:v>Barite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equilibrate_feed</x:v>
      </x:c>
      <x:c r="H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33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1.55e-7</x:v>
      </x:c>
      <x:c r="D34" s="22" t="str">
        <x:v>SI=-0.05032</x:v>
      </x:c>
      <x:c r="E34" s="22" t="str">
        <x:v>Basic-safe Ba limit: 1.74×10^-7 mol/s. Recommended alarm limit: 1.55×10^-7 mol/s, approximately 21.3 μg/L.</x:v>
      </x:c>
      <x:c r="F34" s="22" t="str">
        <x:v>Use recommended-margin boundary</x:v>
      </x:c>
      <x:c r="H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I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J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K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L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M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N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O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  <x:c r="P34" s="32" t="str">
        <x:v>Final conclusion
Basic-safe Ba limit: 1.74×10^-7 mol/s. Recommended alarm limit: 1.55×10^-7 mol/s, approximately 21.3 μg/L.
Key simulation evidence: basic fail/pass=1.75e-7/1.74e-7; recommended-margin fail/pass=1.56e-7/1.55e-7. Eight equilibrate_feed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02cd2886c9ff49a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N02: Trajectory Quality Rubric (100 points)</x:v>
      </x:c>
      <x:c r="B1" s="5" t="str">
        <x:v>D5-5a N02: Trajectory Quality Rubric (100 points)</x:v>
      </x:c>
      <x:c r="C1" s="5" t="str">
        <x:v>D5-5a N02: Trajectory Quality Rubric (100 points)</x:v>
      </x:c>
      <x:c r="D1" s="5" t="str">
        <x:v>D5-5a N02: Trajectory Quality Rubric (100 points)</x:v>
      </x:c>
      <x:c r="E1" s="5" t="str">
        <x:v>D5-5a N02: Trajectory Quality Rubric (100 points)</x:v>
      </x:c>
      <x:c r="F1" s="5" t="str">
        <x:v>D5-5a N02: Trajectory Quality Rubric (100 points)</x:v>
      </x:c>
      <x:c r="G1" s="5" t="str">
        <x:v>D5-5a N02: Trajectory Quality Rubric (100 points)</x:v>
      </x:c>
    </x:row>
    <x:row r="2">
      <x:c r="A2" s="5" t="str">
        <x:v>D5-5a N02: Trajectory Quality Rubric (100 points)</x:v>
      </x:c>
      <x:c r="B2" s="5" t="str">
        <x:v>D5-5a N02: Trajectory Quality Rubric (100 points)</x:v>
      </x:c>
      <x:c r="C2" s="5" t="str">
        <x:v>D5-5a N02: Trajectory Quality Rubric (100 points)</x:v>
      </x:c>
      <x:c r="D2" s="5" t="str">
        <x:v>D5-5a N02: Trajectory Quality Rubric (100 points)</x:v>
      </x:c>
      <x:c r="E2" s="5" t="str">
        <x:v>D5-5a N02: Trajectory Quality Rubric (100 points)</x:v>
      </x:c>
      <x:c r="F2" s="5" t="str">
        <x:v>D5-5a N02: Trajectory Quality Rubric (100 points)</x:v>
      </x:c>
      <x:c r="G2" s="5" t="str">
        <x:v>D5-5a N02: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Ba mol/s; basic=Barite SI&lt;0; margin=Barite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1e-9 mol/s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equilibrate_feed;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1.74e-7 pass / 1.75e-7 fail; margin 1.55e-7 pass / 1.56e-7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Basic-safe Ba limit: 1.74×10^-7 mol/s. Recommended alarm limit: 1.55×10^-7 mol/s, approximately 21.3 μg/L.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equilibrate_feed</x:v>
      </x:c>
      <x:c r="C20" s="22" t="str">
        <x:v>Scope: this is a BaSO4 thermodynamic boundary. HCl does not materially control sulfate scale and must not replace source control/alarming.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N02: Tool Usage Efficiency (100 points)</x:v>
      </x:c>
      <x:c r="B1" s="5" t="str">
        <x:v>D5-5a N02: Tool Usage Efficiency (100 points)</x:v>
      </x:c>
      <x:c r="C1" s="5" t="str">
        <x:v>D5-5a N02: Tool Usage Efficiency (100 points)</x:v>
      </x:c>
      <x:c r="D1" s="5" t="str">
        <x:v>D5-5a N02: Tool Usage Efficiency (100 points)</x:v>
      </x:c>
      <x:c r="E1" s="5" t="str">
        <x:v>D5-5a N02: Tool Usage Efficiency (100 points)</x:v>
      </x:c>
      <x:c r="F1" s="5" t="str">
        <x:v>D5-5a N02: Tool Usage Efficiency (100 points)</x:v>
      </x:c>
      <x:c r="G1" s="5" t="str">
        <x:v>D5-5a N02: Tool Usage Efficiency (100 points)</x:v>
      </x:c>
    </x:row>
    <x:row r="2">
      <x:c r="A2" s="5" t="str">
        <x:v>D5-5a N02: Tool Usage Efficiency (100 points)</x:v>
      </x:c>
      <x:c r="B2" s="5" t="str">
        <x:v>D5-5a N02: Tool Usage Efficiency (100 points)</x:v>
      </x:c>
      <x:c r="C2" s="5" t="str">
        <x:v>D5-5a N02: Tool Usage Efficiency (100 points)</x:v>
      </x:c>
      <x:c r="D2" s="5" t="str">
        <x:v>D5-5a N02: Tool Usage Efficiency (100 points)</x:v>
      </x:c>
      <x:c r="E2" s="5" t="str">
        <x:v>D5-5a N02: Tool Usage Efficiency (100 points)</x:v>
      </x:c>
      <x:c r="F2" s="5" t="str">
        <x:v>D5-5a N02: Tool Usage Efficiency (100 points)</x:v>
      </x:c>
      <x:c r="G2" s="5" t="str">
        <x:v>D5-5a N02: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equilibrate_feed;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this is a BaSO4 thermodynamic boundary. HCl does not materially control sulfate scale and must not replace source control/alarming.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1.74e-7/1.75e-7; margin 1.55e-7/1.56e-7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3" t="str">
        <x:v>Tool-efficiency total</x:v>
      </x:c>
      <x:c r="G15" s="43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