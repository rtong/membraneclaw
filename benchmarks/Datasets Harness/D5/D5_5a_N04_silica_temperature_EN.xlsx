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95927d52e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55d18edb5aa46b6"/>
    <x:sheet xmlns:r="http://schemas.openxmlformats.org/officeDocument/2006/relationships" name="Gold_Answer_A" sheetId="2" r:id="Rcbbb8e337a514ea9"/>
    <x:sheet xmlns:r="http://schemas.openxmlformats.org/officeDocument/2006/relationships" name="Trajectory_Rubric" sheetId="3" r:id="Re23d6cfb175e418f"/>
    <x:sheet xmlns:r="http://schemas.openxmlformats.org/officeDocument/2006/relationships" name="Tool_Efficiency" sheetId="4" r:id="Rffbe85b5d7fa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e578f38e94074" /><Relationship Type="http://schemas.openxmlformats.org/officeDocument/2006/relationships/theme" Target="/xl/theme/theme1.xml" Id="Re7814303321c49c7" /><Relationship Type="http://schemas.openxmlformats.org/officeDocument/2006/relationships/sharedStrings" Target="/xl/sharedStrings.xml" Id="R941cea4998814131" /><Relationship Type="http://schemas.openxmlformats.org/officeDocument/2006/relationships/worksheet" Target="/xl/worksheets/sheet1.xml" Id="R355d18edb5aa46b6" /><Relationship Type="http://schemas.openxmlformats.org/officeDocument/2006/relationships/worksheet" Target="/xl/worksheets/sheet2.xml" Id="Rcbbb8e337a514ea9" /><Relationship Type="http://schemas.openxmlformats.org/officeDocument/2006/relationships/worksheet" Target="/xl/worksheets/sheet3.xml" Id="Re23d6cfb175e418f" /><Relationship Type="http://schemas.openxmlformats.org/officeDocument/2006/relationships/worksheet" Target="/xl/worksheets/sheet4.xml" Id="Rffbe85b5d7fa48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9a15f8641346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Temperature °C vs SiO2(a) SI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SiO2(a) SI</c:v>
          </c:tx>
          <c:marker>
            <c:symbol val="none"/>
          </c:marker>
          <c:cat>
            <c:strRef>
              <c:f>'Gold_Answer_A'!$O$19:$O$26</c:f>
              <c:strCache>
                <c:ptCount val="0"/>
              </c:strCache>
            </c:strRef>
          </c:cat>
          <c:val>
            <c:numRef>
              <c:f>'Gold_Answer_A'!$P$19:$P$26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9a15f8641346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1e150fb44da40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7" hidden="0" customWidth="1"/>
    <x:col min="5" max="5" width="4" hidden="0" customWidth="1"/>
    <x:col min="6" max="6" width="26" hidden="0" customWidth="1"/>
    <x:col min="7" max="7" width="32" hidden="0" customWidth="1"/>
    <x:col min="8" max="8" width="38" hidden="0" customWidth="1"/>
  </x:cols>
  <x:sheetData>
    <x:row r="1" ht="25" customHeight="1">
      <x:c r="A1" s="5" t="str">
        <x:v>D5-5a N04: Minimum Operating Temperature for Winter Silica Control in High-Recovery BWRO</x:v>
      </x:c>
      <x:c r="B1" s="5" t="str">
        <x:v>D5-5a N04: Minimum Operating Temperature for Winter Silica Control in High-Recovery BWRO</x:v>
      </x:c>
      <x:c r="C1" s="5" t="str">
        <x:v>D5-5a N04: Minimum Operating Temperature for Winter Silica Control in High-Recovery BWRO</x:v>
      </x:c>
      <x:c r="D1" s="5" t="str">
        <x:v>D5-5a N04: Minimum Operating Temperature for Winter Silica Control in High-Recovery BWRO</x:v>
      </x:c>
      <x:c r="E1" s="5" t="str">
        <x:v>D5-5a N04: Minimum Operating Temperature for Winter Silica Control in High-Recovery BWRO</x:v>
      </x:c>
      <x:c r="F1" s="5" t="str">
        <x:v>D5-5a N04: Minimum Operating Temperature for Winter Silica Control in High-Recovery BWRO</x:v>
      </x:c>
      <x:c r="G1" s="5" t="str">
        <x:v>D5-5a N04: Minimum Operating Temperature for Winter Silica Control in High-Recovery BWRO</x:v>
      </x:c>
      <x:c r="H1" s="5" t="str">
        <x:v>D5-5a N04: Minimum Operating Temperature for Winter Silica Control in High-Recovery BWRO</x:v>
      </x:c>
    </x:row>
    <x:row r="2" ht="25" customHeight="1">
      <x:c r="A2" s="5" t="str">
        <x:v>D5-5a N04: Minimum Operating Temperature for Winter Silica Control in High-Recovery BWRO</x:v>
      </x:c>
      <x:c r="B2" s="5" t="str">
        <x:v>D5-5a N04: Minimum Operating Temperature for Winter Silica Control in High-Recovery BWRO</x:v>
      </x:c>
      <x:c r="C2" s="5" t="str">
        <x:v>D5-5a N04: Minimum Operating Temperature for Winter Silica Control in High-Recovery BWRO</x:v>
      </x:c>
      <x:c r="D2" s="5" t="str">
        <x:v>D5-5a N04: Minimum Operating Temperature for Winter Silica Control in High-Recovery BWRO</x:v>
      </x:c>
      <x:c r="E2" s="5" t="str">
        <x:v>D5-5a N04: Minimum Operating Temperature for Winter Silica Control in High-Recovery BWRO</x:v>
      </x:c>
      <x:c r="F2" s="5" t="str">
        <x:v>D5-5a N04: Minimum Operating Temperature for Winter Silica Control in High-Recovery BWRO</x:v>
      </x:c>
      <x:c r="G2" s="5" t="str">
        <x:v>D5-5a N04: Minimum Operating Temperature for Winter Silica Control in High-Recovery BWRO</x:v>
      </x:c>
      <x:c r="H2" s="5" t="str">
        <x:v>D5-5a N04: Minimum Operating Temperature for Winter Silica Control in High-Recovery BWRO</x:v>
      </x:c>
    </x:row>
    <x:row r="4" ht="28" customHeight="1">
      <x:c r="A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B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C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D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E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F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G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H4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</x:row>
    <x:row r="5" ht="28" customHeight="1">
      <x:c r="A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B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C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D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E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F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G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H5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</x:row>
    <x:row r="6" ht="28" customHeight="1">
      <x:c r="A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B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C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D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E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F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G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  <x:c r="H6" s="9" t="str">
        <x:v>A high-recovery BWRO plant experiences substantially colder winter feed and historically rising differential pressure in cold periods. Chemicals, pH and recovery remain fixed. Use equilibrate_feed and vary only temperature_c to determine the amorphous-silica SiO2(a) cold boundary: (1) the minimum operating temperature with SI&lt;0 and (2) the minimum recommended temperature with SI≤-0.05. Use adjacent fail/pass points at 1°C resolution and explain that operation below the recommendation requires recovery derating or source switching; the thermodynamic boundary is not a kinetic scaling-rate model.</x:v>
      </x:c>
    </x:row>
    <x:row r="8">
      <x:c r="A8" s="12" t="str">
        <x:v>Fixed Operating Conditions and Constraints</x:v>
      </x:c>
      <x:c r="B8" s="12" t="str">
        <x:v>Fixed Operating Conditions and Constraints</x:v>
      </x:c>
      <x:c r="C8" s="12" t="str">
        <x:v>Fixed Operating Conditions and Constraints</x:v>
      </x:c>
      <x:c r="D8" s="12" t="str">
        <x:v>Fixed Operating Conditions and Constraints</x:v>
      </x:c>
      <x:c r="F8" s="12" t="str">
        <x:v>Criteria and Optimization Objective</x:v>
      </x:c>
      <x:c r="G8" s="12" t="str">
        <x:v>Criteria and Optimization Objective</x:v>
      </x:c>
      <x:c r="H8" s="12" t="str">
        <x:v>Criteria and Optimization Objective</x:v>
      </x:c>
    </x:row>
    <x:row r="9" ht="25" customHeight="1">
      <x:c r="A9" s="18" t="str">
        <x:v>Parameter</x:v>
      </x:c>
      <x:c r="B9" s="18" t="str">
        <x:v>Value</x:v>
      </x:c>
      <x:c r="C9" s="18" t="str">
        <x:v>Unit</x:v>
      </x:c>
      <x:c r="D9" s="18" t="str">
        <x:v>Notes</x:v>
      </x:c>
      <x:c r="F9" s="18" t="str">
        <x:v>Criterion</x:v>
      </x:c>
      <x:c r="G9" s="18" t="str">
        <x:v>Requirement</x:v>
      </x:c>
      <x:c r="H9" s="18" t="str">
        <x:v>Engineering meaning</x:v>
      </x:c>
    </x:row>
    <x:row r="10" ht="28" customHeight="1">
      <x:c r="A10" s="22" t="str">
        <x:v>Pressure</x:v>
      </x:c>
      <x:c r="B10" s="23" t="n">
        <x:v>1.013</x:v>
      </x:c>
      <x:c r="C10" s="22" t="str">
        <x:v>bar</x:v>
      </x:c>
      <x:c r="D10" s="22" t="str">
        <x:v>chemical equilibrium</x:v>
      </x:c>
      <x:c r="F10" s="22" t="str">
        <x:v>Basic safety</x:v>
      </x:c>
      <x:c r="G10" s="22" t="str">
        <x:v>SiO2(a) SI&lt;0</x:v>
      </x:c>
      <x:c r="H10" s="22" t="str">
        <x:v>Thermodynamically undersaturated</x:v>
      </x:c>
    </x:row>
    <x:row r="11" ht="28" customHeight="1">
      <x:c r="A11" s="22" t="str">
        <x:v>Feed pH</x:v>
      </x:c>
      <x:c r="B11" s="23" t="n">
        <x:v>7.2</x:v>
      </x:c>
      <x:c r="C11" s="22" t="str">
        <x:v>-</x:v>
      </x:c>
      <x:c r="D11" s="22" t="str">
        <x:v>fixed</x:v>
      </x:c>
      <x:c r="F11" s="22" t="str">
        <x:v>Recommended margin</x:v>
      </x:c>
      <x:c r="G11" s="22" t="str">
        <x:v>SiO2(a) SI≤-0.05</x:v>
      </x:c>
      <x:c r="H11" s="22" t="str">
        <x:v>Benchmark-specific; not a universal standard</x:v>
      </x:c>
    </x:row>
    <x:row r="12" ht="28" customHeight="1">
      <x:c r="A12" s="22" t="str">
        <x:v>Water recovery</x:v>
      </x:c>
      <x:c r="B12" s="23" t="n">
        <x:v>0.82</x:v>
      </x:c>
      <x:c r="C12" s="22" t="str">
        <x:v>-</x:v>
      </x:c>
      <x:c r="D12" s="22" t="str">
        <x:v>high-recovery BWRO</x:v>
      </x:c>
      <x:c r="F12" s="22" t="str">
        <x:v>Objective</x:v>
      </x:c>
      <x:c r="G12" s="22" t="str">
        <x:v>Minimize allowable operating temperature</x:v>
      </x:c>
      <x:c r="H12" s="22" t="str">
        <x:v>Adjacent pass/fail proof required</x:v>
      </x:c>
    </x:row>
    <x:row r="13" ht="28" customHeight="1">
      <x:c r="A13" s="22" t="str">
        <x:v>Temperature</x:v>
      </x:c>
      <x:c r="B13" s="23" t="str">
        <x:v>decision variable</x:v>
      </x:c>
      <x:c r="C13" s="22" t="str">
        <x:v>°C</x:v>
      </x:c>
      <x:c r="D13" s="22" t="str">
        <x:v>1°C resolution</x:v>
      </x:c>
    </x:row>
    <x:row r="14" ht="28" customHeight="1">
      <x:c r="A14" s="22" t="str">
        <x:v>Mineral</x:v>
      </x:c>
      <x:c r="B14" s="23" t="str">
        <x:v>SiO2(a)</x:v>
      </x:c>
      <x:c r="C14" s="22" t="str">
        <x:v>-</x:v>
      </x:c>
      <x:c r="D14" s="22" t="str">
        <x:v>amorphous silica</x:v>
      </x:c>
      <x:c r="F14" s="12" t="str">
        <x:v>Required Tasks</x:v>
      </x:c>
      <x:c r="G14" s="12" t="str">
        <x:v>Required Tasks</x:v>
      </x:c>
      <x:c r="H14" s="12" t="str">
        <x:v>Required Tasks</x:v>
      </x:c>
    </x:row>
    <x:row r="15" ht="28" customHeight="1">
      <x:c r="A15" s="22" t="str">
        <x:v>Acid / base dose</x:v>
      </x:c>
      <x:c r="B15" s="23" t="n">
        <x:v>0</x:v>
      </x:c>
      <x:c r="C15" s="22" t="str">
        <x:v>mol/s</x:v>
      </x:c>
      <x:c r="D15" s="22" t="str">
        <x:v>fixed</x:v>
      </x:c>
      <x:c r="F15" s="24" t="str">
        <x:v>1. Use a cold point and a warm point to determine directionality.</x:v>
      </x:c>
      <x:c r="G15" s="24" t="str">
        <x:v>1. Use a cold point and a warm point to determine directionality.</x:v>
      </x:c>
      <x:c r="H15" s="24" t="str">
        <x:v>1. Use a cold point and a warm point to determine directionality.</x:v>
      </x:c>
    </x:row>
    <x:row r="16" ht="28" customHeight="1">
      <x:c r="A16" s="22" t="str">
        <x:v>Primary tool</x:v>
      </x:c>
      <x:c r="B16" s="23" t="str">
        <x:v>equilibrate_feed</x:v>
      </x:c>
      <x:c r="C16" s="22" t="str">
        <x:v>-</x:v>
      </x:c>
      <x:c r="D16" s="22" t="str">
        <x:v>temperature boundary search</x:v>
      </x:c>
      <x:c r="F16" s="24" t="str">
        <x:v>2. Create an unsafe/safe temperature bracket.</x:v>
      </x:c>
      <x:c r="G16" s="24" t="str">
        <x:v>2. Create an unsafe/safe temperature bracket.</x:v>
      </x:c>
      <x:c r="H16" s="24" t="str">
        <x:v>2. Create an unsafe/safe temperature bracket.</x:v>
      </x:c>
    </x:row>
    <x:row r="17" ht="28" customHeight="1">
      <x:c r="F17" s="24" t="str">
        <x:v>3. Locate the minimum basic-safe temperature at 1°C resolution.</x:v>
      </x:c>
      <x:c r="G17" s="24" t="str">
        <x:v>3. Locate the minimum basic-safe temperature at 1°C resolution.</x:v>
      </x:c>
      <x:c r="H17" s="24" t="str">
        <x:v>3. Locate the minimum basic-safe temperature at 1°C resolution.</x:v>
      </x:c>
    </x:row>
    <x:row r="18" ht="36" customHeight="1">
      <x:c r="A18" s="12" t="str">
        <x:v>Feed Composition (simulator input)</x:v>
      </x:c>
      <x:c r="B18" s="12" t="str">
        <x:v>Feed Composition (simulator input)</x:v>
      </x:c>
      <x:c r="C18" s="12" t="str">
        <x:v>Feed Composition (simulator input)</x:v>
      </x:c>
      <x:c r="D18" s="12" t="str">
        <x:v>Feed Composition (simulator input)</x:v>
      </x:c>
      <x:c r="F18" s="24" t="str">
        <x:v>4. Locate the minimum recommended temperature at SI≤-0.05.</x:v>
      </x:c>
      <x:c r="G18" s="24" t="str">
        <x:v>4. Locate the minimum recommended temperature at SI≤-0.05.</x:v>
      </x:c>
      <x:c r="H18" s="24" t="str">
        <x:v>4. Locate the minimum recommended temperature at SI≤-0.05.</x:v>
      </x:c>
    </x:row>
    <x:row r="19" ht="25" customHeight="1">
      <x:c r="A19" s="18" t="str">
        <x:v>Species</x:v>
      </x:c>
      <x:c r="B19" s="18" t="str">
        <x:v>Flow mol/s</x:v>
      </x:c>
      <x:c r="C19" s="18" t="str">
        <x:v>Note</x:v>
      </x:c>
      <x:c r="D19" s="18" t="str">
        <x:v>Status</x:v>
      </x:c>
      <x:c r="F19" s="24" t="str">
        <x:v>5. Report the seasonal operating action and the thermodynamic-model limitation.</x:v>
      </x:c>
      <x:c r="G19" s="24" t="str">
        <x:v>5. Report the seasonal operating action and the thermodynamic-model limitation.</x:v>
      </x:c>
      <x:c r="H19" s="24" t="str">
        <x:v>5. Report the seasonal operating action and the thermodynamic-model limitation.</x:v>
      </x:c>
    </x:row>
    <x:row r="20" ht="26" customHeight="1">
      <x:c r="A20" s="22" t="str">
        <x:v>H2O</x:v>
      </x:c>
      <x:c r="B20" s="22" t="n">
        <x:v>55.5</x:v>
      </x:c>
      <x:c r="C20" s="22" t="str">
        <x:v>required</x:v>
      </x:c>
      <x:c r="D20" s="22" t="str">
        <x:v>fixed</x:v>
      </x:c>
    </x:row>
    <x:row r="21" ht="26" customHeight="1">
      <x:c r="A21" s="22" t="str">
        <x:v>Na</x:v>
      </x:c>
      <x:c r="B21" s="22" t="n">
        <x:v>0.015</x:v>
      </x:c>
      <x:c r="C21" s="22" t="str"/>
      <x:c r="D21" s="22" t="str">
        <x:v>fixed</x:v>
      </x:c>
      <x:c r="F21" s="12" t="str">
        <x:v>Decision Variable and Search Requirement</x:v>
      </x:c>
      <x:c r="G21" s="12" t="str">
        <x:v>Decision Variable and Search Requirement</x:v>
      </x:c>
      <x:c r="H21" s="12" t="str">
        <x:v>Decision Variable and Search Requirement</x:v>
      </x:c>
    </x:row>
    <x:row r="22" ht="26" customHeight="1">
      <x:c r="A22" s="22" t="str">
        <x:v>Cl</x:v>
      </x:c>
      <x:c r="B22" s="22" t="n">
        <x:v>0.014</x:v>
      </x:c>
      <x:c r="C22" s="22" t="str"/>
      <x:c r="D22" s="22" t="str">
        <x:v>fixed</x:v>
      </x:c>
      <x:c r="F22" s="22" t="str">
        <x:v>Variable</x:v>
      </x:c>
      <x:c r="G22" s="22" t="str">
        <x:v>Temperature °C</x:v>
      </x:c>
      <x:c r="H22" s="22" t="str">
        <x:v>°C</x:v>
      </x:c>
    </x:row>
    <x:row r="23" ht="26" customHeight="1">
      <x:c r="A23" s="22" t="str">
        <x:v>Ca</x:v>
      </x:c>
      <x:c r="B23" s="22" t="n">
        <x:v>0.002</x:v>
      </x:c>
      <x:c r="C23" s="22" t="str"/>
      <x:c r="D23" s="22" t="str">
        <x:v>fixed</x:v>
      </x:c>
      <x:c r="F23" s="22" t="str">
        <x:v>Resolution</x:v>
      </x:c>
      <x:c r="G23" s="22" t="str">
        <x:v>1°C</x:v>
      </x:c>
      <x:c r="H23" s="22" t="str">
        <x:v>Final boundary</x:v>
      </x:c>
    </x:row>
    <x:row r="24" ht="26" customHeight="1">
      <x:c r="A24" s="22" t="str">
        <x:v>Mg</x:v>
      </x:c>
      <x:c r="B24" s="22" t="n">
        <x:v>0.001</x:v>
      </x:c>
      <x:c r="C24" s="22" t="str"/>
      <x:c r="D24" s="22" t="str">
        <x:v>fixed</x:v>
      </x:c>
      <x:c r="F24" s="22" t="str">
        <x:v>Primary tool</x:v>
      </x:c>
      <x:c r="G24" s="22" t="str">
        <x:v>equilibrate_feed</x:v>
      </x:c>
      <x:c r="H24" s="22" t="str">
        <x:v>8-call reference trajectory</x:v>
      </x:c>
    </x:row>
    <x:row r="25" ht="26" customHeight="1">
      <x:c r="A25" s="22" t="str">
        <x:v>HCO3</x:v>
      </x:c>
      <x:c r="B25" s="22" t="n">
        <x:v>0.004</x:v>
      </x:c>
      <x:c r="C25" s="22" t="str"/>
      <x:c r="D25" s="22" t="str">
        <x:v>fixed</x:v>
      </x:c>
      <x:c r="F25" s="22" t="str">
        <x:v>Controlling mineral</x:v>
      </x:c>
      <x:c r="G25" s="22" t="str">
        <x:v>SiO2(a)</x:v>
      </x:c>
      <x:c r="H25" s="22" t="str">
        <x:v>Confirmed from baseline/probes</x:v>
      </x:c>
    </x:row>
    <x:row r="26" ht="26" customHeight="1">
      <x:c r="A26" s="22" t="str">
        <x:v>SO4</x:v>
      </x:c>
      <x:c r="B26" s="22" t="n">
        <x:v>0.0015</x:v>
      </x:c>
      <x:c r="C26" s="22" t="str"/>
      <x:c r="D26" s="22" t="str">
        <x:v>fixed</x:v>
      </x:c>
    </x:row>
    <x:row r="27" ht="26" customHeight="1">
      <x:c r="A27" s="22" t="str">
        <x:v>SiO2</x:v>
      </x:c>
      <x:c r="B27" s="22" t="n">
        <x:v>0.0003</x:v>
      </x:c>
      <x:c r="C27" s="22" t="str">
        <x:v>dissolved silica</x:v>
      </x:c>
      <x:c r="D27" s="22" t="str">
        <x:v>fixed</x:v>
      </x:c>
      <x:c r="F27" s="28" t="str">
        <x:v>Scope: temperature is a feed condition, not a routine chemical control. Below the threshold, manage risk by derating recovery or blending. SI indicates thermodynamic saturation only.</x:v>
      </x:c>
      <x:c r="G27" s="28" t="str">
        <x:v>Scope: temperature is a feed condition, not a routine chemical control. Below the threshold, manage risk by derating recovery or blending. SI indicates thermodynamic saturation only.</x:v>
      </x:c>
      <x:c r="H27" s="28" t="str">
        <x:v>Scope: temperature is a feed condition, not a routine chemical control. Below the threshold, manage risk by derating recovery or blending. SI indicates thermodynamic saturation only.</x:v>
      </x:c>
    </x:row>
    <x:row r="28" ht="26" customHeight="1">
      <x:c r="F28" s="28" t="str">
        <x:v>Scope: temperature is a feed condition, not a routine chemical control. Below the threshold, manage risk by derating recovery or blending. SI indicates thermodynamic saturation only.</x:v>
      </x:c>
      <x:c r="G28" s="28" t="str">
        <x:v>Scope: temperature is a feed condition, not a routine chemical control. Below the threshold, manage risk by derating recovery or blending. SI indicates thermodynamic saturation only.</x:v>
      </x:c>
      <x:c r="H28" s="28" t="str">
        <x:v>Scope: temperature is a feed condition, not a routine chemical control. Below the threshold, manage risk by derating recovery or blending. SI indicates thermodynamic saturation only.</x:v>
      </x:c>
    </x:row>
    <x:row r="29" ht="26" customHeight="1">
      <x:c r="F29" s="28" t="str">
        <x:v>Scope: temperature is a feed condition, not a routine chemical control. Below the threshold, manage risk by derating recovery or blending. SI indicates thermodynamic saturation only.</x:v>
      </x:c>
      <x:c r="G29" s="28" t="str">
        <x:v>Scope: temperature is a feed condition, not a routine chemical control. Below the threshold, manage risk by derating recovery or blending. SI indicates thermodynamic saturation only.</x:v>
      </x:c>
      <x:c r="H29" s="28" t="str">
        <x:v>Scope: temperature is a feed condition, not a routine chemical control. Below the threshold, manage risk by derating recovery or blending. SI indicates thermodynamic saturation only.</x:v>
      </x:c>
    </x:row>
    <x:row r="30" ht="26" customHeight="1">
      <x:c r="F30" s="28" t="str">
        <x:v>Scope: temperature is a feed condition, not a routine chemical control. Below the threshold, manage risk by derating recovery or blending. SI indicates thermodynamic saturation only.</x:v>
      </x:c>
      <x:c r="G30" s="28" t="str">
        <x:v>Scope: temperature is a feed condition, not a routine chemical control. Below the threshold, manage risk by derating recovery or blending. SI indicates thermodynamic saturation only.</x:v>
      </x:c>
      <x:c r="H30" s="28" t="str">
        <x:v>Scope: temperature is a feed condition, not a routine chemical control. Below the threshold, manage risk by derating recovery or blending. SI indicates thermodynamic saturation only.</x:v>
      </x:c>
    </x:row>
  </x:sheetData>
  <x:mergeCells>
    <x:mergeCell ref="A1:H2"/>
    <x:mergeCell ref="A4:H6"/>
    <x:mergeCell ref="A8:D8"/>
    <x:mergeCell ref="F8:H8"/>
    <x:mergeCell ref="F14:H14"/>
    <x:mergeCell ref="F15:H15"/>
    <x:mergeCell ref="F16:H16"/>
    <x:mergeCell ref="F17:H17"/>
    <x:mergeCell ref="F18:H18"/>
    <x:mergeCell ref="F19:H19"/>
    <x:mergeCell ref="A18:D18"/>
    <x:mergeCell ref="F21:H21"/>
    <x:mergeCell ref="F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13" hidden="0" customWidth="1"/>
    <x:col min="12" max="12" width="24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5" t="str">
        <x:v>D5-5a N04: Stepwise Gold Answer — Minimum Operating Temperature for Winter Silica Control in High-Recovery BWRO</x:v>
      </x:c>
      <x:c r="B1" s="5" t="str">
        <x:v>D5-5a N04: Stepwise Gold Answer — Minimum Operating Temperature for Winter Silica Control in High-Recovery BWRO</x:v>
      </x:c>
      <x:c r="C1" s="5" t="str">
        <x:v>D5-5a N04: Stepwise Gold Answer — Minimum Operating Temperature for Winter Silica Control in High-Recovery BWRO</x:v>
      </x:c>
      <x:c r="D1" s="5" t="str">
        <x:v>D5-5a N04: Stepwise Gold Answer — Minimum Operating Temperature for Winter Silica Control in High-Recovery BWRO</x:v>
      </x:c>
      <x:c r="E1" s="5" t="str">
        <x:v>D5-5a N04: Stepwise Gold Answer — Minimum Operating Temperature for Winter Silica Control in High-Recovery BWRO</x:v>
      </x:c>
      <x:c r="F1" s="5" t="str">
        <x:v>D5-5a N04: Stepwise Gold Answer — Minimum Operating Temperature for Winter Silica Control in High-Recovery BWRO</x:v>
      </x:c>
      <x:c r="G1" s="5" t="str">
        <x:v>D5-5a N04: Stepwise Gold Answer — Minimum Operating Temperature for Winter Silica Control in High-Recovery BWRO</x:v>
      </x:c>
      <x:c r="H1" s="5" t="str">
        <x:v>D5-5a N04: Stepwise Gold Answer — Minimum Operating Temperature for Winter Silica Control in High-Recovery BWRO</x:v>
      </x:c>
      <x:c r="I1" s="5" t="str">
        <x:v>D5-5a N04: Stepwise Gold Answer — Minimum Operating Temperature for Winter Silica Control in High-Recovery BWRO</x:v>
      </x:c>
      <x:c r="J1" s="5" t="str">
        <x:v>D5-5a N04: Stepwise Gold Answer — Minimum Operating Temperature for Winter Silica Control in High-Recovery BWRO</x:v>
      </x:c>
      <x:c r="K1" s="5" t="str">
        <x:v>D5-5a N04: Stepwise Gold Answer — Minimum Operating Temperature for Winter Silica Control in High-Recovery BWRO</x:v>
      </x:c>
      <x:c r="L1" s="5" t="str">
        <x:v>D5-5a N04: Stepwise Gold Answer — Minimum Operating Temperature for Winter Silica Control in High-Recovery BWRO</x:v>
      </x:c>
      <x:c r="M1" s="5" t="str">
        <x:v>D5-5a N04: Stepwise Gold Answer — Minimum Operating Temperature for Winter Silica Control in High-Recovery BWRO</x:v>
      </x:c>
      <x:c r="N1" s="5" t="str">
        <x:v>D5-5a N04: Stepwise Gold Answer — Minimum Operating Temperature for Winter Silica Control in High-Recovery BWRO</x:v>
      </x:c>
      <x:c r="O1" s="5" t="str">
        <x:v>D5-5a N04: Stepwise Gold Answer — Minimum Operating Temperature for Winter Silica Control in High-Recovery BWRO</x:v>
      </x:c>
      <x:c r="P1" s="5" t="str">
        <x:v>D5-5a N04: Stepwise Gold Answer — Minimum Operating Temperature for Winter Silica Control in High-Recovery BWRO</x:v>
      </x:c>
    </x:row>
    <x:row r="2">
      <x:c r="A2" s="5" t="str">
        <x:v>D5-5a N04: Stepwise Gold Answer — Minimum Operating Temperature for Winter Silica Control in High-Recovery BWRO</x:v>
      </x:c>
      <x:c r="B2" s="5" t="str">
        <x:v>D5-5a N04: Stepwise Gold Answer — Minimum Operating Temperature for Winter Silica Control in High-Recovery BWRO</x:v>
      </x:c>
      <x:c r="C2" s="5" t="str">
        <x:v>D5-5a N04: Stepwise Gold Answer — Minimum Operating Temperature for Winter Silica Control in High-Recovery BWRO</x:v>
      </x:c>
      <x:c r="D2" s="5" t="str">
        <x:v>D5-5a N04: Stepwise Gold Answer — Minimum Operating Temperature for Winter Silica Control in High-Recovery BWRO</x:v>
      </x:c>
      <x:c r="E2" s="5" t="str">
        <x:v>D5-5a N04: Stepwise Gold Answer — Minimum Operating Temperature for Winter Silica Control in High-Recovery BWRO</x:v>
      </x:c>
      <x:c r="F2" s="5" t="str">
        <x:v>D5-5a N04: Stepwise Gold Answer — Minimum Operating Temperature for Winter Silica Control in High-Recovery BWRO</x:v>
      </x:c>
      <x:c r="G2" s="5" t="str">
        <x:v>D5-5a N04: Stepwise Gold Answer — Minimum Operating Temperature for Winter Silica Control in High-Recovery BWRO</x:v>
      </x:c>
      <x:c r="H2" s="5" t="str">
        <x:v>D5-5a N04: Stepwise Gold Answer — Minimum Operating Temperature for Winter Silica Control in High-Recovery BWRO</x:v>
      </x:c>
      <x:c r="I2" s="5" t="str">
        <x:v>D5-5a N04: Stepwise Gold Answer — Minimum Operating Temperature for Winter Silica Control in High-Recovery BWRO</x:v>
      </x:c>
      <x:c r="J2" s="5" t="str">
        <x:v>D5-5a N04: Stepwise Gold Answer — Minimum Operating Temperature for Winter Silica Control in High-Recovery BWRO</x:v>
      </x:c>
      <x:c r="K2" s="5" t="str">
        <x:v>D5-5a N04: Stepwise Gold Answer — Minimum Operating Temperature for Winter Silica Control in High-Recovery BWRO</x:v>
      </x:c>
      <x:c r="L2" s="5" t="str">
        <x:v>D5-5a N04: Stepwise Gold Answer — Minimum Operating Temperature for Winter Silica Control in High-Recovery BWRO</x:v>
      </x:c>
      <x:c r="M2" s="5" t="str">
        <x:v>D5-5a N04: Stepwise Gold Answer — Minimum Operating Temperature for Winter Silica Control in High-Recovery BWRO</x:v>
      </x:c>
      <x:c r="N2" s="5" t="str">
        <x:v>D5-5a N04: Stepwise Gold Answer — Minimum Operating Temperature for Winter Silica Control in High-Recovery BWRO</x:v>
      </x:c>
      <x:c r="O2" s="5" t="str">
        <x:v>D5-5a N04: Stepwise Gold Answer — Minimum Operating Temperature for Winter Silica Control in High-Recovery BWRO</x:v>
      </x:c>
      <x:c r="P2" s="5" t="str">
        <x:v>D5-5a N04: Stepwise Gold Answer — Minimum Operating Temperature for Winter Silica Control in High-Recovery BWRO</x:v>
      </x:c>
    </x:row>
    <x:row r="4" ht="25" customHeight="1">
      <x:c r="A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B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C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D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E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F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G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H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I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J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K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L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M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N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O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P4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</x:row>
    <x:row r="5" ht="25" customHeight="1">
      <x:c r="A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B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C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D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E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F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G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H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I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J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K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L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M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N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O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P5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</x:row>
    <x:row r="6" ht="25" customHeight="1">
      <x:c r="A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B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C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D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E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F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G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H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I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J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K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L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M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N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O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  <x:c r="P6" s="32" t="str">
        <x:v>Reference efficient trajectory: 8 equilibrate_feed calls: 5.000 → 25.00 → 15.00 → 10.00 → 13.00 → 14.00 → 18.00 → 19.00. Alternative rational bracketing orders are acceptable, but both the basic and recommended-margin boundaries must be proven.</x:v>
      </x:c>
    </x:row>
    <x:row r="8">
      <x:c r="A8" s="12" t="str">
        <x:v>Human-readable continuous tool trajectory</x:v>
      </x:c>
      <x:c r="B8" s="12" t="str">
        <x:v>Human-readable continuous tool trajectory</x:v>
      </x:c>
      <x:c r="C8" s="12" t="str">
        <x:v>Human-readable continuous tool trajectory</x:v>
      </x:c>
      <x:c r="D8" s="12" t="str">
        <x:v>Human-readable continuous tool trajectory</x:v>
      </x:c>
      <x:c r="E8" s="12" t="str">
        <x:v>Human-readable continuous tool trajectory</x:v>
      </x:c>
      <x:c r="F8" s="12" t="str">
        <x:v>Human-readable continuous tool trajectory</x:v>
      </x:c>
      <x:c r="G8" s="12" t="str">
        <x:v>Human-readable continuous tool trajectory</x:v>
      </x:c>
    </x:row>
    <x:row r="9">
      <x:c r="A9" s="18" t="str">
        <x:v>Stage</x:v>
      </x:c>
      <x:c r="B9" s="18" t="str">
        <x:v>Current state/problem</x:v>
      </x:c>
      <x:c r="C9" s="18" t="str">
        <x:v>Action</x:v>
      </x:c>
      <x:c r="D9" s="18" t="str">
        <x:v>Key observation</x:v>
      </x:c>
      <x:c r="E9" s="18" t="str">
        <x:v>State update</x:v>
      </x:c>
      <x:c r="F9" s="18" t="str">
        <x:v>Next step</x:v>
      </x:c>
      <x:c r="G9" s="18" t="str">
        <x:v>Trajectory role</x:v>
      </x:c>
    </x:row>
    <x:row r="10" ht="45" customHeight="1">
      <x:c r="A10" s="22" t="str">
        <x:v>1 Direction</x:v>
      </x:c>
      <x:c r="B10" s="22" t="str">
        <x:v>Cold effect unknown</x:v>
      </x:c>
      <x:c r="C10" s="22" t="str">
        <x:v>5°C→25°C</x:v>
      </x:c>
      <x:c r="D10" s="22" t="str">
        <x:v>SI +0.0838→-0.1080</x:v>
      </x:c>
      <x:c r="E10" s="22" t="str">
        <x:v>Warming lowers saturation</x:v>
      </x:c>
      <x:c r="F10" s="22" t="str">
        <x:v>Create temperature bracket</x:v>
      </x:c>
      <x:c r="G10" s="22" t="str">
        <x:v>Problem diagnosis</x:v>
      </x:c>
    </x:row>
    <x:row r="11" ht="45" customHeight="1">
      <x:c r="A11" s="22" t="str">
        <x:v>2 Coarse bracket</x:v>
      </x:c>
      <x:c r="B11" s="22" t="str">
        <x:v>Limit lies within 5–25°C</x:v>
      </x:c>
      <x:c r="C11" s="22" t="str">
        <x:v>15°C→10°C</x:v>
      </x:c>
      <x:c r="D11" s="22" t="str">
        <x:v>-0.0163→+0.0326</x:v>
      </x:c>
      <x:c r="E11" s="22" t="str">
        <x:v>10 fails / 15 safe</x:v>
      </x:c>
      <x:c r="F11" s="22" t="str">
        <x:v>Refine to 13–14°C</x:v>
      </x:c>
      <x:c r="G11" s="22" t="str">
        <x:v>Plan→observe</x:v>
      </x:c>
    </x:row>
    <x:row r="12" ht="45" customHeight="1">
      <x:c r="A12" s="22" t="str">
        <x:v>3 Basic limit</x:v>
      </x:c>
      <x:c r="B12" s="22" t="str">
        <x:v>Find minimum with SI&lt;0</x:v>
      </x:c>
      <x:c r="C12" s="22" t="str">
        <x:v>13°C→14°C</x:v>
      </x:c>
      <x:c r="D12" s="22" t="str">
        <x:v>+0.00300→-0.00670</x:v>
      </x:c>
      <x:c r="E12" s="22" t="str">
        <x:v>13 fail / 14 pass</x:v>
      </x:c>
      <x:c r="F12" s="22" t="str">
        <x:v>Basic minimum 14°C</x:v>
      </x:c>
      <x:c r="G12" s="22" t="str">
        <x:v>Adaptive search</x:v>
      </x:c>
    </x:row>
    <x:row r="13" ht="45" customHeight="1">
      <x:c r="A13" s="22" t="str">
        <x:v>4 Safety margin</x:v>
      </x:c>
      <x:c r="B13" s="22" t="str">
        <x:v>Need SI≤-0.05</x:v>
      </x:c>
      <x:c r="C13" s="22" t="str">
        <x:v>18°C→19°C</x:v>
      </x:c>
      <x:c r="D13" s="22" t="str">
        <x:v>-0.04465→-0.05394</x:v>
      </x:c>
      <x:c r="E13" s="22" t="str">
        <x:v>18 fail / 19 pass</x:v>
      </x:c>
      <x:c r="F13" s="22" t="str">
        <x:v>Recommended minimum 19°C</x:v>
      </x:c>
      <x:c r="G13" s="22" t="str">
        <x:v>Second boundary</x:v>
      </x:c>
    </x:row>
    <x:row r="14" ht="45" customHeight="1">
      <x:c r="A14" s="22" t="str">
        <x:v>5 Decision</x:v>
      </x:c>
      <x:c r="B14" s="22" t="str">
        <x:v>Winter feed may fall below 19°C</x:v>
      </x:c>
      <x:c r="C14" s="22" t="str">
        <x:v>Create derating rule</x:v>
      </x:c>
      <x:c r="D14" s="22" t="str">
        <x:v>Below 19°C derate/blend</x:v>
      </x:c>
      <x:c r="E14" s="22" t="str">
        <x:v>SI is not a kinetic rate</x:v>
      </x:c>
      <x:c r="F14" s="22" t="str">
        <x:v>Seasonal strategy</x:v>
      </x:c>
      <x:c r="G14" s="22" t="str">
        <x:v>Stop/decide</x:v>
      </x:c>
    </x:row>
    <x:row r="17">
      <x:c r="A17" s="12" t="str">
        <x:v>Direct ROprocess simulator results</x:v>
      </x:c>
      <x:c r="B17" s="12" t="str">
        <x:v>Direct ROprocess simulator results</x:v>
      </x:c>
      <x:c r="C17" s="12" t="str">
        <x:v>Direct ROprocess simulator results</x:v>
      </x:c>
      <x:c r="D17" s="12" t="str">
        <x:v>Direct ROprocess simulator results</x:v>
      </x:c>
      <x:c r="E17" s="12" t="str">
        <x:v>Direct ROprocess simulator results</x:v>
      </x:c>
      <x:c r="F17" s="12" t="str">
        <x:v>Direct ROprocess simulator results</x:v>
      </x:c>
      <x:c r="G17" s="12" t="str">
        <x:v>Direct ROprocess simulator results</x:v>
      </x:c>
      <x:c r="H17" s="12" t="str">
        <x:v>Direct ROprocess simulator results</x:v>
      </x:c>
      <x:c r="I17" s="12" t="str">
        <x:v>Direct ROprocess simulator results</x:v>
      </x:c>
      <x:c r="J17" s="12" t="str">
        <x:v>Direct ROprocess simulator results</x:v>
      </x:c>
      <x:c r="K17" s="12" t="str">
        <x:v>Direct ROprocess simulator results</x:v>
      </x:c>
      <x:c r="L17" s="12" t="str">
        <x:v>Direct ROprocess simulator results</x:v>
      </x:c>
      <x:c r="M17" s="12" t="str">
        <x:v>Direct ROprocess simulator results</x:v>
      </x:c>
      <x:c r="N17" s="12" t="str">
        <x:v>Direct ROprocess simulator results</x:v>
      </x:c>
      <x:c r="O17" s="12" t="str">
        <x:v>Direct ROprocess simulator results</x:v>
      </x:c>
      <x:c r="P17" s="12" t="str">
        <x:v>Direct ROprocess simulator results</x:v>
      </x:c>
    </x:row>
    <x:row r="18">
      <x:c r="A18" s="18" t="str">
        <x:v>#</x:v>
      </x:c>
      <x:c r="B18" s="18" t="str">
        <x:v>Temperature °C</x:v>
      </x:c>
      <x:c r="C18" s="18" t="str">
        <x:v>Concentration factor</x:v>
      </x:c>
      <x:c r="D18" s="18" t="str">
        <x:v>Water removed mol/s</x:v>
      </x:c>
      <x:c r="E18" s="18" t="str">
        <x:v>SiO2(a) SI</x:v>
      </x:c>
      <x:c r="F18" s="18" t="str">
        <x:v>- SI</x:v>
      </x:c>
      <x:c r="G18" s="18" t="str">
        <x:v>- SI</x:v>
      </x:c>
      <x:c r="H18" s="18" t="str">
        <x:v>pH</x:v>
      </x:c>
      <x:c r="I18" s="18" t="str">
        <x:v>Osmotic bar</x:v>
      </x:c>
      <x:c r="J18" s="18" t="str">
        <x:v>Basic safe</x:v>
      </x:c>
      <x:c r="K18" s="18" t="str">
        <x:v>Margin</x:v>
      </x:c>
      <x:c r="L18" s="18" t="str">
        <x:v>Trajectory role</x:v>
      </x:c>
      <x:c r="O18" s="42" t="str">
        <x:v>Temperature °C</x:v>
      </x:c>
      <x:c r="P18" s="42" t="str">
        <x:v>SiO2(a) SI</x:v>
      </x:c>
    </x:row>
    <x:row r="19" ht="27" customHeight="1">
      <x:c r="A19" s="34" t="n">
        <x:v>1</x:v>
      </x:c>
      <x:c r="B19" s="35" t="n">
        <x:v>5</x:v>
      </x:c>
      <x:c r="C19" s="36" t="n">
        <x:f>1/(1-0.82)</x:f>
        <x:v>5.5555555555555545</x:v>
      </x:c>
      <x:c r="D19" s="36" t="n">
        <x:f>55.5*0.82</x:f>
        <x:v>45.51</x:v>
      </x:c>
      <x:c r="E19" s="37" t="n">
        <x:v>0.0837659439</x:v>
      </x:c>
      <x:c r="F19" s="37"/>
      <x:c r="G19" s="37"/>
      <x:c r="H19" s="37" t="n">
        <x:v>7.156447503</x:v>
      </x:c>
      <x:c r="I19" s="37" t="n">
        <x:v>4.450032873</x:v>
      </x:c>
      <x:c r="J19" s="39" t="str">
        <x:v>FAIL</x:v>
      </x:c>
      <x:c r="K19" s="39" t="str">
        <x:v>FAIL</x:v>
      </x:c>
      <x:c r="L19" s="34" t="str">
        <x:v>Cold point fails</x:v>
      </x:c>
      <x:c r="O19" s="42" t="n">
        <x:v>5</x:v>
      </x:c>
      <x:c r="P19" s="42" t="n">
        <x:v>0.0837659439</x:v>
      </x:c>
    </x:row>
    <x:row r="20" ht="27" customHeight="1">
      <x:c r="A20" s="34" t="n">
        <x:v>2</x:v>
      </x:c>
      <x:c r="B20" s="35" t="n">
        <x:v>25</x:v>
      </x:c>
      <x:c r="C20" s="36" t="n">
        <x:f>1/(1-0.82)</x:f>
        <x:v>5.5555555555555545</x:v>
      </x:c>
      <x:c r="D20" s="36" t="n">
        <x:f>55.5*0.82</x:f>
        <x:v>45.51</x:v>
      </x:c>
      <x:c r="E20" s="37" t="n">
        <x:v>-0.1079964152</x:v>
      </x:c>
      <x:c r="F20" s="37"/>
      <x:c r="G20" s="37"/>
      <x:c r="H20" s="37" t="n">
        <x:v>7.148763314</x:v>
      </x:c>
      <x:c r="I20" s="37" t="n">
        <x:v>4.72349743</x:v>
      </x:c>
      <x:c r="J20" s="41" t="str">
        <x:v>PASS</x:v>
      </x:c>
      <x:c r="K20" s="41" t="str">
        <x:v>PASS</x:v>
      </x:c>
      <x:c r="L20" s="34" t="str">
        <x:v>Warm point safe</x:v>
      </x:c>
      <x:c r="O20" s="42" t="n">
        <x:v>25</x:v>
      </x:c>
      <x:c r="P20" s="42" t="n">
        <x:v>-0.1079964152</x:v>
      </x:c>
    </x:row>
    <x:row r="21" ht="27" customHeight="1">
      <x:c r="A21" s="34" t="n">
        <x:v>3</x:v>
      </x:c>
      <x:c r="B21" s="35" t="n">
        <x:v>15</x:v>
      </x:c>
      <x:c r="C21" s="36" t="n">
        <x:f>1/(1-0.82)</x:f>
        <x:v>5.5555555555555545</x:v>
      </x:c>
      <x:c r="D21" s="36" t="n">
        <x:f>55.5*0.82</x:f>
        <x:v>45.51</x:v>
      </x:c>
      <x:c r="E21" s="37" t="n">
        <x:v>-0.0163116438</x:v>
      </x:c>
      <x:c r="F21" s="37"/>
      <x:c r="G21" s="37"/>
      <x:c r="H21" s="37" t="n">
        <x:v>7.152751766</x:v>
      </x:c>
      <x:c r="I21" s="37" t="n">
        <x:v>4.588538954</x:v>
      </x:c>
      <x:c r="J21" s="41" t="str">
        <x:v>PASS</x:v>
      </x:c>
      <x:c r="K21" s="39" t="str">
        <x:v>FAIL</x:v>
      </x:c>
      <x:c r="L21" s="34" t="str">
        <x:v>Basic-safe; move colder</x:v>
      </x:c>
      <x:c r="O21" s="42" t="n">
        <x:v>15</x:v>
      </x:c>
      <x:c r="P21" s="42" t="n">
        <x:v>-0.0163116438</x:v>
      </x:c>
    </x:row>
    <x:row r="22" ht="27" customHeight="1">
      <x:c r="A22" s="34" t="n">
        <x:v>4</x:v>
      </x:c>
      <x:c r="B22" s="35" t="n">
        <x:v>10</x:v>
      </x:c>
      <x:c r="C22" s="36" t="n">
        <x:f>1/(1-0.82)</x:f>
        <x:v>5.5555555555555545</x:v>
      </x:c>
      <x:c r="D22" s="36" t="n">
        <x:f>55.5*0.82</x:f>
        <x:v>45.51</x:v>
      </x:c>
      <x:c r="E22" s="37" t="n">
        <x:v>0.0326125184</x:v>
      </x:c>
      <x:c r="F22" s="37"/>
      <x:c r="G22" s="37"/>
      <x:c r="H22" s="37" t="n">
        <x:v>7.154647254</x:v>
      </x:c>
      <x:c r="I22" s="37" t="n">
        <x:v>4.519648755</x:v>
      </x:c>
      <x:c r="J22" s="39" t="str">
        <x:v>FAIL</x:v>
      </x:c>
      <x:c r="K22" s="39" t="str">
        <x:v>FAIL</x:v>
      </x:c>
      <x:c r="L22" s="34" t="str">
        <x:v>Fails; bracket formed</x:v>
      </x:c>
      <x:c r="O22" s="42" t="n">
        <x:v>10</x:v>
      </x:c>
      <x:c r="P22" s="42" t="n">
        <x:v>0.0326125184</x:v>
      </x:c>
    </x:row>
    <x:row r="23" ht="27" customHeight="1">
      <x:c r="A23" s="34" t="n">
        <x:v>5</x:v>
      </x:c>
      <x:c r="B23" s="35" t="n">
        <x:v>13</x:v>
      </x:c>
      <x:c r="C23" s="36" t="n">
        <x:f>1/(1-0.82)</x:f>
        <x:v>5.5555555555555545</x:v>
      </x:c>
      <x:c r="D23" s="36" t="n">
        <x:f>55.5*0.82</x:f>
        <x:v>45.51</x:v>
      </x:c>
      <x:c r="E23" s="37" t="n">
        <x:v>0.0029992816</x:v>
      </x:c>
      <x:c r="F23" s="37"/>
      <x:c r="G23" s="37"/>
      <x:c r="H23" s="37" t="n">
        <x:v>7.153520269</x:v>
      </x:c>
      <x:c r="I23" s="37" t="n">
        <x:v>4.561081933</x:v>
      </x:c>
      <x:c r="J23" s="39" t="str">
        <x:v>FAIL</x:v>
      </x:c>
      <x:c r="K23" s="39" t="str">
        <x:v>FAIL</x:v>
      </x:c>
      <x:c r="L23" s="34" t="str">
        <x:v>Basic-boundary fail</x:v>
      </x:c>
      <x:c r="O23" s="42" t="n">
        <x:v>13</x:v>
      </x:c>
      <x:c r="P23" s="42" t="n">
        <x:v>0.0029992816</x:v>
      </x:c>
    </x:row>
    <x:row r="24" ht="27" customHeight="1">
      <x:c r="A24" s="34" t="n">
        <x:v>6</x:v>
      </x:c>
      <x:c r="B24" s="35" t="n">
        <x:v>14</x:v>
      </x:c>
      <x:c r="C24" s="36" t="n">
        <x:f>1/(1-0.82)</x:f>
        <x:v>5.5555555555555545</x:v>
      </x:c>
      <x:c r="D24" s="36" t="n">
        <x:f>55.5*0.82</x:f>
        <x:v>45.51</x:v>
      </x:c>
      <x:c r="E24" s="37" t="n">
        <x:v>-0.0066985983</x:v>
      </x:c>
      <x:c r="F24" s="37"/>
      <x:c r="G24" s="37"/>
      <x:c r="H24" s="37" t="n">
        <x:v>7.153137623</x:v>
      </x:c>
      <x:c r="I24" s="37" t="n">
        <x:v>4.57482784</x:v>
      </x:c>
      <x:c r="J24" s="41" t="str">
        <x:v>PASS</x:v>
      </x:c>
      <x:c r="K24" s="39" t="str">
        <x:v>FAIL</x:v>
      </x:c>
      <x:c r="L24" s="34" t="str">
        <x:v>Basic-boundary pass</x:v>
      </x:c>
      <x:c r="O24" s="42" t="n">
        <x:v>14</x:v>
      </x:c>
      <x:c r="P24" s="42" t="n">
        <x:v>-0.0066985983</x:v>
      </x:c>
    </x:row>
    <x:row r="25" ht="27" customHeight="1">
      <x:c r="A25" s="34" t="n">
        <x:v>7</x:v>
      </x:c>
      <x:c r="B25" s="35" t="n">
        <x:v>18</x:v>
      </x:c>
      <x:c r="C25" s="36" t="n">
        <x:f>1/(1-0.82)</x:f>
        <x:v>5.5555555555555545</x:v>
      </x:c>
      <x:c r="D25" s="36" t="n">
        <x:f>55.5*0.82</x:f>
        <x:v>45.51</x:v>
      </x:c>
      <x:c r="E25" s="37" t="n">
        <x:v>-0.0446520468</x:v>
      </x:c>
      <x:c r="F25" s="37"/>
      <x:c r="G25" s="37"/>
      <x:c r="H25" s="37" t="n">
        <x:v>7.151576879</x:v>
      </x:c>
      <x:c r="I25" s="37" t="n">
        <x:v>4.629451599</x:v>
      </x:c>
      <x:c r="J25" s="41" t="str">
        <x:v>PASS</x:v>
      </x:c>
      <x:c r="K25" s="39" t="str">
        <x:v>FAIL</x:v>
      </x:c>
      <x:c r="L25" s="34" t="str">
        <x:v>Margin-boundary fail</x:v>
      </x:c>
      <x:c r="O25" s="42" t="n">
        <x:v>18</x:v>
      </x:c>
      <x:c r="P25" s="42" t="n">
        <x:v>-0.0446520468</x:v>
      </x:c>
    </x:row>
    <x:row r="26" ht="27" customHeight="1">
      <x:c r="A26" s="34" t="n">
        <x:v>8</x:v>
      </x:c>
      <x:c r="B26" s="35" t="n">
        <x:v>19</x:v>
      </x:c>
      <x:c r="C26" s="36" t="n">
        <x:f>1/(1-0.82)</x:f>
        <x:v>5.5555555555555545</x:v>
      </x:c>
      <x:c r="D26" s="36" t="n">
        <x:f>55.5*0.82</x:f>
        <x:v>45.51</x:v>
      </x:c>
      <x:c r="E26" s="37" t="n">
        <x:v>-0.0539359508</x:v>
      </x:c>
      <x:c r="F26" s="37"/>
      <x:c r="G26" s="37"/>
      <x:c r="H26" s="37" t="n">
        <x:v>7.151180179</x:v>
      </x:c>
      <x:c r="I26" s="37" t="n">
        <x:v>4.643011925</x:v>
      </x:c>
      <x:c r="J26" s="41" t="str">
        <x:v>PASS</x:v>
      </x:c>
      <x:c r="K26" s="41" t="str">
        <x:v>PASS</x:v>
      </x:c>
      <x:c r="L26" s="34" t="str">
        <x:v>Margin-boundary pass</x:v>
      </x:c>
      <x:c r="O26" s="42" t="n">
        <x:v>19</x:v>
      </x:c>
      <x:c r="P26" s="42" t="n">
        <x:v>-0.0539359508</x:v>
      </x:c>
    </x:row>
    <x:row r="29">
      <x:c r="A29" s="12" t="str">
        <x:v>Final Boundaries and Engineering Conclusion</x:v>
      </x:c>
      <x:c r="B29" s="12" t="str">
        <x:v>Final Boundaries and Engineering Conclusion</x:v>
      </x:c>
      <x:c r="C29" s="12" t="str">
        <x:v>Final Boundaries and Engineering Conclusion</x:v>
      </x:c>
      <x:c r="D29" s="12" t="str">
        <x:v>Final Boundaries and Engineering Conclusion</x:v>
      </x:c>
      <x:c r="E29" s="12" t="str">
        <x:v>Final Boundaries and Engineering Conclusion</x:v>
      </x:c>
      <x:c r="F29" s="12" t="str">
        <x:v>Final Boundaries and Engineering Conclusion</x:v>
      </x:c>
      <x:c r="H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I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J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K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L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M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N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O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P29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</x:row>
    <x:row r="30">
      <x:c r="A30" s="18" t="str">
        <x:v>Item</x:v>
      </x:c>
      <x:c r="B30" s="18" t="str">
        <x:v>Adjacent failing point</x:v>
      </x:c>
      <x:c r="C30" s="18" t="str">
        <x:v>Adjacent passing point</x:v>
      </x:c>
      <x:c r="D30" s="18" t="str">
        <x:v>Controlling SI (fail→pass)</x:v>
      </x:c>
      <x:c r="E30" s="18" t="str">
        <x:v>Conclusion</x:v>
      </x:c>
      <x:c r="F30" s="18" t="str">
        <x:v>工程单位 / Engineering units</x:v>
      </x:c>
      <x:c r="H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I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J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K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L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M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N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O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P30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</x:row>
    <x:row r="31" ht="38" customHeight="1">
      <x:c r="A31" s="22" t="str">
        <x:v>Basic-safe boundary</x:v>
      </x:c>
      <x:c r="B31" s="22" t="str">
        <x:v>13</x:v>
      </x:c>
      <x:c r="C31" s="22" t="str">
        <x:v>14</x:v>
      </x:c>
      <x:c r="D31" s="22" t="str">
        <x:v>0.00300 → -0.00670</x:v>
      </x:c>
      <x:c r="E31" s="22" t="str">
        <x:v>Adjacent points prove basic boundary</x:v>
      </x:c>
      <x:c r="F31" s="22" t="str">
        <x:v>Minimum basic-safe temperature: 14°C. Minimum recommended temperature: 19°C. Below 19°C, reduce the 82% recovery or change blending for this feed.</x:v>
      </x:c>
      <x:c r="H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I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J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K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L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M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N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O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P31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</x:row>
    <x:row r="32" ht="38" customHeight="1">
      <x:c r="A32" s="22" t="str">
        <x:v>Recommended-margin boundary</x:v>
      </x:c>
      <x:c r="B32" s="22" t="str">
        <x:v>18</x:v>
      </x:c>
      <x:c r="C32" s="22" t="str">
        <x:v>19</x:v>
      </x:c>
      <x:c r="D32" s="22" t="str">
        <x:v>-0.04465 → -0.05394</x:v>
      </x:c>
      <x:c r="E32" s="22" t="str">
        <x:v>Adjacent points prove recommended boundary</x:v>
      </x:c>
      <x:c r="F32" s="22" t="str">
        <x:v>Minimum basic-safe temperature: 14°C. Minimum recommended temperature: 19°C. Below 19°C, reduce the 82% recovery or change blending for this feed.</x:v>
      </x:c>
      <x:c r="H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I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J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K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L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M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N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O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P32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</x:row>
    <x:row r="33" ht="38" customHeight="1">
      <x:c r="A33" s="22" t="str">
        <x:v>Controlling mineral</x:v>
      </x:c>
      <x:c r="B33" s="22" t="str">
        <x:v>SiO2(a)</x:v>
      </x:c>
      <x:c r="C33" s="22" t="str">
        <x:v>-</x:v>
      </x:c>
      <x:c r="D33" s="22" t="str">
        <x:v>Other mineral SIs are lower</x:v>
      </x:c>
      <x:c r="E33" s="22" t="str">
        <x:v>Control confirmed by trajectory</x:v>
      </x:c>
      <x:c r="F33" s="22" t="str">
        <x:v>equilibrate_feed</x:v>
      </x:c>
      <x:c r="H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I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J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K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L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M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N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O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P33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</x:row>
    <x:row r="34" ht="38" customHeight="1">
      <x:c r="A34" s="22" t="str">
        <x:v>Final recommendation</x:v>
      </x:c>
      <x:c r="B34" s="22" t="str">
        <x:v>-</x:v>
      </x:c>
      <x:c r="C34" s="22" t="str">
        <x:v>19</x:v>
      </x:c>
      <x:c r="D34" s="22" t="str">
        <x:v>SI=-0.05394</x:v>
      </x:c>
      <x:c r="E34" s="22" t="str">
        <x:v>Minimum basic-safe temperature: 14°C. Minimum recommended temperature: 19°C. Below 19°C, reduce the 82% recovery or change blending for this feed.</x:v>
      </x:c>
      <x:c r="F34" s="22" t="str">
        <x:v>Use recommended-margin boundary</x:v>
      </x:c>
      <x:c r="H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I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J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K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L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M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N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O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  <x:c r="P34" s="32" t="str">
        <x:v>Final conclusion
Minimum basic-safe temperature: 14°C. Minimum recommended temperature: 19°C. Below 19°C, reduce the 82% recovery or change blending for this feed.
Key simulation evidence: basic fail/pass=13/14; recommended-margin fail/pass=18/19. Eight equilibrate_feed calls are recorded.</x:v>
      </x:c>
    </x:row>
  </x:sheetData>
  <x:mergeCells>
    <x:mergeCell ref="A1:P2"/>
    <x:mergeCell ref="A4:P6"/>
    <x:mergeCell ref="A8:G8"/>
    <x:mergeCell ref="A17:P17"/>
    <x:mergeCell ref="A29:F29"/>
    <x:mergeCell ref="H29:P34"/>
  </x:mergeCells>
  <x:pageMargins left="0.7" right="0.7" top="0.75" bottom="0.75" header="0.3" footer="0.3"/>
  <x:drawing xmlns:r="http://schemas.openxmlformats.org/officeDocument/2006/relationships" r:id="Rf1e150fb44da40b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>
      <x:c r="A1" s="5" t="str">
        <x:v>D5-5a N04: Trajectory Quality Rubric (100 points)</x:v>
      </x:c>
      <x:c r="B1" s="5" t="str">
        <x:v>D5-5a N04: Trajectory Quality Rubric (100 points)</x:v>
      </x:c>
      <x:c r="C1" s="5" t="str">
        <x:v>D5-5a N04: Trajectory Quality Rubric (100 points)</x:v>
      </x:c>
      <x:c r="D1" s="5" t="str">
        <x:v>D5-5a N04: Trajectory Quality Rubric (100 points)</x:v>
      </x:c>
      <x:c r="E1" s="5" t="str">
        <x:v>D5-5a N04: Trajectory Quality Rubric (100 points)</x:v>
      </x:c>
      <x:c r="F1" s="5" t="str">
        <x:v>D5-5a N04: Trajectory Quality Rubric (100 points)</x:v>
      </x:c>
      <x:c r="G1" s="5" t="str">
        <x:v>D5-5a N04: Trajectory Quality Rubric (100 points)</x:v>
      </x:c>
    </x:row>
    <x:row r="2">
      <x:c r="A2" s="5" t="str">
        <x:v>D5-5a N04: Trajectory Quality Rubric (100 points)</x:v>
      </x:c>
      <x:c r="B2" s="5" t="str">
        <x:v>D5-5a N04: Trajectory Quality Rubric (100 points)</x:v>
      </x:c>
      <x:c r="C2" s="5" t="str">
        <x:v>D5-5a N04: Trajectory Quality Rubric (100 points)</x:v>
      </x:c>
      <x:c r="D2" s="5" t="str">
        <x:v>D5-5a N04: Trajectory Quality Rubric (100 points)</x:v>
      </x:c>
      <x:c r="E2" s="5" t="str">
        <x:v>D5-5a N04: Trajectory Quality Rubric (100 points)</x:v>
      </x:c>
      <x:c r="F2" s="5" t="str">
        <x:v>D5-5a N04: Trajectory Quality Rubric (100 points)</x:v>
      </x:c>
      <x:c r="G2" s="5" t="str">
        <x:v>D5-5a N04: Trajectory Quality Rubric (100 points)</x:v>
      </x:c>
    </x:row>
    <x:row r="4">
      <x:c r="A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4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5">
      <x:c r="A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5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6">
      <x:c r="A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B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C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D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E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F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  <x:c r="G6" s="28" t="str">
        <x:v>Trajectory Quality is scored out of 100 on the complete state→plan→action/tool call→observation→update→next action→stop/decision path. Exact copying is not required; alternative call orders can earn full credit when each next action is supported by the preceding observation and the final engineering decision is sufficient, coherent and verifiable. Tool-use efficiency is scored separately.</x:v>
      </x:c>
    </x:row>
    <x:row r="8">
      <x:c r="A8" s="18" t="str">
        <x:v>Trajectory dimension</x:v>
      </x:c>
      <x:c r="B8" s="18" t="str">
        <x:v>Evaluation focus</x:v>
      </x:c>
      <x:c r="C8" s="18" t="str">
        <x:v>Full-credit evidence</x:v>
      </x:c>
      <x:c r="D8" s="18" t="str">
        <x:v>Partial credit</x:v>
      </x:c>
      <x:c r="E8" s="18" t="str">
        <x:v>Key failure modes</x:v>
      </x:c>
      <x:c r="F8" s="18" t="str">
        <x:v>Weight</x:v>
      </x:c>
      <x:c r="G8" s="18" t="str">
        <x:v>Score</x:v>
      </x:c>
    </x:row>
    <x:row r="9" ht="62" customHeight="1">
      <x:c r="A9" s="22" t="str">
        <x:v>TQ1 Problem framing and state</x:v>
      </x:c>
      <x:c r="B9" s="22" t="str">
        <x:v>Identify decision variable, controlling mineral and two safety targets</x:v>
      </x:c>
      <x:c r="C9" s="22" t="str">
        <x:v>Vary only Temperature °C; basic=SiO2(a) SI&lt;0; margin=SiO2(a) SI≤-0.05</x:v>
      </x:c>
      <x:c r="D9" s="22" t="str">
        <x:v>Identifies main risk but mixes stopping criteria</x:v>
      </x:c>
      <x:c r="E9" s="22" t="str">
        <x:v>Changes fixed conditions, misreads SI, or chooses wrong control variable</x:v>
      </x:c>
      <x:c r="F9" s="22" t="n">
        <x:v>15</x:v>
      </x:c>
      <x:c r="G9" s="22"/>
    </x:row>
    <x:row r="10" ht="62" customHeight="1">
      <x:c r="A10" s="22" t="str">
        <x:v>TQ2 Planning and decomposition</x:v>
      </x:c>
      <x:c r="B10" s="22" t="str">
        <x:v>Separate baseline, coarse bracket, basic boundary and margin boundary</x:v>
      </x:c>
      <x:c r="C10" s="22" t="str">
        <x:v>Establish direction/bracket, then prove adjacent limits at 1°C resolution</x:v>
      </x:c>
      <x:c r="D10" s="22" t="str">
        <x:v>Iterates but misses one adjacent boundary proof</x:v>
      </x:c>
      <x:c r="E10" s="22" t="str">
        <x:v>Gives final answer directly, brute-force scans, or mixes targets</x:v>
      </x:c>
      <x:c r="F10" s="22" t="n">
        <x:v>15</x:v>
      </x:c>
      <x:c r="G10" s="22"/>
    </x:row>
    <x:row r="11" ht="62" customHeight="1">
      <x:c r="A11" s="22" t="str">
        <x:v>TQ3 Action/tool-call correctness</x:v>
      </x:c>
      <x:c r="B11" s="22" t="str">
        <x:v>Correct tool, inputs, units and invariant conditions</x:v>
      </x:c>
      <x:c r="C11" s="22" t="str">
        <x:v>Primarily uses equilibrate_feed; holds composition/T/pH/fixed conditions and changes only the specified variable</x:v>
      </x:c>
      <x:c r="D11" s="22" t="str">
        <x:v>Minor unit/input deviations without changing limit</x:v>
      </x:c>
      <x:c r="E11" s="22" t="str">
        <x:v>Wrong tool, multiple variables changed, wrong units, or omitted mineral</x:v>
      </x:c>
      <x:c r="F11" s="22" t="n">
        <x:v>20</x:v>
      </x:c>
      <x:c r="G11" s="22"/>
    </x:row>
    <x:row r="12" ht="62" customHeight="1">
      <x:c r="A12" s="22" t="str">
        <x:v>TQ4 Observation and state update</x:v>
      </x:c>
      <x:c r="B12" s="22" t="str">
        <x:v>Use SI outputs to update bounds correctly</x:v>
      </x:c>
      <x:c r="C12" s="22" t="str">
        <x:v>Basic 14 pass / 13 fail; margin 19 pass / 18 fail</x:v>
      </x:c>
      <x:c r="D12" s="22" t="str">
        <x:v>Limit roughly correct but one adjacent point/output is missing</x:v>
      </x:c>
      <x:c r="E12" s="22" t="str">
        <x:v>Treats any negative SI as meeting -0.05 or updates bounds incorrectly</x:v>
      </x:c>
      <x:c r="F12" s="22" t="n">
        <x:v>20</x:v>
      </x:c>
      <x:c r="G12" s="22"/>
    </x:row>
    <x:row r="13" ht="62" customHeight="1">
      <x:c r="A13" s="22" t="str">
        <x:v>TQ5 Adaptive comparison and replanning</x:v>
      </x:c>
      <x:c r="B13" s="22" t="str">
        <x:v>Choose each next call from the prior observation</x:v>
      </x:c>
      <x:c r="C13" s="22" t="str">
        <x:v>Adaptive coarse-to-fine search; switch to SI≤-0.05 after basic limit is proven</x:v>
      </x:c>
      <x:c r="D13" s="22" t="str">
        <x:v>Partly adaptive with some low-information enumeration</x:v>
      </x:c>
      <x:c r="E13" s="22" t="str">
        <x:v>Sequence ignores feedback or repeats resolved branches</x:v>
      </x:c>
      <x:c r="F13" s="22" t="n">
        <x:v>20</x:v>
      </x:c>
      <x:c r="G13" s="22"/>
    </x:row>
    <x:row r="14" ht="62" customHeight="1">
      <x:c r="A14" s="22" t="str">
        <x:v>TQ6 Stop and engineering decision</x:v>
      </x:c>
      <x:c r="B14" s="22" t="str">
        <x:v>Stop after sufficient proof and give an actionable conclusion</x:v>
      </x:c>
      <x:c r="C14" s="22" t="str">
        <x:v>Minimum basic-safe temperature: 14°C. Minimum recommended temperature: 19°C. Below 19°C, reduce the 82% recovery or change blending for this feed.</x:v>
      </x:c>
      <x:c r="D14" s="22" t="str">
        <x:v>Correct number but missing conversion, process output or one boundary proof</x:v>
      </x:c>
      <x:c r="E14" s="22" t="str">
        <x:v>Recommends the basic limit rather than margin, or stops without evidence</x:v>
      </x:c>
      <x:c r="F14" s="22" t="n">
        <x:v>10</x:v>
      </x:c>
      <x:c r="G14" s="22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 ht="30" customHeight="1">
      <x:c r="A19" s="22" t="str">
        <x:v>Difficulty calibration</x:v>
      </x:c>
      <x:c r="B19" s="22" t="str">
        <x:v>About eight high-information calls</x:v>
      </x:c>
      <x:c r="C19" s="22" t="str">
        <x:v>Adaptive two-boundary search comparable to the source D5-5a</x:v>
      </x:c>
      <x:c r="D19" s="22"/>
      <x:c r="E19" s="22"/>
      <x:c r="F19" s="22"/>
      <x:c r="G19" s="22"/>
    </x:row>
    <x:row r="20" ht="30" customHeight="1">
      <x:c r="A20" s="22" t="str">
        <x:v>Tool boundary</x:v>
      </x:c>
      <x:c r="B20" s="22" t="str">
        <x:v>equilibrate_feed</x:v>
      </x:c>
      <x:c r="C20" s="22" t="str">
        <x:v>Scope: temperature is a feed condition, not a routine chemical control. Below the threshold, manage risk by derating recovery or blending. SI indicates thermodynamic saturation only.</x:v>
      </x:c>
      <x:c r="D20" s="22"/>
      <x:c r="E20" s="22"/>
      <x:c r="F20" s="22"/>
      <x:c r="G20" s="2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>
      <x:c r="A1" s="5" t="str">
        <x:v>D5-5a N04: Tool Usage Efficiency (100 points)</x:v>
      </x:c>
      <x:c r="B1" s="5" t="str">
        <x:v>D5-5a N04: Tool Usage Efficiency (100 points)</x:v>
      </x:c>
      <x:c r="C1" s="5" t="str">
        <x:v>D5-5a N04: Tool Usage Efficiency (100 points)</x:v>
      </x:c>
      <x:c r="D1" s="5" t="str">
        <x:v>D5-5a N04: Tool Usage Efficiency (100 points)</x:v>
      </x:c>
      <x:c r="E1" s="5" t="str">
        <x:v>D5-5a N04: Tool Usage Efficiency (100 points)</x:v>
      </x:c>
      <x:c r="F1" s="5" t="str">
        <x:v>D5-5a N04: Tool Usage Efficiency (100 points)</x:v>
      </x:c>
      <x:c r="G1" s="5" t="str">
        <x:v>D5-5a N04: Tool Usage Efficiency (100 points)</x:v>
      </x:c>
    </x:row>
    <x:row r="2">
      <x:c r="A2" s="5" t="str">
        <x:v>D5-5a N04: Tool Usage Efficiency (100 points)</x:v>
      </x:c>
      <x:c r="B2" s="5" t="str">
        <x:v>D5-5a N04: Tool Usage Efficiency (100 points)</x:v>
      </x:c>
      <x:c r="C2" s="5" t="str">
        <x:v>D5-5a N04: Tool Usage Efficiency (100 points)</x:v>
      </x:c>
      <x:c r="D2" s="5" t="str">
        <x:v>D5-5a N04: Tool Usage Efficiency (100 points)</x:v>
      </x:c>
      <x:c r="E2" s="5" t="str">
        <x:v>D5-5a N04: Tool Usage Efficiency (100 points)</x:v>
      </x:c>
      <x:c r="F2" s="5" t="str">
        <x:v>D5-5a N04: Tool Usage Efficiency (100 points)</x:v>
      </x:c>
      <x:c r="G2" s="5" t="str">
        <x:v>D5-5a N04: Tool Usage Efficiency (100 points)</x:v>
      </x:c>
    </x:row>
    <x:row r="4">
      <x:c r="A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4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5">
      <x:c r="A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5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6">
      <x:c r="A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B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C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D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E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F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  <x:c r="G6" s="28" t="str">
        <x:v>Tool usage efficiency is scored separately from Trajectory Quality. Call count is only a supporting indicator; the core is information gain, adaptive use of prior results, timely pruning, and stopping once evidence is sufficient. This case's reference trajectory uses about eight equilibrate_feed calls.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behavior</x:v>
      </x:c>
      <x:c r="D8" s="18" t="str">
        <x:v>Medium behavior</x:v>
      </x:c>
      <x:c r="E8" s="18" t="str">
        <x:v>Low-score behavior</x:v>
      </x:c>
      <x:c r="F8" s="18" t="str">
        <x:v>Case-specific observation</x:v>
      </x:c>
      <x:c r="G8" s="18" t="str">
        <x:v>Points</x:v>
      </x:c>
    </x:row>
    <x:row r="9" ht="68" customHeight="1">
      <x:c r="A9" s="22" t="str">
        <x:v>E1 Tool choice and necessity</x:v>
      </x:c>
      <x:c r="B9" s="22" t="str">
        <x:v>Use the correct tool and avoid irrelevant tools</x:v>
      </x:c>
      <x:c r="C9" s="22" t="str">
        <x:v>Scientific calculation primarily uses equilibrate_feed; each call supports the current decision</x:v>
      </x:c>
      <x:c r="D9" s="22" t="str">
        <x:v>A few unnecessary metadata/probe calls</x:v>
      </x:c>
      <x:c r="E9" s="22" t="str">
        <x:v>Wrong tool or many irrelevant calls</x:v>
      </x:c>
      <x:c r="F9" s="22" t="str">
        <x:v>Scope: temperature is a feed condition, not a routine chemical control. Below the threshold, manage risk by derating recovery or blending. SI indicates thermodynamic saturation only.</x:v>
      </x:c>
      <x:c r="G9" s="22" t="n">
        <x:v>20</x:v>
      </x:c>
    </x:row>
    <x:row r="10" ht="68" customHeight="1">
      <x:c r="A10" s="22" t="str">
        <x:v>E2 Information gain and call order</x:v>
      </x:c>
      <x:c r="B10" s="22" t="str">
        <x:v>Prioritize the most discriminating information</x:v>
      </x:c>
      <x:c r="C10" s="22" t="str">
        <x:v>Establish direction/baseline and a coarse bracket, then refine uncertainty</x:v>
      </x:c>
      <x:c r="D10" s="22" t="str">
        <x:v>Mostly rational with some low-information calls</x:v>
      </x:c>
      <x:c r="E10" s="22" t="str">
        <x:v>Dense grid scan before structuring the problem</x:v>
      </x:c>
      <x:c r="F10" s="22" t="str">
        <x:v>Reference path begins with endpoints/coarse probes</x:v>
      </x:c>
      <x:c r="G10" s="22" t="n">
        <x:v>20</x:v>
      </x:c>
    </x:row>
    <x:row r="11" ht="68" customHeight="1">
      <x:c r="A11" s="22" t="str">
        <x:v>E3 Adaptive iteration</x:v>
      </x:c>
      <x:c r="B11" s="22" t="str">
        <x:v>Let each observation determine the next call</x:v>
      </x:c>
      <x:c r="C11" s="22" t="str">
        <x:v>Select the next input from fail/pass feedback and switch to the margin target after the basic limit</x:v>
      </x:c>
      <x:c r="D11" s="22" t="str">
        <x:v>Partly adaptive with preset enumeration</x:v>
      </x:c>
      <x:c r="E11" s="22" t="str">
        <x:v>Call sequence barely responds to prior results</x:v>
      </x:c>
      <x:c r="F11" s="22" t="str">
        <x:v>Basic 14/13; margin 19/18</x:v>
      </x:c>
      <x:c r="G11" s="22" t="n">
        <x:v>20</x:v>
      </x:c>
    </x:row>
    <x:row r="12" ht="68" customHeight="1">
      <x:c r="A12" s="22" t="str">
        <x:v>E4 Pruning and redundancy</x:v>
      </x:c>
      <x:c r="B12" s="22" t="str">
        <x:v>Stop resolved branches and avoid repeats</x:v>
      </x:c>
      <x:c r="C12" s="22" t="str">
        <x:v>Stop once adjacent fail/pass points lock each boundary</x:v>
      </x:c>
      <x:c r="D12" s="22" t="str">
        <x:v>A few repeats or 1–2 extra resolved points</x:v>
      </x:c>
      <x:c r="E12" s="22" t="str">
        <x:v>Keeps testing eliminated branches or brute-force combinations</x:v>
      </x:c>
      <x:c r="F12" s="22" t="str">
        <x:v>Both boundaries stop at adjacent points</x:v>
      </x:c>
      <x:c r="G12" s="22" t="n">
        <x:v>20</x:v>
      </x:c>
    </x:row>
    <x:row r="13" ht="68" customHeight="1">
      <x:c r="A13" s="22" t="str">
        <x:v>E5 Convergence and stopping</x:v>
      </x:c>
      <x:c r="B13" s="22" t="str">
        <x:v>Obtain sufficient evidence with a reasonable call budget</x:v>
      </x:c>
      <x:c r="C13" s="22" t="str">
        <x:v>About 7–9 calls, sufficient evidence, no clear redundancy</x:v>
      </x:c>
      <x:c r="D13" s="22" t="str">
        <x:v>About 10–12 calls with minor redundancy</x:v>
      </x:c>
      <x:c r="E13" s="22" t="str">
        <x:v>&gt;12 enumerative/repeated calls, or too few calls to prove limits</x:v>
      </x:c>
      <x:c r="F13" s="22" t="str">
        <x:v>Reference trajectory: 8 calls; alternatives can score equally</x:v>
      </x:c>
      <x:c r="G13" s="22" t="n">
        <x:v>20</x:v>
      </x:c>
    </x:row>
    <x:row r="15">
      <x:c r="F15" s="43" t="str">
        <x:v>Tool-efficiency total</x:v>
      </x:c>
      <x:c r="G15" s="43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