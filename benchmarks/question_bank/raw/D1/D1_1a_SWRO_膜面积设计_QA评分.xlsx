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cda0e8fa4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_Q" sheetId="1" r:id="R3495ef8830f3446f"/>
    <x:sheet xmlns:r="http://schemas.openxmlformats.org/officeDocument/2006/relationships" name="分步答案_A" sheetId="2" r:id="R65a42d17d10243e7"/>
    <x:sheet xmlns:r="http://schemas.openxmlformats.org/officeDocument/2006/relationships" name="评价标准" sheetId="3" r:id="R43ad7e38e28c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"/>
  </x:numFmts>
  <x:fonts count="9">
    <x:font>
      <x:sz val="11"/>
      <x:name val="Carlito"/>
    </x:font>
    <x:font>
      <x:sz val="11"/>
      <x:name val="Aptos"/>
    </x:font>
    <x:font>
      <x:b/>
      <x:sz val="18"/>
      <x:color rgb="FFFFFFFF"/>
      <x:name val="Aptos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left"/>
    </x:xf>
    <x:xf numFmtId="0" fontId="5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top" wrapText="1"/>
    </x:xf>
    <x:xf numFmtId="0" fontId="7" fillId="6" borderId="12" xfId="0" applyNumberFormat="1" applyFont="1" applyFill="1" applyBorder="1" applyAlignment="1">
      <x:alignment vertical="top" wrapText="1"/>
    </x:xf>
    <x:xf numFmtId="0" fontId="7" fillId="6" borderId="13" xfId="0" applyNumberFormat="1" applyFont="1" applyFill="1" applyBorder="1" applyAlignment="1">
      <x:alignment vertical="top" wrapText="1"/>
    </x:xf>
    <x:xf numFmtId="0" fontId="7" fillId="6" borderId="14" xfId="0" applyNumberFormat="1" applyFont="1" applyFill="1" applyBorder="1" applyAlignment="1">
      <x:alignment vertical="top" wrapText="1"/>
    </x:xf>
    <x:xf numFmtId="0" fontId="7" fillId="6" borderId="15" xfId="0" applyNumberFormat="1" applyFont="1" applyFill="1" applyBorder="1" applyAlignment="1">
      <x:alignment vertical="top" wrapText="1"/>
    </x:xf>
    <x:xf numFmtId="0" fontId="7" fillId="6" borderId="16" xfId="0" applyNumberFormat="1" applyFont="1" applyFill="1" applyBorder="1" applyAlignment="1">
      <x:alignment vertical="top" wrapText="1"/>
    </x:xf>
    <x:xf numFmtId="0" fontId="7" fillId="6" borderId="1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3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947ecc6254fea" /><Relationship Type="http://schemas.openxmlformats.org/officeDocument/2006/relationships/theme" Target="/xl/theme/theme1.xml" Id="Reed1e211a3ec4b8d" /><Relationship Type="http://schemas.openxmlformats.org/officeDocument/2006/relationships/sharedStrings" Target="/xl/sharedStrings.xml" Id="R74fb28f6cc8f40dc" /><Relationship Type="http://schemas.openxmlformats.org/officeDocument/2006/relationships/worksheet" Target="/xl/worksheets/sheet1.xml" Id="R3495ef8830f3446f" /><Relationship Type="http://schemas.openxmlformats.org/officeDocument/2006/relationships/worksheet" Target="/xl/worksheets/sheet2.xml" Id="R65a42d17d10243e7" /><Relationship Type="http://schemas.openxmlformats.org/officeDocument/2006/relationships/worksheet" Target="/xl/worksheets/sheet3.xml" Id="R43ad7e38e28c46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a02f9d894a45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膜面积与产水量</a:t>
            </a:r>
          </a:p>
        </c:rich>
      </c:tx>
    </c:title>
    <c:plotArea>
      <c:lineChart>
        <c:grouping val="standard"/>
        <c:ser>
          <c:idx val="0"/>
          <c:order val="0"/>
          <c:tx>
            <c:v>Permeate flow kg/s</c:v>
          </c:tx>
          <c:marker>
            <c:symbol val="none"/>
          </c:marker>
          <c:cat>
            <c:strRef>
              <c:f>'分步答案_A'!$A$17:$A$22</c:f>
              <c:strCache>
                <c:ptCount val="0"/>
              </c:strCache>
            </c:strRef>
          </c:cat>
          <c:val>
            <c:numRef>
              <c:f>'分步答案_A'!$B$17:$B$22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产水流量 m³/h</c:v>
          </c:tx>
          <c:marker>
            <c:symbol val="none"/>
          </c:marker>
          <c:cat>
            <c:strRef>
              <c:f>'分步答案_A'!$A$17:$A$22</c:f>
              <c:strCache>
                <c:ptCount val="0"/>
              </c:strCache>
            </c:strRef>
          </c:cat>
          <c:val>
            <c:numRef>
              <c:f>'分步答案_A'!$C$17:$C$22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24</xdr:row>
      <xdr:rowOff>0</xdr:rowOff>
    </xdr:from>
    <xdr:to>
      <xdr:col>13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a02f9d894a45a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40db2739ff2489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5" hidden="0" customWidth="1"/>
    <x:col min="4" max="4" width="25" hidden="0" customWidth="1"/>
    <x:col min="5" max="5" width="3" hidden="0" customWidth="1"/>
    <x:col min="6" max="6" width="26" hidden="0" customWidth="1"/>
    <x:col min="7" max="7" width="23" hidden="0" customWidth="1"/>
    <x:col min="8" max="8" width="31" hidden="0" customWidth="1"/>
  </x:cols>
  <x:sheetData>
    <x:row r="1" ht="28" customHeight="1">
      <x:c r="A1" s="12" t="str">
        <x:v>D1-1a：SWRO最小膜面积设计（Membrane Area Sizing）</x:v>
      </x:c>
      <x:c r="B1" s="12"/>
      <x:c r="C1" s="12"/>
      <x:c r="D1" s="12"/>
      <x:c r="E1" s="12"/>
      <x:c r="F1" s="12"/>
      <x:c r="G1" s="12"/>
      <x:c r="H1" s="12"/>
      <x:c r="I1" s="2"/>
      <x:c r="J1" s="2"/>
      <x:c r="K1" s="2"/>
      <x:c r="L1" s="2"/>
      <x:c r="M1" s="2"/>
    </x:row>
    <x:row r="2" ht="28" customHeight="1">
      <x:c r="A2" s="13"/>
      <x:c r="B2" s="13"/>
      <x:c r="C2" s="13"/>
      <x:c r="D2" s="13"/>
      <x:c r="E2" s="13"/>
      <x:c r="F2" s="13"/>
      <x:c r="G2" s="13"/>
      <x:c r="H2" s="13"/>
    </x:row>
    <x:row r="4">
      <x:c r="A4" s="27" t="str">
        <x:v>某新建SWRO膜组的高压泵设计压力已经锁定为52 bar，膜型号也已确定，因此压力和A/B参数不能改变。初步方案采用350 m²有效膜面积，但需判断是否能满足设计产水量与膜性能约束，并确定满足全部约束的最小膜面积。</x:v>
      </x:c>
      <x:c r="B4" s="27"/>
      <x:c r="C4" s="27"/>
      <x:c r="D4" s="27"/>
      <x:c r="E4" s="27"/>
      <x:c r="F4" s="27"/>
      <x:c r="G4" s="27"/>
      <x:c r="H4" s="27"/>
    </x:row>
    <x:row r="5">
      <x:c r="A5" s="27"/>
      <x:c r="B5" s="27"/>
      <x:c r="C5" s="27"/>
      <x:c r="D5" s="27"/>
      <x:c r="E5" s="27"/>
      <x:c r="F5" s="27"/>
      <x:c r="G5" s="27"/>
      <x:c r="H5" s="27"/>
    </x:row>
    <x:row r="7">
      <x:c r="A7" s="35" t="str">
        <x:v>固定设计条件</x:v>
      </x:c>
      <x:c r="B7" s="35"/>
      <x:c r="C7" s="35"/>
      <x:c r="D7" s="35"/>
      <x:c r="F7" s="35" t="str">
        <x:v>设计约束</x:v>
      </x:c>
      <x:c r="G7" s="35"/>
      <x:c r="H7" s="35"/>
    </x:row>
    <x:row r="8">
      <x:c r="A8" s="54" t="str">
        <x:v>类别</x:v>
      </x:c>
      <x:c r="B8" s="55" t="str">
        <x:v>参数</x:v>
      </x:c>
      <x:c r="C8" s="55" t="str">
        <x:v>数值</x:v>
      </x:c>
      <x:c r="D8" s="56" t="str">
        <x:v>单位 / 说明</x:v>
      </x:c>
      <x:c r="F8" s="54" t="str">
        <x:v>指标</x:v>
      </x:c>
      <x:c r="G8" s="55" t="str">
        <x:v>要求</x:v>
      </x:c>
      <x:c r="H8" s="56" t="str">
        <x:v>说明</x:v>
      </x:c>
    </x:row>
    <x:row r="9">
      <x:c r="A9" s="57" t="str">
        <x:v>设计</x:v>
      </x:c>
      <x:c r="B9" s="51" t="str">
        <x:v>固定进水压力</x:v>
      </x:c>
      <x:c r="C9" s="51" t="n">
        <x:v>52</x:v>
      </x:c>
      <x:c r="D9" s="58" t="str">
        <x:v>bar（不可调整）</x:v>
      </x:c>
      <x:c r="F9" s="57" t="str">
        <x:v>产水流量</x:v>
      </x:c>
      <x:c r="G9" s="51" t="str">
        <x:v>≥ 6.30 m³/h</x:v>
      </x:c>
      <x:c r="H9" s="58" t="str">
        <x:v>由permeate flow_kg_s×3.6近似换算</x:v>
      </x:c>
    </x:row>
    <x:row r="10">
      <x:c r="A10" s="57" t="str">
        <x:v>设计</x:v>
      </x:c>
      <x:c r="B10" s="51" t="str">
        <x:v>初步膜面积</x:v>
      </x:c>
      <x:c r="C10" s="51" t="n">
        <x:v>350</x:v>
      </x:c>
      <x:c r="D10" s="58" t="str">
        <x:v>m²</x:v>
      </x:c>
      <x:c r="F10" s="57" t="str">
        <x:v>回收率</x:v>
      </x:c>
      <x:c r="G10" s="51" t="str">
        <x:v>≤ 46.0%</x:v>
      </x:c>
      <x:c r="H10" s="58" t="str">
        <x:v>运行/设计上限</x:v>
      </x:c>
    </x:row>
    <x:row r="11">
      <x:c r="A11" s="57" t="str">
        <x:v>进水</x:v>
      </x:c>
      <x:c r="B11" s="51" t="str">
        <x:v>进水质量流量</x:v>
      </x:c>
      <x:c r="C11" s="51" t="n">
        <x:v>4.073</x:v>
      </x:c>
      <x:c r="D11" s="58" t="str">
        <x:v>kg/s</x:v>
      </x:c>
      <x:c r="F11" s="57" t="str">
        <x:v>平均水通量</x:v>
      </x:c>
      <x:c r="G11" s="51" t="str">
        <x:v>≤ 18.0 LMH</x:v>
      </x:c>
      <x:c r="H11" s="58" t="str">
        <x:v>本benchmark约束</x:v>
      </x:c>
    </x:row>
    <x:row r="12">
      <x:c r="A12" s="57" t="str">
        <x:v>进水</x:v>
      </x:c>
      <x:c r="B12" s="51" t="str">
        <x:v>NaCl质量分数</x:v>
      </x:c>
      <x:c r="C12" s="51" t="n">
        <x:v>0.03</x:v>
      </x:c>
      <x:c r="D12" s="58" t="str">
        <x:v>约30.53 g/L NaCl</x:v>
      </x:c>
      <x:c r="F12" s="57" t="str">
        <x:v>盐截留率</x:v>
      </x:c>
      <x:c r="G12" s="51" t="str">
        <x:v>≥ 98.7%</x:v>
      </x:c>
      <x:c r="H12" s="58" t="str">
        <x:v>产水水质要求</x:v>
      </x:c>
    </x:row>
    <x:row r="13">
      <x:c r="A13" s="57" t="str">
        <x:v>进水</x:v>
      </x:c>
      <x:c r="B13" s="51" t="str">
        <x:v>温度</x:v>
      </x:c>
      <x:c r="C13" s="51" t="n">
        <x:v>32</x:v>
      </x:c>
      <x:c r="D13" s="58" t="str">
        <x:v>°C</x:v>
      </x:c>
      <x:c r="F13" s="59" t="str">
        <x:v>产水NaCl</x:v>
      </x:c>
      <x:c r="G13" s="60" t="str">
        <x:v>≤ 400 mg/L</x:v>
      </x:c>
      <x:c r="H13" s="61" t="str">
        <x:v>产水水质要求</x:v>
      </x:c>
    </x:row>
    <x:row r="14">
      <x:c r="A14" s="57" t="str">
        <x:v>膜</x:v>
      </x:c>
      <x:c r="B14" s="51" t="str">
        <x:v>A_comp</x:v>
      </x:c>
      <x:c r="C14" s="51" t="n">
        <x:v>4.2e-12</x:v>
      </x:c>
      <x:c r="D14" s="58" t="str">
        <x:v>m/s/Pa</x:v>
      </x:c>
    </x:row>
    <x:row r="15">
      <x:c r="A15" s="57" t="str">
        <x:v>膜</x:v>
      </x:c>
      <x:c r="B15" s="51" t="str">
        <x:v>B_comp</x:v>
      </x:c>
      <x:c r="C15" s="51" t="n">
        <x:v>3.4e-8</x:v>
      </x:c>
      <x:c r="D15" s="58" t="str">
        <x:v>m/s</x:v>
      </x:c>
    </x:row>
    <x:row r="16">
      <x:c r="A16" s="57" t="str">
        <x:v>膜</x:v>
      </x:c>
      <x:c r="B16" s="51" t="str">
        <x:v>产水侧压力</x:v>
      </x:c>
      <x:c r="C16" s="51" t="n">
        <x:v>1.013</x:v>
      </x:c>
      <x:c r="D16" s="58" t="str">
        <x:v>bar</x:v>
      </x:c>
    </x:row>
    <x:row r="17">
      <x:c r="A17" s="57" t="str">
        <x:v>膜</x:v>
      </x:c>
      <x:c r="B17" s="51" t="str">
        <x:v>膜通道压降</x:v>
      </x:c>
      <x:c r="C17" s="51" t="n">
        <x:v>0.653</x:v>
      </x:c>
      <x:c r="D17" s="58" t="str">
        <x:v>bar</x:v>
      </x:c>
      <x:c r="F17" s="35" t="str">
        <x:v>需要完成的任务</x:v>
      </x:c>
      <x:c r="G17" s="35"/>
      <x:c r="H17" s="35"/>
    </x:row>
    <x:row r="18" ht="44" customHeight="1">
      <x:c r="A18" s="57" t="str">
        <x:v>传质</x:v>
      </x:c>
      <x:c r="B18" s="51" t="str">
        <x:v>通道高度</x:v>
      </x:c>
      <x:c r="C18" s="51" t="n">
        <x:v>0.002</x:v>
      </x:c>
      <x:c r="D18" s="58" t="str">
        <x:v>m</x:v>
      </x:c>
      <x:c r="F18" s="70" t="str">
        <x:v>1. 判断当前350 m²方案的主要设计问题，并指出本题应优化的关键设计变量。</x:v>
      </x:c>
      <x:c r="G18" s="71"/>
      <x:c r="H18" s="72"/>
    </x:row>
    <x:row r="19" ht="44" customHeight="1">
      <x:c r="A19" s="57" t="str">
        <x:v>传质</x:v>
      </x:c>
      <x:c r="B19" s="51" t="str">
        <x:v>隔网孔隙率</x:v>
      </x:c>
      <x:c r="C19" s="51" t="n">
        <x:v>0.75</x:v>
      </x:c>
      <x:c r="D19" s="58" t="str">
        <x:v>-</x:v>
      </x:c>
      <x:c r="F19" s="70" t="str">
        <x:v>2. 使用simulate_ro计算350 m²当前方案，判断哪些约束满足/不满足。</x:v>
      </x:c>
      <x:c r="G19" s="71"/>
      <x:c r="H19" s="72"/>
    </x:row>
    <x:row r="20" ht="44" customHeight="1">
      <x:c r="A20" s="57" t="str">
        <x:v>传质</x:v>
      </x:c>
      <x:c r="B20" s="51" t="str">
        <x:v>等效膜通道长度</x:v>
      </x:c>
      <x:c r="C20" s="51" t="n">
        <x:v>20</x:v>
      </x:c>
      <x:c r="D20" s="58" t="str">
        <x:v>m</x:v>
      </x:c>
      <x:c r="F20" s="70" t="str">
        <x:v>3. 制定膜面积搜索策略：先建立“失败—通过”区间，再逐步缩小范围，而不是机械遍历。</x:v>
      </x:c>
      <x:c r="G20" s="71"/>
      <x:c r="H20" s="72"/>
    </x:row>
    <x:row r="21" ht="44" customHeight="1">
      <x:c r="A21" s="57" t="str">
        <x:v>模型</x:v>
      </x:c>
      <x:c r="B21" s="51" t="str">
        <x:v>浓差极化</x:v>
      </x:c>
      <x:c r="C21" s="51" t="str">
        <x:v>calculated</x:v>
      </x:c>
      <x:c r="D21" s="58" t="str">
        <x:v>WaterTAP</x:v>
      </x:c>
      <x:c r="F21" s="70" t="str">
        <x:v>4. 多次调用simulate_ro，找到以1 m²为分辨率的最小可行膜面积。</x:v>
      </x:c>
      <x:c r="G21" s="71"/>
      <x:c r="H21" s="72"/>
    </x:row>
    <x:row r="22" ht="44" customHeight="1">
      <x:c r="A22" s="59" t="str">
        <x:v>模型</x:v>
      </x:c>
      <x:c r="B22" s="60" t="str">
        <x:v>传质系数</x:v>
      </x:c>
      <x:c r="C22" s="60" t="str">
        <x:v>calculated</x:v>
      </x:c>
      <x:c r="D22" s="61" t="str">
        <x:v>WaterTAP</x:v>
      </x:c>
      <x:c r="F22" s="70" t="str">
        <x:v>5. 在minimum feasible area基础上至少保留1.5%面积裕度，并给出工程推荐膜面积。</x:v>
      </x:c>
      <x:c r="G22" s="71"/>
      <x:c r="H22" s="72"/>
    </x:row>
    <x:row r="24">
      <x:c r="A24" s="84" t="str">
        <x:v>搜索要求：膜面积按1 m²分辨率判断。工程推荐面积 = 至少为最小可行面积的1.015倍，并向上取整到整数m²。产水体积流量按permeate total mass flow×3.6近似换算（假设产水密度约1.00 kg/L）。</x:v>
      </x:c>
      <x:c r="B24" s="85"/>
      <x:c r="C24" s="85"/>
      <x:c r="D24" s="85"/>
      <x:c r="E24" s="85"/>
      <x:c r="F24" s="85"/>
      <x:c r="G24" s="85"/>
      <x:c r="H24" s="86"/>
    </x:row>
    <x:row r="25">
      <x:c r="A25" s="87"/>
      <x:c r="B25" s="79"/>
      <x:c r="C25" s="79"/>
      <x:c r="D25" s="79"/>
      <x:c r="E25" s="79"/>
      <x:c r="F25" s="79"/>
      <x:c r="G25" s="79"/>
      <x:c r="H25" s="88"/>
    </x:row>
    <x:row r="26">
      <x:c r="A26" s="87"/>
      <x:c r="B26" s="79"/>
      <x:c r="C26" s="79"/>
      <x:c r="D26" s="79"/>
      <x:c r="E26" s="79"/>
      <x:c r="F26" s="79"/>
      <x:c r="G26" s="79"/>
      <x:c r="H26" s="88"/>
    </x:row>
    <x:row r="27">
      <x:c r="A27" s="89"/>
      <x:c r="B27" s="90"/>
      <x:c r="C27" s="90"/>
      <x:c r="D27" s="90"/>
      <x:c r="E27" s="90"/>
      <x:c r="F27" s="90"/>
      <x:c r="G27" s="90"/>
      <x:c r="H27" s="91"/>
    </x:row>
  </x:sheetData>
  <x:mergeCells>
    <x:mergeCell ref="A1:H2"/>
    <x:mergeCell ref="A4:H5"/>
    <x:mergeCell ref="A7:D7"/>
    <x:mergeCell ref="F7:H7"/>
    <x:mergeCell ref="F17:H17"/>
    <x:mergeCell ref="F18:H18"/>
    <x:mergeCell ref="F19:H19"/>
    <x:mergeCell ref="F20:H20"/>
    <x:mergeCell ref="F21:H21"/>
    <x:mergeCell ref="F22:H22"/>
    <x:mergeCell ref="A24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8" hidden="0" customWidth="1"/>
    <x:col min="4" max="4" width="18" hidden="0" customWidth="1"/>
    <x:col min="5" max="5" width="14" hidden="0" customWidth="1"/>
    <x:col min="6" max="6" width="15" hidden="0" customWidth="1"/>
    <x:col min="7" max="7" width="15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8" customHeight="1">
      <x:c r="A1" s="12" t="str">
        <x:v>D1-1a：分步答案A — 最小膜面积设计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</x:row>
    <x:row r="2" ht="28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106" t="str">
        <x:v>以下结果均来自直接调用WaterTAP simulate_ro；每次仅改变membrane_area_m2，其余输入保持完全一致。</x:v>
      </x:c>
      <x:c r="B4" s="107"/>
      <x:c r="C4" s="107"/>
      <x:c r="D4" s="107"/>
      <x:c r="E4" s="107"/>
      <x:c r="F4" s="107"/>
      <x:c r="G4" s="107"/>
      <x:c r="H4" s="107"/>
      <x:c r="I4" s="107"/>
      <x:c r="J4" s="107"/>
      <x:c r="K4" s="107"/>
      <x:c r="L4" s="107"/>
      <x:c r="M4" s="108"/>
    </x:row>
    <x:row r="5">
      <x:c r="A5" s="109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1"/>
    </x:row>
    <x:row r="7">
      <x:c r="A7" s="54" t="str">
        <x:v>步骤</x:v>
      </x:c>
      <x:c r="B7" s="55" t="str">
        <x:v>能力层</x:v>
      </x:c>
      <x:c r="C7" s="55" t="str">
        <x:v>动作</x:v>
      </x:c>
      <x:c r="D7" s="55" t="str">
        <x:v>输入/决策</x:v>
      </x:c>
      <x:c r="E7" s="55" t="str">
        <x:v>关键输出</x:v>
      </x:c>
      <x:c r="F7" s="55" t="str">
        <x:v>下一步逻辑</x:v>
      </x:c>
      <x:c r="G7" s="56" t="str">
        <x:v>分值</x:v>
      </x:c>
    </x:row>
    <x:row r="8" ht="58" customHeight="1">
      <x:c r="A8" s="57" t="n">
        <x:v>1</x:v>
      </x:c>
      <x:c r="B8" s="51" t="str">
        <x:v>E1 判断问题</x:v>
      </x:c>
      <x:c r="C8" s="51" t="str">
        <x:v>识别设计瓶颈</x:v>
      </x:c>
      <x:c r="D8" s="51" t="str">
        <x:v>压力与膜A/B均锁定，当前面积350 m²</x:v>
      </x:c>
      <x:c r="E8" s="51" t="str">
        <x:v>唯一主要设计变量应为membrane_area_m2</x:v>
      </x:c>
      <x:c r="F8" s="51" t="str">
        <x:v>先验证350 m²是否失效</x:v>
      </x:c>
      <x:c r="G8" s="58" t="n">
        <x:v>20</x:v>
      </x:c>
    </x:row>
    <x:row r="9" ht="58" customHeight="1">
      <x:c r="A9" s="57" t="n">
        <x:v>2</x:v>
      </x:c>
      <x:c r="B9" s="51" t="str">
        <x:v>E2 单次工具</x:v>
      </x:c>
      <x:c r="C9" s="51" t="str">
        <x:v>模拟当前方案</x:v>
      </x:c>
      <x:c r="D9" s="51" t="str">
        <x:v>Area=350 m²</x:v>
      </x:c>
      <x:c r="E9" s="51" t="str">
        <x:v>Qp≈6.181 m³/h，低于6.30；其他指标合格</x:v>
      </x:c>
      <x:c r="F9" s="51" t="str">
        <x:v>面积需要增加</x:v>
      </x:c>
      <x:c r="G9" s="58" t="n">
        <x:v>25</x:v>
      </x:c>
    </x:row>
    <x:row r="10" ht="58" customHeight="1">
      <x:c r="A10" s="57" t="n">
        <x:v>3</x:v>
      </x:c>
      <x:c r="B10" s="51" t="str">
        <x:v>E3 计划方案</x:v>
      </x:c>
      <x:c r="C10" s="51" t="str">
        <x:v>建立搜索区间</x:v>
      </x:c>
      <x:c r="D10" s="51" t="str">
        <x:v>350 fail → 先试370</x:v>
      </x:c>
      <x:c r="E10" s="51" t="str">
        <x:v>370 m²通过，形成[350,370]区间</x:v>
      </x:c>
      <x:c r="F10" s="51" t="str">
        <x:v>继续缩小区间</x:v>
      </x:c>
      <x:c r="G10" s="58" t="n">
        <x:v>25</x:v>
      </x:c>
    </x:row>
    <x:row r="11" ht="58" customHeight="1">
      <x:c r="A11" s="57" t="n">
        <x:v>4</x:v>
      </x:c>
      <x:c r="B11" s="51" t="str">
        <x:v>E4 多次比较</x:v>
      </x:c>
      <x:c r="C11" s="51" t="str">
        <x:v>迭代搜索临界面积</x:v>
      </x:c>
      <x:c r="D11" s="51" t="str">
        <x:v>360→365→363→364 m²</x:v>
      </x:c>
      <x:c r="E11" s="51" t="str">
        <x:v>363 fail；364 pass</x:v>
      </x:c>
      <x:c r="F11" s="51" t="str">
        <x:v>最小整数面积=364 m²</x:v>
      </x:c>
      <x:c r="G11" s="58" t="n">
        <x:v>20</x:v>
      </x:c>
    </x:row>
    <x:row r="12" ht="58" customHeight="1">
      <x:c r="A12" s="59" t="n">
        <x:v>5</x:v>
      </x:c>
      <x:c r="B12" s="60" t="str">
        <x:v>E4 最终决策</x:v>
      </x:c>
      <x:c r="C12" s="60" t="str">
        <x:v>加入工程裕度</x:v>
      </x:c>
      <x:c r="D12" s="60" t="str">
        <x:v>364×1.015=369.46</x:v>
      </x:c>
      <x:c r="E12" s="60" t="str">
        <x:v>向上取整=370 m²</x:v>
      </x:c>
      <x:c r="F12" s="60" t="str">
        <x:v>推荐370 m²</x:v>
      </x:c>
      <x:c r="G12" s="61" t="n">
        <x:v>10</x:v>
      </x:c>
    </x:row>
    <x:row r="15">
      <x:c r="A15" s="35" t="str">
        <x:v>simulate_ro 直接调用结果</x:v>
      </x:c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</x:row>
    <x:row r="16">
      <x:c r="A16" s="54" t="str">
        <x:v>膜面积 m²</x:v>
      </x:c>
      <x:c r="B16" s="55" t="str">
        <x:v>Permeate flow kg/s</x:v>
      </x:c>
      <x:c r="C16" s="55" t="str">
        <x:v>产水流量 m³/h</x:v>
      </x:c>
      <x:c r="D16" s="55" t="str">
        <x:v>24h产水 m³/d</x:v>
      </x:c>
      <x:c r="E16" s="55" t="str">
        <x:v>Flux LMH</x:v>
      </x:c>
      <x:c r="F16" s="55" t="str">
        <x:v>Recovery %</x:v>
      </x:c>
      <x:c r="G16" s="55" t="str">
        <x:v>Rejection %</x:v>
      </x:c>
      <x:c r="H16" s="55" t="str">
        <x:v>Permeate NaCl mg/L</x:v>
      </x:c>
      <x:c r="I16" s="55" t="str">
        <x:v>产水约束</x:v>
      </x:c>
      <x:c r="J16" s="55" t="str">
        <x:v>Recovery约束</x:v>
      </x:c>
      <x:c r="K16" s="55" t="str">
        <x:v>Flux约束</x:v>
      </x:c>
      <x:c r="L16" s="55" t="str">
        <x:v>水质约束</x:v>
      </x:c>
      <x:c r="M16" s="56" t="str">
        <x:v>总体</x:v>
      </x:c>
    </x:row>
    <x:row r="17">
      <x:c r="A17" s="57" t="n">
        <x:v>350</x:v>
      </x:c>
      <x:c r="B17" s="139" t="n">
        <x:v>1.7169976226792485</x:v>
      </x:c>
      <x:c r="C17" s="143" t="n">
        <x:f>B17*3.6</x:f>
        <x:v>6.181191441645295</x:v>
      </x:c>
      <x:c r="D17" s="143" t="n">
        <x:f>C17*24</x:f>
        <x:v>148.34859459948706</x:v>
      </x:c>
      <x:c r="E17" s="143" t="n">
        <x:v>17.654772383383936</x:v>
      </x:c>
      <x:c r="F17" s="143" t="n">
        <x:v>43.10578528290059</x:v>
      </x:c>
      <x:c r="G17" s="143" t="n">
        <x:v>98.9341019237045</x:v>
      </x:c>
      <x:c r="H17" s="143" t="n">
        <x:v>326.977004352286</x:v>
      </x:c>
      <x:c r="I17" s="51" t="str">
        <x:f>IF(C17&gt;=6.3,"通过","不通过")</x:f>
        <x:v>不通过</x:v>
      </x:c>
      <x:c r="J17" s="51" t="str">
        <x:f>IF(F17&lt;=46,"通过","不通过")</x:f>
        <x:v>通过</x:v>
      </x:c>
      <x:c r="K17" s="51" t="str">
        <x:f>IF(E17&lt;=18,"通过","不通过")</x:f>
        <x:v>通过</x:v>
      </x:c>
      <x:c r="L17" s="51" t="str">
        <x:f>IF(AND(G17&gt;=98.7,H17&lt;=400),"通过","不通过")</x:f>
        <x:v>通过</x:v>
      </x:c>
      <x:c r="M17" s="58" t="str">
        <x:f>IF(AND(I17="通过",J17="通过",K17="通过",L17="通过"),"通过","不通过")</x:f>
        <x:v>不通过</x:v>
      </x:c>
    </x:row>
    <x:row r="18">
      <x:c r="A18" s="57" t="n">
        <x:v>360</x:v>
      </x:c>
      <x:c r="B18" s="139" t="n">
        <x:v>1.7408772868537004</x:v>
      </x:c>
      <x:c r="C18" s="143" t="n">
        <x:f>B18*3.6</x:f>
        <x:v>6.267158232673322</x:v>
      </x:c>
      <x:c r="D18" s="143" t="n">
        <x:f>C18*24</x:f>
        <x:v>150.41179758415973</x:v>
      </x:c>
      <x:c r="E18" s="143" t="n">
        <x:v>17.402975282844373</x:v>
      </x:c>
      <x:c r="F18" s="143" t="n">
        <x:v>43.70509119796181</x:v>
      </x:c>
      <x:c r="G18" s="143" t="n">
        <x:v>98.91437588702097</x:v>
      </x:c>
      <x:c r="H18" s="143" t="n">
        <x:v>333.0266720353264</x:v>
      </x:c>
      <x:c r="I18" s="51" t="str">
        <x:f>IF(C18&gt;=6.3,"通过","不通过")</x:f>
        <x:v>不通过</x:v>
      </x:c>
      <x:c r="J18" s="51" t="str">
        <x:f>IF(F18&lt;=46,"通过","不通过")</x:f>
        <x:v>通过</x:v>
      </x:c>
      <x:c r="K18" s="51" t="str">
        <x:f>IF(E18&lt;=18,"通过","不通过")</x:f>
        <x:v>通过</x:v>
      </x:c>
      <x:c r="L18" s="51" t="str">
        <x:f>IF(AND(G18&gt;=98.7,H18&lt;=400),"通过","不通过")</x:f>
        <x:v>通过</x:v>
      </x:c>
      <x:c r="M18" s="58" t="str">
        <x:f>IF(AND(I18="通过",J18="通过",K18="通过",L18="通过"),"通过","不通过")</x:f>
        <x:v>不通过</x:v>
      </x:c>
    </x:row>
    <x:row r="19">
      <x:c r="A19" s="57" t="n">
        <x:v>363</x:v>
      </x:c>
      <x:c r="B19" s="139" t="n">
        <x:v>1.7479354123768247</x:v>
      </x:c>
      <x:c r="C19" s="143" t="n">
        <x:f>B19*3.6</x:f>
        <x:v>6.292567484556569</x:v>
      </x:c>
      <x:c r="D19" s="143" t="n">
        <x:f>C19*24</x:f>
        <x:v>151.02161962935764</x:v>
      </x:c>
      <x:c r="E19" s="143" t="n">
        <x:v>17.329092335773822</x:v>
      </x:c>
      <x:c r="F19" s="143" t="n">
        <x:v>43.882226676732</x:v>
      </x:c>
      <x:c r="G19" s="143" t="n">
        <x:v>98.90848214652583</x:v>
      </x:c>
      <x:c r="H19" s="143" t="n">
        <x:v>334.8341795052164</x:v>
      </x:c>
      <x:c r="I19" s="51" t="str">
        <x:f>IF(C19&gt;=6.3,"通过","不通过")</x:f>
        <x:v>不通过</x:v>
      </x:c>
      <x:c r="J19" s="51" t="str">
        <x:f>IF(F19&lt;=46,"通过","不通过")</x:f>
        <x:v>通过</x:v>
      </x:c>
      <x:c r="K19" s="51" t="str">
        <x:f>IF(E19&lt;=18,"通过","不通过")</x:f>
        <x:v>通过</x:v>
      </x:c>
      <x:c r="L19" s="51" t="str">
        <x:f>IF(AND(G19&gt;=98.7,H19&lt;=400),"通过","不通过")</x:f>
        <x:v>通过</x:v>
      </x:c>
      <x:c r="M19" s="58" t="str">
        <x:f>IF(AND(I19="通过",J19="通过",K19="通过",L19="通过"),"通过","不通过")</x:f>
        <x:v>不通过</x:v>
      </x:c>
    </x:row>
    <x:row r="20">
      <x:c r="A20" s="57" t="n">
        <x:v>364</x:v>
      </x:c>
      <x:c r="B20" s="139" t="n">
        <x:v>1.7502778004542188</x:v>
      </x:c>
      <x:c r="C20" s="143" t="n">
        <x:f>B20*3.6</x:f>
        <x:v>6.301000081635188</x:v>
      </x:c>
      <x:c r="D20" s="143" t="n">
        <x:f>C20*24</x:f>
        <x:v>151.2240019592445</x:v>
      </x:c>
      <x:c r="E20" s="143" t="n">
        <x:v>17.304633242551997</x:v>
      </x:c>
      <x:c r="F20" s="143" t="n">
        <x:v>43.9410126597485</x:v>
      </x:c>
      <x:c r="G20" s="143" t="n">
        <x:v>98.90652026115528</x:v>
      </x:c>
      <x:c r="H20" s="143" t="n">
        <x:v>335.43585444787436</x:v>
      </x:c>
      <x:c r="I20" s="51" t="str">
        <x:f>IF(C20&gt;=6.3,"通过","不通过")</x:f>
        <x:v>通过</x:v>
      </x:c>
      <x:c r="J20" s="51" t="str">
        <x:f>IF(F20&lt;=46,"通过","不通过")</x:f>
        <x:v>通过</x:v>
      </x:c>
      <x:c r="K20" s="51" t="str">
        <x:f>IF(E20&lt;=18,"通过","不通过")</x:f>
        <x:v>通过</x:v>
      </x:c>
      <x:c r="L20" s="51" t="str">
        <x:f>IF(AND(G20&gt;=98.7,H20&lt;=400),"通过","不通过")</x:f>
        <x:v>通过</x:v>
      </x:c>
      <x:c r="M20" s="58" t="str">
        <x:f>IF(AND(I20="通过",J20="通过",K20="通过",L20="通过"),"通过","不通过")</x:f>
        <x:v>通过</x:v>
      </x:c>
    </x:row>
    <x:row r="21">
      <x:c r="A21" s="57" t="n">
        <x:v>365</x:v>
      </x:c>
      <x:c r="B21" s="139" t="n">
        <x:v>1.752615124053364</x:v>
      </x:c>
      <x:c r="C21" s="143" t="n">
        <x:f>B21*3.6</x:f>
        <x:v>6.309414446592111</x:v>
      </x:c>
      <x:c r="D21" s="143" t="n">
        <x:f>C21*24</x:f>
        <x:v>151.42594671821067</x:v>
      </x:c>
      <x:c r="E21" s="143" t="n">
        <x:v>17.28025821710368</x:v>
      </x:c>
      <x:c r="F21" s="143" t="n">
        <x:v>43.99967145879426</x:v>
      </x:c>
      <x:c r="G21" s="143" t="n">
        <x:v>98.90455976587369</x:v>
      </x:c>
      <x:c r="H21" s="143" t="n">
        <x:v>336.0371025260174</x:v>
      </x:c>
      <x:c r="I21" s="51" t="str">
        <x:f>IF(C21&gt;=6.3,"通过","不通过")</x:f>
        <x:v>通过</x:v>
      </x:c>
      <x:c r="J21" s="51" t="str">
        <x:f>IF(F21&lt;=46,"通过","不通过")</x:f>
        <x:v>通过</x:v>
      </x:c>
      <x:c r="K21" s="51" t="str">
        <x:f>IF(E21&lt;=18,"通过","不通过")</x:f>
        <x:v>通过</x:v>
      </x:c>
      <x:c r="L21" s="51" t="str">
        <x:f>IF(AND(G21&gt;=98.7,H21&lt;=400),"通过","不通过")</x:f>
        <x:v>通过</x:v>
      </x:c>
      <x:c r="M21" s="58" t="str">
        <x:f>IF(AND(I21="通过",J21="通过",K21="通过",L21="通过"),"通过","不通过")</x:f>
        <x:v>通过</x:v>
      </x:c>
    </x:row>
    <x:row r="22">
      <x:c r="A22" s="59" t="n">
        <x:v>370</x:v>
      </x:c>
      <x:c r="B22" s="140" t="n">
        <x:v>1.7642278084545582</x:v>
      </x:c>
      <x:c r="C22" s="144" t="n">
        <x:f>B22*3.6</x:f>
        <x:v>6.35122011043641</x:v>
      </x:c>
      <x:c r="D22" s="144" t="n">
        <x:f>C22*24</x:f>
        <x:v>152.42928265047385</x:v>
      </x:c>
      <x:c r="E22" s="144" t="n">
        <x:v>17.159640037891197</x:v>
      </x:c>
      <x:c r="F22" s="144" t="n">
        <x:v>44.29110876536216</x:v>
      </x:c>
      <x:c r="G22" s="144" t="n">
        <x:v>98.89477907250986</x:v>
      </x:c>
      <x:c r="H22" s="144" t="n">
        <x:v>339.0366542529016</x:v>
      </x:c>
      <x:c r="I22" s="60" t="str">
        <x:f>IF(C22&gt;=6.3,"通过","不通过")</x:f>
        <x:v>通过</x:v>
      </x:c>
      <x:c r="J22" s="60" t="str">
        <x:f>IF(F22&lt;=46,"通过","不通过")</x:f>
        <x:v>通过</x:v>
      </x:c>
      <x:c r="K22" s="60" t="str">
        <x:f>IF(E22&lt;=18,"通过","不通过")</x:f>
        <x:v>通过</x:v>
      </x:c>
      <x:c r="L22" s="60" t="str">
        <x:f>IF(AND(G22&gt;=98.7,H22&lt;=400),"通过","不通过")</x:f>
        <x:v>通过</x:v>
      </x:c>
      <x:c r="M22" s="61" t="str">
        <x:f>IF(AND(I22="通过",J22="通过",K22="通过",L22="通过"),"通过","不通过")</x:f>
        <x:v>通过</x:v>
      </x:c>
    </x:row>
    <x:row r="25">
      <x:c r="A25" s="35" t="str">
        <x:v>关键结论</x:v>
      </x:c>
      <x:c r="B25" s="35"/>
      <x:c r="C25" s="35"/>
      <x:c r="D25" s="35"/>
      <x:c r="E25" s="35"/>
      <x:c r="F25" s="35"/>
    </x:row>
    <x:row r="26">
      <x:c r="A26" s="54" t="str">
        <x:v>项目</x:v>
      </x:c>
      <x:c r="B26" s="55" t="str">
        <x:v>结果</x:v>
      </x:c>
      <x:c r="C26" s="55" t="str">
        <x:v>计算/证据</x:v>
      </x:c>
      <x:c r="D26" s="56" t="str">
        <x:v>解释</x:v>
      </x:c>
    </x:row>
    <x:row r="27">
      <x:c r="A27" s="57" t="str">
        <x:v>最小失败点</x:v>
      </x:c>
      <x:c r="B27" s="51" t="n">
        <x:v>363</x:v>
      </x:c>
      <x:c r="C27" s="51" t="str">
        <x:v>Qp≈6.293 m³/h</x:v>
      </x:c>
      <x:c r="D27" s="58" t="str">
        <x:v>低于6.30 m³/h</x:v>
      </x:c>
    </x:row>
    <x:row r="28">
      <x:c r="A28" s="57" t="str">
        <x:v>最小可行整数面积</x:v>
      </x:c>
      <x:c r="B28" s="51" t="n">
        <x:v>364</x:v>
      </x:c>
      <x:c r="C28" s="51" t="str">
        <x:v>Qp≈6.301 m³/h</x:v>
      </x:c>
      <x:c r="D28" s="58" t="str">
        <x:v>首次满足全部约束</x:v>
      </x:c>
    </x:row>
    <x:row r="29">
      <x:c r="A29" s="59" t="str">
        <x:v>工程推荐面积</x:v>
      </x:c>
      <x:c r="B29" s="60" t="n">
        <x:v>370</x:v>
      </x:c>
      <x:c r="C29" s="60" t="str">
        <x:v>364×1.015=369.46→向上取整</x:v>
      </x:c>
      <x:c r="D29" s="61" t="str">
        <x:v>保留≥1.5%面积裕度</x:v>
      </x:c>
    </x:row>
  </x:sheetData>
  <x:mergeCells>
    <x:mergeCell ref="A1:M2"/>
    <x:mergeCell ref="A4:M5"/>
    <x:mergeCell ref="A15:M15"/>
    <x:mergeCell ref="A25:F25"/>
  </x:mergeCells>
  <x:conditionalFormatting sqref="I17:I22">
    <x:cfRule type="expression" dxfId="0" priority="1">
      <x:formula>I17="通过"</x:formula>
    </x:cfRule>
    <x:cfRule type="expression" dxfId="1" priority="2">
      <x:formula>I17="不通过"</x:formula>
    </x:cfRule>
  </x:conditionalFormatting>
  <x:conditionalFormatting sqref="J17:J22">
    <x:cfRule type="expression" dxfId="2" priority="3">
      <x:formula>J17="通过"</x:formula>
    </x:cfRule>
    <x:cfRule type="expression" dxfId="3" priority="4">
      <x:formula>J17="不通过"</x:formula>
    </x:cfRule>
  </x:conditionalFormatting>
  <x:conditionalFormatting sqref="K17:K22">
    <x:cfRule type="expression" dxfId="4" priority="5">
      <x:formula>K17="通过"</x:formula>
    </x:cfRule>
    <x:cfRule type="expression" dxfId="5" priority="6">
      <x:formula>K17="不通过"</x:formula>
    </x:cfRule>
  </x:conditionalFormatting>
  <x:conditionalFormatting sqref="L17:L22">
    <x:cfRule type="expression" dxfId="6" priority="7">
      <x:formula>L17="通过"</x:formula>
    </x:cfRule>
    <x:cfRule type="expression" dxfId="7" priority="8">
      <x:formula>L17="不通过"</x:formula>
    </x:cfRule>
  </x:conditionalFormatting>
  <x:conditionalFormatting sqref="M17:M22">
    <x:cfRule type="expression" dxfId="8" priority="9">
      <x:formula>M17="通过"</x:formula>
    </x:cfRule>
    <x:cfRule type="expression" dxfId="9" priority="10">
      <x:formula>M17="不通过"</x:formula>
    </x:cfRule>
  </x:conditionalFormatting>
  <x:pageMargins left="0.7" right="0.7" top="0.75" bottom="0.75" header="0.3" footer="0.3"/>
  <x:drawing xmlns:r="http://schemas.openxmlformats.org/officeDocument/2006/relationships" r:id="R940db2739ff24899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34" hidden="0" customWidth="1"/>
    <x:col min="4" max="4" width="32" hidden="0" customWidth="1"/>
    <x:col min="5" max="5" width="38" hidden="0" customWidth="1"/>
    <x:col min="6" max="6" width="36" hidden="0" customWidth="1"/>
    <x:col min="7" max="7" width="9" hidden="0" customWidth="1"/>
  </x:cols>
  <x:sheetData>
    <x:row r="1" ht="28" customHeight="1">
      <x:c r="A1" s="12" t="str">
        <x:v>D1-1a：评价标准（100分）</x:v>
      </x:c>
      <x:c r="B1" s="12"/>
      <x:c r="C1" s="12"/>
      <x:c r="D1" s="12"/>
      <x:c r="E1" s="12"/>
      <x:c r="F1" s="12"/>
      <x:c r="G1" s="12"/>
      <x:c r="H1" s="2"/>
      <x:c r="I1" s="2"/>
      <x:c r="J1" s="2"/>
      <x:c r="K1" s="2"/>
      <x:c r="L1" s="2"/>
      <x:c r="M1" s="2"/>
    </x:row>
    <x:row r="2" ht="28" customHeight="1">
      <x:c r="A2" s="13"/>
      <x:c r="B2" s="13"/>
      <x:c r="C2" s="13"/>
      <x:c r="D2" s="13"/>
      <x:c r="E2" s="13"/>
      <x:c r="F2" s="13"/>
      <x:c r="G2" s="13"/>
    </x:row>
    <x:row r="4">
      <x:c r="A4" s="79" t="str">
        <x:v>统一评价框架：E1判断问题（20分）→ E2一次工具调用与结果解释（25分）→ E3计划多种解决方案/搜索策略（25分）→ E4多次工具调用、对比与最终决策（30分）。</x:v>
      </x:c>
      <x:c r="B4" s="79"/>
      <x:c r="C4" s="79"/>
      <x:c r="D4" s="79"/>
      <x:c r="E4" s="79"/>
      <x:c r="F4" s="79"/>
      <x:c r="G4" s="79"/>
    </x:row>
    <x:row r="5">
      <x:c r="A5" s="79"/>
      <x:c r="B5" s="79"/>
      <x:c r="C5" s="79"/>
      <x:c r="D5" s="79"/>
      <x:c r="E5" s="79"/>
      <x:c r="F5" s="79"/>
      <x:c r="G5" s="79"/>
    </x:row>
    <x:row r="7">
      <x:c r="A7" s="54" t="str">
        <x:v>能力层</x:v>
      </x:c>
      <x:c r="B7" s="55" t="str">
        <x:v>评价内容</x:v>
      </x:c>
      <x:c r="C7" s="55" t="str">
        <x:v>关键正确行为</x:v>
      </x:c>
      <x:c r="D7" s="55" t="str">
        <x:v>关键数值/证据</x:v>
      </x:c>
      <x:c r="E7" s="55" t="str">
        <x:v>满分标准</x:v>
      </x:c>
      <x:c r="F7" s="55" t="str">
        <x:v>常见失分</x:v>
      </x:c>
      <x:c r="G7" s="56" t="str">
        <x:v>分值</x:v>
      </x:c>
    </x:row>
    <x:row r="8" ht="66" customHeight="1">
      <x:c r="A8" s="57" t="str">
        <x:v>E1</x:v>
      </x:c>
      <x:c r="B8" s="51" t="str">
        <x:v>判断问题</x:v>
      </x:c>
      <x:c r="C8" s="51" t="str">
        <x:v>识别为膜面积设计/逆向容量设计；固定pressure、A、B不应被改动</x:v>
      </x:c>
      <x:c r="D8" s="51" t="str">
        <x:v>决策变量=membrane_area_m2</x:v>
      </x:c>
      <x:c r="E8" s="51" t="str">
        <x:v>问题类型、变量、约束均正确</x:v>
      </x:c>
      <x:c r="F8" s="51" t="str">
        <x:v>把问题做成调压或膜老化诊断</x:v>
      </x:c>
      <x:c r="G8" s="58" t="n">
        <x:v>20</x:v>
      </x:c>
    </x:row>
    <x:row r="9" ht="66" customHeight="1">
      <x:c r="A9" s="57" t="str">
        <x:v>E2</x:v>
      </x:c>
      <x:c r="B9" s="51" t="str">
        <x:v>一次工具调用</x:v>
      </x:c>
      <x:c r="C9" s="51" t="str">
        <x:v>正确调用simulate_ro评估350 m²，并完整解释关键输出</x:v>
      </x:c>
      <x:c r="D9" s="51" t="str">
        <x:v>Qp≈6.181；Flux≈17.655；Recovery≈43.106%；Rejection≈98.934%</x:v>
      </x:c>
      <x:c r="E9" s="51" t="str">
        <x:v>正确判断仅产水量不达标</x:v>
      </x:c>
      <x:c r="F9" s="51" t="str">
        <x:v>只报一个数字或误读单位</x:v>
      </x:c>
      <x:c r="G9" s="58" t="n">
        <x:v>25</x:v>
      </x:c>
    </x:row>
    <x:row r="10" ht="66" customHeight="1">
      <x:c r="A10" s="57" t="str">
        <x:v>E3</x:v>
      </x:c>
      <x:c r="B10" s="51" t="str">
        <x:v>计划多种/搜索方案</x:v>
      </x:c>
      <x:c r="C10" s="51" t="str">
        <x:v>提出有目的的bracketing/区间缩小策略，而非随机枚举</x:v>
      </x:c>
      <x:c r="D10" s="51" t="str">
        <x:v>350 fail，先找pass点，再缩小区间</x:v>
      </x:c>
      <x:c r="E10" s="51" t="str">
        <x:v>搜索逻辑与物理方向正确</x:v>
      </x:c>
      <x:c r="F10" s="51" t="str">
        <x:v>机械逐点遍历或改变多个变量</x:v>
      </x:c>
      <x:c r="G10" s="58" t="n">
        <x:v>25</x:v>
      </x:c>
    </x:row>
    <x:row r="11" ht="66" customHeight="1">
      <x:c r="A11" s="59" t="str">
        <x:v>E4</x:v>
      </x:c>
      <x:c r="B11" s="60" t="str">
        <x:v>多次调用与比较</x:v>
      </x:c>
      <x:c r="C11" s="60" t="str">
        <x:v>根据前次结果调整面积并比较所有硬约束</x:v>
      </x:c>
      <x:c r="D11" s="60" t="str">
        <x:v>360 fail；365 pass；363 fail；364 pass</x:v>
      </x:c>
      <x:c r="E11" s="60" t="str">
        <x:v>得到minimum=364 m²，并按规则推荐370 m²</x:v>
      </x:c>
      <x:c r="F11" s="60" t="str">
        <x:v>只比较产水量；没有找到边界；推荐无裕度</x:v>
      </x:c>
      <x:c r="G11" s="61" t="n">
        <x:v>30</x:v>
      </x:c>
    </x:row>
  </x:sheetData>
  <x:mergeCells>
    <x:mergeCell ref="A1:G2"/>
    <x:mergeCell ref="A4:G5"/>
  </x:mergeCells>
  <x:pageMargins left="0.7" right="0.7" top="0.75" bottom="0.75" header="0.3" footer="0.3"/>
</x:worksheet>
</file>