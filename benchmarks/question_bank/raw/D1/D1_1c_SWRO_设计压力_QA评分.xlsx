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xby12\Downloads\tongrui 合作\evaluation datasets\"/>
    </mc:Choice>
  </mc:AlternateContent>
  <xr:revisionPtr revIDLastSave="0" documentId="13_ncr:1_{0D12774B-5D92-4198-8895-561D611867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题目_Q" sheetId="1" r:id="rId1"/>
    <sheet name="分步答案_A" sheetId="2" r:id="rId2"/>
    <sheet name="评价标准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2" l="1"/>
  <c r="L22" i="2"/>
  <c r="K22" i="2"/>
  <c r="J22" i="2"/>
  <c r="I22" i="2"/>
  <c r="D22" i="2"/>
  <c r="C22" i="2"/>
  <c r="L21" i="2"/>
  <c r="K21" i="2"/>
  <c r="J21" i="2"/>
  <c r="C21" i="2"/>
  <c r="I21" i="2" s="1"/>
  <c r="M21" i="2" s="1"/>
  <c r="L20" i="2"/>
  <c r="K20" i="2"/>
  <c r="J20" i="2"/>
  <c r="C20" i="2"/>
  <c r="I20" i="2" s="1"/>
  <c r="M20" i="2" s="1"/>
  <c r="L19" i="2"/>
  <c r="K19" i="2"/>
  <c r="J19" i="2"/>
  <c r="C19" i="2"/>
  <c r="I19" i="2" s="1"/>
  <c r="M19" i="2" s="1"/>
  <c r="L18" i="2"/>
  <c r="K18" i="2"/>
  <c r="J18" i="2"/>
  <c r="I18" i="2"/>
  <c r="M18" i="2" s="1"/>
  <c r="D18" i="2"/>
  <c r="C18" i="2"/>
  <c r="L17" i="2"/>
  <c r="K17" i="2"/>
  <c r="J17" i="2"/>
  <c r="C17" i="2"/>
  <c r="I17" i="2" s="1"/>
  <c r="M17" i="2" s="1"/>
  <c r="D21" i="2" l="1"/>
  <c r="D19" i="2"/>
  <c r="D17" i="2"/>
  <c r="D20" i="2"/>
</calcChain>
</file>

<file path=xl/sharedStrings.xml><?xml version="1.0" encoding="utf-8"?>
<sst xmlns="http://schemas.openxmlformats.org/spreadsheetml/2006/main" count="179" uniqueCount="162">
  <si>
    <t>D1-1c：SWRO最低设计压力确定（Design Pressure Sizing）</t>
  </si>
  <si>
    <t>某新建SWRO膜组已经完成膜型与膜面积设计，高压泵尚未选型。需要在设计进水条件下确定能够满足产水量、回收率、通量和水质要求的最低膜组进水压力，并据此给出带设计裕度的推荐泵设计压力。</t>
  </si>
  <si>
    <t>固定设计条件</t>
  </si>
  <si>
    <t>设计约束</t>
  </si>
  <si>
    <t>类别</t>
  </si>
  <si>
    <t>参数</t>
  </si>
  <si>
    <t>数值</t>
  </si>
  <si>
    <t>单位 / 说明</t>
  </si>
  <si>
    <t>指标</t>
  </si>
  <si>
    <t>要求</t>
  </si>
  <si>
    <t>说明</t>
  </si>
  <si>
    <t>设计</t>
  </si>
  <si>
    <t>膜面积</t>
  </si>
  <si>
    <t>m²（已确定）</t>
  </si>
  <si>
    <t>产水流量</t>
  </si>
  <si>
    <t>≥ 6.30 m³/h</t>
  </si>
  <si>
    <t>由permeate flow_kg_s×3.6近似换算</t>
  </si>
  <si>
    <t>进水</t>
  </si>
  <si>
    <t>进水质量流量</t>
  </si>
  <si>
    <t>kg/s</t>
  </si>
  <si>
    <t>回收率</t>
  </si>
  <si>
    <t>≤ 46.0%</t>
  </si>
  <si>
    <t>运行/设计上限</t>
  </si>
  <si>
    <t>NaCl质量分数</t>
  </si>
  <si>
    <t>约30.53 g/L NaCl</t>
  </si>
  <si>
    <t>平均水通量</t>
  </si>
  <si>
    <t>≤ 18.0 LMH</t>
  </si>
  <si>
    <t>本benchmark约束</t>
  </si>
  <si>
    <t>温度</t>
  </si>
  <si>
    <t>°C</t>
  </si>
  <si>
    <t>盐截留率</t>
  </si>
  <si>
    <t>≥ 98.7%</t>
  </si>
  <si>
    <t>产水水质要求</t>
  </si>
  <si>
    <t>膜</t>
  </si>
  <si>
    <t>A_comp</t>
  </si>
  <si>
    <t>m/s/Pa</t>
  </si>
  <si>
    <t>产水NaCl</t>
  </si>
  <si>
    <t>≤ 400 mg/L</t>
  </si>
  <si>
    <t>B_comp</t>
  </si>
  <si>
    <t>m/s</t>
  </si>
  <si>
    <t>产水侧压力</t>
  </si>
  <si>
    <t>bar</t>
  </si>
  <si>
    <t>膜通道压降</t>
  </si>
  <si>
    <t>压力搜索要求</t>
  </si>
  <si>
    <t>传质</t>
  </si>
  <si>
    <t>通道高度</t>
  </si>
  <si>
    <t>m</t>
  </si>
  <si>
    <t>项目</t>
  </si>
  <si>
    <t>隔网孔隙率</t>
  </si>
  <si>
    <t>-</t>
  </si>
  <si>
    <t>搜索分辨率</t>
  </si>
  <si>
    <t>0.05 bar</t>
  </si>
  <si>
    <t>最终minimum按0.05 bar分辨率报告</t>
  </si>
  <si>
    <t>等效膜通道长度</t>
  </si>
  <si>
    <t>设计裕度</t>
  </si>
  <si>
    <t>≥0.50 bar</t>
  </si>
  <si>
    <t>推荐泵设计压力在minimum基础上增加至少0.50 bar，并向上取整到0.5 bar</t>
  </si>
  <si>
    <t>模型</t>
  </si>
  <si>
    <t>浓差极化</t>
  </si>
  <si>
    <t>传质系数</t>
  </si>
  <si>
    <t>需要完成的任务</t>
  </si>
  <si>
    <t>2. 使用simulate_ro测试一个初始低压力，判断当前主要不满足的约束。</t>
  </si>
  <si>
    <t>3. 制定压力搜索策略：先找到fail/pass区间，再按0.05 bar左右逐步缩小。</t>
  </si>
  <si>
    <t>注意：本题属于设计阶段，不是运行setpoint调整。膜面积、A/B、进水条件均已锁定；压力是待Sizing的设计变量。</t>
  </si>
  <si>
    <t>4. 多次调用simulate_ro，确定0.05 bar分辨率下的minimum feasible pressure。</t>
  </si>
  <si>
    <t>5. 在minimum基础上加入≥0.50 bar设计裕度，并给出向上取整到0.5 bar的推荐设计压力。</t>
  </si>
  <si>
    <t>D1-1c：分步答案A — 最低设计压力</t>
  </si>
  <si>
    <t>以下压力点均为直接simulate_ro结果；每次仅改变feed_pressure_bar。搜索结果显示产水量是minimum pressure附近的主导约束。</t>
  </si>
  <si>
    <t>步骤</t>
  </si>
  <si>
    <t>能力层</t>
  </si>
  <si>
    <t>动作</t>
  </si>
  <si>
    <t>输入/决策</t>
  </si>
  <si>
    <t>关键输出</t>
  </si>
  <si>
    <t>下一步逻辑</t>
  </si>
  <si>
    <t>分值</t>
  </si>
  <si>
    <t>E1 判断问题</t>
  </si>
  <si>
    <t>识别设计压力Sizing</t>
  </si>
  <si>
    <t>Area/A/B/feed均固定</t>
  </si>
  <si>
    <t>决策变量=feed_pressure_bar</t>
  </si>
  <si>
    <t>用低压点验证</t>
  </si>
  <si>
    <t>E2 单次工具</t>
  </si>
  <si>
    <t>测试50.0 bar</t>
  </si>
  <si>
    <t>P=50.0 bar</t>
  </si>
  <si>
    <t>Qp≈6.219 m³/h，不达标；其它关键约束通过</t>
  </si>
  <si>
    <t>必须提高压力</t>
  </si>
  <si>
    <t>E3 计划方案</t>
  </si>
  <si>
    <t>建立fail/pass区间</t>
  </si>
  <si>
    <t>50 fail → 51 pass</t>
  </si>
  <si>
    <t>形成[50,51]区间</t>
  </si>
  <si>
    <t>缩小区间</t>
  </si>
  <si>
    <t>E4 多次比较</t>
  </si>
  <si>
    <t>细化压力搜索</t>
  </si>
  <si>
    <t>50.40 fail；50.50 pass；50.42 fail；50.45 pass</t>
  </si>
  <si>
    <t>minimum=50.45 bar（0.05 bar分辨率）</t>
  </si>
  <si>
    <t>加入设计裕度</t>
  </si>
  <si>
    <t>E4 最终决策</t>
  </si>
  <si>
    <t>设计压力推荐</t>
  </si>
  <si>
    <t>50.45+0.50=50.95 bar</t>
  </si>
  <si>
    <t>向上取整到0.5 bar→51.0 bar</t>
  </si>
  <si>
    <t>推荐51.0 bar</t>
  </si>
  <si>
    <t>simulate_ro 压力搜索结果</t>
  </si>
  <si>
    <t>压力 bar</t>
  </si>
  <si>
    <t>Permeate flow kg/s</t>
  </si>
  <si>
    <t>产水 m³/h</t>
  </si>
  <si>
    <t>24h产水 m³/d</t>
  </si>
  <si>
    <t>Flux LMH</t>
  </si>
  <si>
    <t>Recovery %</t>
  </si>
  <si>
    <t>Rejection %</t>
  </si>
  <si>
    <t>Permeate NaCl mg/L</t>
  </si>
  <si>
    <t>产水</t>
  </si>
  <si>
    <t>Recovery</t>
  </si>
  <si>
    <t>Flux</t>
  </si>
  <si>
    <t>水质</t>
  </si>
  <si>
    <t>总体</t>
  </si>
  <si>
    <t>结果</t>
  </si>
  <si>
    <t>证据</t>
  </si>
  <si>
    <t>解释</t>
  </si>
  <si>
    <t>最后失败压力</t>
  </si>
  <si>
    <t>Qp≈6.299 m³/h</t>
  </si>
  <si>
    <t>略低于6.30</t>
  </si>
  <si>
    <t>最低可行压力</t>
  </si>
  <si>
    <t>Qp≈6.305 m³/h</t>
  </si>
  <si>
    <t>首次在0.05 bar分辨率下满足全部约束</t>
  </si>
  <si>
    <t>加0.50 bar裕度</t>
  </si>
  <si>
    <t>50.45+0.50</t>
  </si>
  <si>
    <t>满足设计裕度</t>
  </si>
  <si>
    <t>工程推荐压力</t>
  </si>
  <si>
    <t>向上取整到0.5 bar</t>
  </si>
  <si>
    <t>推荐泵设计工况</t>
  </si>
  <si>
    <t>D1-1c：评价标准（100分）</t>
  </si>
  <si>
    <t>统一评价框架：E1判断问题（20分）→ E2一次工具调用与结果解释（25分）→ E3计划多种解决方案/搜索策略（25分）→ E4多次工具调用、对比与最终决策（30分）。</t>
  </si>
  <si>
    <t>评价内容</t>
  </si>
  <si>
    <t>关键正确行为</t>
  </si>
  <si>
    <t>关键数值/证据</t>
  </si>
  <si>
    <t>满分标准</t>
  </si>
  <si>
    <t>常见失分</t>
  </si>
  <si>
    <t>E1</t>
  </si>
  <si>
    <t>判断问题</t>
  </si>
  <si>
    <t>识别为新建系统design pressure sizing，而非运行调参</t>
  </si>
  <si>
    <t>唯一主设计变量=feed_pressure_bar</t>
  </si>
  <si>
    <t>问题类型、变量和约束正确</t>
  </si>
  <si>
    <t>把它归为2b运行setpoint问题</t>
  </si>
  <si>
    <t>E2</t>
  </si>
  <si>
    <t>一次工具调用</t>
  </si>
  <si>
    <t>正确模拟50 bar并判断主要失败约束</t>
  </si>
  <si>
    <t>Qp≈6.219 m³/h &lt;6.30；Recovery/Rejection/Flux/NaCl合格</t>
  </si>
  <si>
    <t>正确识别产量不足是升压原因</t>
  </si>
  <si>
    <t>看到水质合格就误判整体通过</t>
  </si>
  <si>
    <t>E3</t>
  </si>
  <si>
    <t>计划多种/搜索方案</t>
  </si>
  <si>
    <t>先建立低压fail/高压pass区间，再缩小范围</t>
  </si>
  <si>
    <t>50 fail；51 pass</t>
  </si>
  <si>
    <t>搜索策略高效且每次输入由上一步决定</t>
  </si>
  <si>
    <t>机械遍历或无目的试算</t>
  </si>
  <si>
    <t>E4</t>
  </si>
  <si>
    <t>多次调用与比较</t>
  </si>
  <si>
    <t>比较50.40/50.42/50.45/50.50并同时检查全部约束</t>
  </si>
  <si>
    <t>50.42 fail；50.45 pass</t>
  </si>
  <si>
    <t>minimum=50.45 bar；按裕度推荐51.0 bar</t>
  </si>
  <si>
    <t>只找一个pass点；未找边界；未加设计裕度</t>
  </si>
  <si>
    <r>
      <t xml:space="preserve">1. </t>
    </r>
    <r>
      <rPr>
        <sz val="11"/>
        <rFont val="微软雅黑"/>
        <family val="2"/>
        <charset val="134"/>
      </rPr>
      <t>判断这是新建系统的设计压力</t>
    </r>
    <r>
      <rPr>
        <sz val="11"/>
        <rFont val="Arial"/>
        <family val="2"/>
      </rPr>
      <t>Sizing</t>
    </r>
    <r>
      <rPr>
        <sz val="11"/>
        <rFont val="微软雅黑"/>
        <family val="2"/>
        <charset val="134"/>
      </rPr>
      <t>问题，关键设计变量为</t>
    </r>
    <r>
      <rPr>
        <sz val="11"/>
        <rFont val="Arial"/>
        <family val="2"/>
      </rPr>
      <t>feed pressure</t>
    </r>
    <r>
      <rPr>
        <sz val="11"/>
        <rFont val="微软雅黑"/>
        <family val="2"/>
        <charset val="134"/>
      </rPr>
      <t>。</t>
    </r>
    <phoneticPr fontId="10" type="noConversion"/>
  </si>
  <si>
    <t>need to be  calculated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</si>
</sst>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"/>
    <numFmt numFmtId="177" formatCode="0.000"/>
  </numFmts>
  <fonts count="13">
    <font>
      <sz val="11"/>
      <name val="Carlito"/>
    </font>
    <font>
      <sz val="11"/>
      <name val="Aptos"/>
      <family val="2"/>
    </font>
    <font>
      <b/>
      <sz val="18"/>
      <color rgb="FFFFFFFF"/>
      <name val="Aptos"/>
      <family val="2"/>
    </font>
    <font>
      <b/>
      <sz val="18"/>
      <color rgb="FFFFFFFF"/>
      <name val="Carlito"/>
    </font>
    <font>
      <b/>
      <sz val="11"/>
      <color rgb="FF17365D"/>
      <name val="Carlito"/>
    </font>
    <font>
      <b/>
      <sz val="12"/>
      <color rgb="FF17365D"/>
      <name val="Carlito"/>
    </font>
    <font>
      <b/>
      <sz val="11"/>
      <color rgb="FFFFFFFF"/>
      <name val="Carlito"/>
    </font>
    <font>
      <sz val="11"/>
      <color rgb="FF7F6000"/>
      <name val="Carlito"/>
    </font>
    <font>
      <b/>
      <sz val="11"/>
      <color rgb="FF375623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39">
    <xf numFmtId="0" fontId="0" fillId="0" borderId="0" xfId="0"/>
    <xf numFmtId="0" fontId="1" fillId="0" borderId="0" xfId="1" applyFont="1"/>
    <xf numFmtId="0" fontId="0" fillId="0" borderId="0" xfId="1" applyFont="1" applyAlignment="1">
      <alignment vertical="top" wrapText="1"/>
    </xf>
    <xf numFmtId="0" fontId="6" fillId="5" borderId="1" xfId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2" fontId="0" fillId="0" borderId="4" xfId="1" applyNumberFormat="1" applyFont="1" applyBorder="1" applyAlignment="1">
      <alignment vertical="top" wrapText="1"/>
    </xf>
    <xf numFmtId="2" fontId="0" fillId="0" borderId="6" xfId="1" applyNumberFormat="1" applyFont="1" applyBorder="1" applyAlignment="1">
      <alignment vertical="top" wrapText="1"/>
    </xf>
    <xf numFmtId="176" fontId="0" fillId="0" borderId="0" xfId="1" applyNumberFormat="1" applyFont="1" applyAlignment="1">
      <alignment vertical="top" wrapText="1"/>
    </xf>
    <xf numFmtId="176" fontId="0" fillId="0" borderId="7" xfId="1" applyNumberFormat="1" applyFont="1" applyBorder="1" applyAlignment="1">
      <alignment vertical="top" wrapText="1"/>
    </xf>
    <xf numFmtId="177" fontId="0" fillId="0" borderId="0" xfId="1" applyNumberFormat="1" applyFont="1" applyAlignment="1">
      <alignment vertical="top" wrapText="1"/>
    </xf>
    <xf numFmtId="177" fontId="0" fillId="0" borderId="7" xfId="1" applyNumberFormat="1" applyFont="1" applyBorder="1" applyAlignment="1">
      <alignment vertical="top" wrapText="1"/>
    </xf>
    <xf numFmtId="0" fontId="2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4" fillId="3" borderId="0" xfId="1" applyFont="1" applyFill="1" applyAlignment="1">
      <alignment vertical="center" wrapText="1"/>
    </xf>
    <xf numFmtId="0" fontId="5" fillId="4" borderId="0" xfId="1" applyFont="1" applyFill="1" applyAlignment="1">
      <alignment horizontal="left" vertical="center"/>
    </xf>
    <xf numFmtId="0" fontId="0" fillId="0" borderId="9" xfId="1" applyFont="1" applyBorder="1" applyAlignment="1">
      <alignment vertical="top" wrapText="1"/>
    </xf>
    <xf numFmtId="0" fontId="0" fillId="0" borderId="10" xfId="1" applyFont="1" applyBorder="1" applyAlignment="1">
      <alignment vertical="top" wrapText="1"/>
    </xf>
    <xf numFmtId="0" fontId="0" fillId="0" borderId="11" xfId="1" applyFont="1" applyBorder="1" applyAlignment="1">
      <alignment vertical="top" wrapText="1"/>
    </xf>
    <xf numFmtId="0" fontId="7" fillId="6" borderId="1" xfId="1" applyFont="1" applyFill="1" applyBorder="1" applyAlignment="1">
      <alignment vertical="top" wrapText="1"/>
    </xf>
    <xf numFmtId="0" fontId="7" fillId="6" borderId="2" xfId="1" applyFont="1" applyFill="1" applyBorder="1" applyAlignment="1">
      <alignment vertical="top" wrapText="1"/>
    </xf>
    <xf numFmtId="0" fontId="7" fillId="6" borderId="3" xfId="1" applyFont="1" applyFill="1" applyBorder="1" applyAlignment="1">
      <alignment vertical="top" wrapText="1"/>
    </xf>
    <xf numFmtId="0" fontId="7" fillId="6" borderId="4" xfId="1" applyFont="1" applyFill="1" applyBorder="1" applyAlignment="1">
      <alignment vertical="top" wrapText="1"/>
    </xf>
    <xf numFmtId="0" fontId="7" fillId="6" borderId="0" xfId="1" applyFont="1" applyFill="1" applyAlignment="1">
      <alignment vertical="top" wrapText="1"/>
    </xf>
    <xf numFmtId="0" fontId="7" fillId="6" borderId="5" xfId="1" applyFont="1" applyFill="1" applyBorder="1" applyAlignment="1">
      <alignment vertical="top" wrapText="1"/>
    </xf>
    <xf numFmtId="0" fontId="7" fillId="6" borderId="6" xfId="1" applyFont="1" applyFill="1" applyBorder="1" applyAlignment="1">
      <alignment vertical="top" wrapText="1"/>
    </xf>
    <xf numFmtId="0" fontId="7" fillId="6" borderId="7" xfId="1" applyFont="1" applyFill="1" applyBorder="1" applyAlignment="1">
      <alignment vertical="top" wrapText="1"/>
    </xf>
    <xf numFmtId="0" fontId="7" fillId="6" borderId="8" xfId="1" applyFont="1" applyFill="1" applyBorder="1" applyAlignment="1">
      <alignment vertical="top" wrapText="1"/>
    </xf>
    <xf numFmtId="0" fontId="8" fillId="7" borderId="1" xfId="1" applyFont="1" applyFill="1" applyBorder="1" applyAlignment="1">
      <alignment wrapText="1"/>
    </xf>
    <xf numFmtId="0" fontId="8" fillId="7" borderId="2" xfId="1" applyFont="1" applyFill="1" applyBorder="1" applyAlignment="1">
      <alignment wrapText="1"/>
    </xf>
    <xf numFmtId="0" fontId="8" fillId="7" borderId="3" xfId="1" applyFont="1" applyFill="1" applyBorder="1" applyAlignment="1">
      <alignment wrapText="1"/>
    </xf>
    <xf numFmtId="0" fontId="8" fillId="7" borderId="6" xfId="1" applyFont="1" applyFill="1" applyBorder="1" applyAlignment="1">
      <alignment wrapText="1"/>
    </xf>
    <xf numFmtId="0" fontId="8" fillId="7" borderId="7" xfId="1" applyFont="1" applyFill="1" applyBorder="1" applyAlignment="1">
      <alignment wrapText="1"/>
    </xf>
    <xf numFmtId="0" fontId="8" fillId="7" borderId="8" xfId="1" applyFont="1" applyFill="1" applyBorder="1" applyAlignment="1">
      <alignment wrapText="1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设计压力与产水量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Permeate flow kg/s</c:v>
          </c:tx>
          <c:marker>
            <c:symbol val="none"/>
          </c:marker>
          <c:cat>
            <c:numRef>
              <c:f>分步答案_A!$A$17:$A$22</c:f>
              <c:numCache>
                <c:formatCode>0.00</c:formatCode>
                <c:ptCount val="6"/>
                <c:pt idx="0">
                  <c:v>50</c:v>
                </c:pt>
                <c:pt idx="1">
                  <c:v>50.4</c:v>
                </c:pt>
                <c:pt idx="2">
                  <c:v>50.42</c:v>
                </c:pt>
                <c:pt idx="3">
                  <c:v>50.45</c:v>
                </c:pt>
                <c:pt idx="4">
                  <c:v>50.5</c:v>
                </c:pt>
                <c:pt idx="5">
                  <c:v>51</c:v>
                </c:pt>
              </c:numCache>
            </c:numRef>
          </c:cat>
          <c:val>
            <c:numRef>
              <c:f>分步答案_A!$B$17:$B$22</c:f>
              <c:numCache>
                <c:formatCode>0.000000</c:formatCode>
                <c:ptCount val="6"/>
                <c:pt idx="0">
                  <c:v>1.7275890216241345</c:v>
                </c:pt>
                <c:pt idx="1">
                  <c:v>1.7487793144828743</c:v>
                </c:pt>
                <c:pt idx="2">
                  <c:v>1.7498339204003663</c:v>
                </c:pt>
                <c:pt idx="3">
                  <c:v>1.751414956807267</c:v>
                </c:pt>
                <c:pt idx="4">
                  <c:v>1.7540476933553715</c:v>
                </c:pt>
                <c:pt idx="5">
                  <c:v>1.7802162692841239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9-41E4-88B8-FF99150884B1}"/>
            </c:ext>
          </c:extLst>
        </c:ser>
        <c:ser>
          <c:idx val="1"/>
          <c:order val="1"/>
          <c:tx>
            <c:v>产水 m³/h</c:v>
          </c:tx>
          <c:marker>
            <c:symbol val="none"/>
          </c:marker>
          <c:cat>
            <c:numRef>
              <c:f>分步答案_A!$A$17:$A$22</c:f>
              <c:numCache>
                <c:formatCode>0.00</c:formatCode>
                <c:ptCount val="6"/>
                <c:pt idx="0">
                  <c:v>50</c:v>
                </c:pt>
                <c:pt idx="1">
                  <c:v>50.4</c:v>
                </c:pt>
                <c:pt idx="2">
                  <c:v>50.42</c:v>
                </c:pt>
                <c:pt idx="3">
                  <c:v>50.45</c:v>
                </c:pt>
                <c:pt idx="4">
                  <c:v>50.5</c:v>
                </c:pt>
                <c:pt idx="5">
                  <c:v>51</c:v>
                </c:pt>
              </c:numCache>
            </c:numRef>
          </c:cat>
          <c:val>
            <c:numRef>
              <c:f>分步答案_A!$C$17:$C$22</c:f>
              <c:numCache>
                <c:formatCode>0.000</c:formatCode>
                <c:ptCount val="6"/>
                <c:pt idx="0">
                  <c:v>6.2193204778468845</c:v>
                </c:pt>
                <c:pt idx="1">
                  <c:v>6.2956055321383477</c:v>
                </c:pt>
                <c:pt idx="2">
                  <c:v>6.2994021134413192</c:v>
                </c:pt>
                <c:pt idx="3">
                  <c:v>6.3050938445061613</c:v>
                </c:pt>
                <c:pt idx="4">
                  <c:v>6.3145716960793372</c:v>
                </c:pt>
                <c:pt idx="5">
                  <c:v>6.4087785694228465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9-41E4-88B8-FF9915088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</xdr:row>
      <xdr:rowOff>0</xdr:rowOff>
    </xdr:from>
    <xdr:to>
      <xdr:col>13</xdr:col>
      <xdr:colOff>0</xdr:colOff>
      <xdr:row>37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D23" sqref="D23"/>
    </sheetView>
  </sheetViews>
  <sheetFormatPr defaultRowHeight="14.25"/>
  <cols>
    <col min="1" max="1" width="14" customWidth="1"/>
    <col min="2" max="2" width="24" customWidth="1"/>
    <col min="3" max="3" width="16" customWidth="1"/>
    <col min="4" max="4" width="25" customWidth="1"/>
    <col min="5" max="5" width="3" customWidth="1"/>
    <col min="6" max="6" width="25" customWidth="1"/>
    <col min="7" max="7" width="22" customWidth="1"/>
    <col min="8" max="8" width="31" customWidth="1"/>
  </cols>
  <sheetData>
    <row r="1" spans="1:13" ht="27.95" customHeight="1">
      <c r="A1" s="17" t="s">
        <v>0</v>
      </c>
      <c r="B1" s="17"/>
      <c r="C1" s="17"/>
      <c r="D1" s="17"/>
      <c r="E1" s="17"/>
      <c r="F1" s="17"/>
      <c r="G1" s="17"/>
      <c r="H1" s="17"/>
      <c r="I1" s="1"/>
      <c r="J1" s="1"/>
      <c r="K1" s="1"/>
      <c r="L1" s="1"/>
      <c r="M1" s="1"/>
    </row>
    <row r="2" spans="1:13" ht="27.95" customHeight="1">
      <c r="A2" s="18"/>
      <c r="B2" s="18"/>
      <c r="C2" s="18"/>
      <c r="D2" s="18"/>
      <c r="E2" s="18"/>
      <c r="F2" s="18"/>
      <c r="G2" s="18"/>
      <c r="H2" s="18"/>
    </row>
    <row r="4" spans="1:13">
      <c r="A4" s="19" t="s">
        <v>1</v>
      </c>
      <c r="B4" s="19"/>
      <c r="C4" s="19"/>
      <c r="D4" s="19"/>
      <c r="E4" s="19"/>
      <c r="F4" s="19"/>
      <c r="G4" s="19"/>
      <c r="H4" s="19"/>
    </row>
    <row r="5" spans="1:13">
      <c r="A5" s="19"/>
      <c r="B5" s="19"/>
      <c r="C5" s="19"/>
      <c r="D5" s="19"/>
      <c r="E5" s="19"/>
      <c r="F5" s="19"/>
      <c r="G5" s="19"/>
      <c r="H5" s="19"/>
    </row>
    <row r="7" spans="1:13" ht="15.75">
      <c r="A7" s="20" t="s">
        <v>2</v>
      </c>
      <c r="B7" s="20"/>
      <c r="C7" s="20"/>
      <c r="D7" s="20"/>
      <c r="F7" s="20" t="s">
        <v>3</v>
      </c>
      <c r="G7" s="20"/>
      <c r="H7" s="20"/>
    </row>
    <row r="8" spans="1:13" ht="15">
      <c r="A8" s="3" t="s">
        <v>4</v>
      </c>
      <c r="B8" s="4" t="s">
        <v>5</v>
      </c>
      <c r="C8" s="4" t="s">
        <v>6</v>
      </c>
      <c r="D8" s="5" t="s">
        <v>7</v>
      </c>
      <c r="F8" s="3" t="s">
        <v>8</v>
      </c>
      <c r="G8" s="4" t="s">
        <v>9</v>
      </c>
      <c r="H8" s="5" t="s">
        <v>10</v>
      </c>
    </row>
    <row r="9" spans="1:13">
      <c r="A9" s="6" t="s">
        <v>11</v>
      </c>
      <c r="B9" s="2" t="s">
        <v>12</v>
      </c>
      <c r="C9" s="2">
        <v>400</v>
      </c>
      <c r="D9" s="7" t="s">
        <v>13</v>
      </c>
      <c r="F9" s="6" t="s">
        <v>14</v>
      </c>
      <c r="G9" s="2" t="s">
        <v>15</v>
      </c>
      <c r="H9" s="7" t="s">
        <v>16</v>
      </c>
    </row>
    <row r="10" spans="1:13">
      <c r="A10" s="6" t="s">
        <v>17</v>
      </c>
      <c r="B10" s="2" t="s">
        <v>18</v>
      </c>
      <c r="C10" s="2">
        <v>4.0730000000000004</v>
      </c>
      <c r="D10" s="7" t="s">
        <v>19</v>
      </c>
      <c r="F10" s="6" t="s">
        <v>20</v>
      </c>
      <c r="G10" s="2" t="s">
        <v>21</v>
      </c>
      <c r="H10" s="7" t="s">
        <v>22</v>
      </c>
    </row>
    <row r="11" spans="1:13">
      <c r="A11" s="6" t="s">
        <v>17</v>
      </c>
      <c r="B11" s="2" t="s">
        <v>23</v>
      </c>
      <c r="C11" s="2">
        <v>0.03</v>
      </c>
      <c r="D11" s="7" t="s">
        <v>24</v>
      </c>
      <c r="F11" s="6" t="s">
        <v>25</v>
      </c>
      <c r="G11" s="2" t="s">
        <v>26</v>
      </c>
      <c r="H11" s="7" t="s">
        <v>27</v>
      </c>
    </row>
    <row r="12" spans="1:13">
      <c r="A12" s="6" t="s">
        <v>17</v>
      </c>
      <c r="B12" s="2" t="s">
        <v>28</v>
      </c>
      <c r="C12" s="2">
        <v>32</v>
      </c>
      <c r="D12" s="7" t="s">
        <v>29</v>
      </c>
      <c r="F12" s="6" t="s">
        <v>30</v>
      </c>
      <c r="G12" s="2" t="s">
        <v>31</v>
      </c>
      <c r="H12" s="7" t="s">
        <v>32</v>
      </c>
    </row>
    <row r="13" spans="1:13">
      <c r="A13" s="6" t="s">
        <v>33</v>
      </c>
      <c r="B13" s="2" t="s">
        <v>34</v>
      </c>
      <c r="C13" s="2">
        <v>4.1999999999999999E-12</v>
      </c>
      <c r="D13" s="7" t="s">
        <v>35</v>
      </c>
      <c r="F13" s="8" t="s">
        <v>36</v>
      </c>
      <c r="G13" s="9" t="s">
        <v>37</v>
      </c>
      <c r="H13" s="10" t="s">
        <v>32</v>
      </c>
    </row>
    <row r="14" spans="1:13">
      <c r="A14" s="6" t="s">
        <v>33</v>
      </c>
      <c r="B14" s="2" t="s">
        <v>38</v>
      </c>
      <c r="C14" s="2">
        <v>3.4E-8</v>
      </c>
      <c r="D14" s="7" t="s">
        <v>39</v>
      </c>
    </row>
    <row r="15" spans="1:13">
      <c r="A15" s="6" t="s">
        <v>33</v>
      </c>
      <c r="B15" s="2" t="s">
        <v>40</v>
      </c>
      <c r="C15" s="2">
        <v>1.0129999999999999</v>
      </c>
      <c r="D15" s="7" t="s">
        <v>41</v>
      </c>
    </row>
    <row r="16" spans="1:13" ht="15.75">
      <c r="A16" s="6" t="s">
        <v>33</v>
      </c>
      <c r="B16" s="2" t="s">
        <v>42</v>
      </c>
      <c r="C16" s="2">
        <v>0.65300000000000002</v>
      </c>
      <c r="D16" s="7" t="s">
        <v>41</v>
      </c>
      <c r="F16" s="20" t="s">
        <v>43</v>
      </c>
      <c r="G16" s="20"/>
      <c r="H16" s="20"/>
    </row>
    <row r="17" spans="1:8" ht="15">
      <c r="A17" s="6" t="s">
        <v>44</v>
      </c>
      <c r="B17" s="2" t="s">
        <v>45</v>
      </c>
      <c r="C17" s="2">
        <v>2E-3</v>
      </c>
      <c r="D17" s="7" t="s">
        <v>46</v>
      </c>
      <c r="F17" s="3" t="s">
        <v>47</v>
      </c>
      <c r="G17" s="4" t="s">
        <v>9</v>
      </c>
      <c r="H17" s="5" t="s">
        <v>10</v>
      </c>
    </row>
    <row r="18" spans="1:8">
      <c r="A18" s="6" t="s">
        <v>44</v>
      </c>
      <c r="B18" s="2" t="s">
        <v>48</v>
      </c>
      <c r="C18" s="2">
        <v>0.75</v>
      </c>
      <c r="D18" s="7" t="s">
        <v>49</v>
      </c>
      <c r="F18" s="6" t="s">
        <v>50</v>
      </c>
      <c r="G18" s="2" t="s">
        <v>51</v>
      </c>
      <c r="H18" s="7" t="s">
        <v>52</v>
      </c>
    </row>
    <row r="19" spans="1:8" ht="42.75">
      <c r="A19" s="6" t="s">
        <v>44</v>
      </c>
      <c r="B19" s="2" t="s">
        <v>53</v>
      </c>
      <c r="C19" s="2">
        <v>20</v>
      </c>
      <c r="D19" s="7" t="s">
        <v>46</v>
      </c>
      <c r="F19" s="8" t="s">
        <v>54</v>
      </c>
      <c r="G19" s="9" t="s">
        <v>55</v>
      </c>
      <c r="H19" s="10" t="s">
        <v>56</v>
      </c>
    </row>
    <row r="20" spans="1:8" ht="28.5">
      <c r="A20" s="6" t="s">
        <v>57</v>
      </c>
      <c r="B20" s="2" t="s">
        <v>58</v>
      </c>
      <c r="C20" s="2" t="s">
        <v>161</v>
      </c>
      <c r="D20" s="7"/>
    </row>
    <row r="21" spans="1:8" ht="28.5">
      <c r="A21" s="8" t="s">
        <v>57</v>
      </c>
      <c r="B21" s="9" t="s">
        <v>59</v>
      </c>
      <c r="C21" s="2" t="s">
        <v>161</v>
      </c>
      <c r="D21" s="10"/>
      <c r="F21" s="20" t="s">
        <v>60</v>
      </c>
      <c r="G21" s="20"/>
      <c r="H21" s="20"/>
    </row>
    <row r="22" spans="1:8" ht="45.95" customHeight="1">
      <c r="F22" s="21" t="s">
        <v>160</v>
      </c>
      <c r="G22" s="22"/>
      <c r="H22" s="23"/>
    </row>
    <row r="23" spans="1:8" ht="45.95" customHeight="1">
      <c r="F23" s="21" t="s">
        <v>61</v>
      </c>
      <c r="G23" s="22"/>
      <c r="H23" s="23"/>
    </row>
    <row r="24" spans="1:8" ht="45.95" customHeight="1">
      <c r="F24" s="21" t="s">
        <v>62</v>
      </c>
      <c r="G24" s="22"/>
      <c r="H24" s="23"/>
    </row>
    <row r="25" spans="1:8" ht="45.95" customHeight="1">
      <c r="A25" s="24" t="s">
        <v>63</v>
      </c>
      <c r="B25" s="25"/>
      <c r="C25" s="25"/>
      <c r="D25" s="26"/>
      <c r="F25" s="21" t="s">
        <v>64</v>
      </c>
      <c r="G25" s="22"/>
      <c r="H25" s="23"/>
    </row>
    <row r="26" spans="1:8" ht="45.95" customHeight="1">
      <c r="A26" s="27"/>
      <c r="B26" s="28"/>
      <c r="C26" s="28"/>
      <c r="D26" s="29"/>
      <c r="F26" s="21" t="s">
        <v>65</v>
      </c>
      <c r="G26" s="22"/>
      <c r="H26" s="23"/>
    </row>
    <row r="27" spans="1:8">
      <c r="A27" s="27"/>
      <c r="B27" s="28"/>
      <c r="C27" s="28"/>
      <c r="D27" s="29"/>
    </row>
    <row r="28" spans="1:8">
      <c r="A28" s="30"/>
      <c r="B28" s="31"/>
      <c r="C28" s="31"/>
      <c r="D28" s="32"/>
    </row>
  </sheetData>
  <mergeCells count="12">
    <mergeCell ref="F26:H26"/>
    <mergeCell ref="A25:D28"/>
    <mergeCell ref="F21:H21"/>
    <mergeCell ref="F22:H22"/>
    <mergeCell ref="F23:H23"/>
    <mergeCell ref="F24:H24"/>
    <mergeCell ref="F25:H25"/>
    <mergeCell ref="A1:H2"/>
    <mergeCell ref="A4:H5"/>
    <mergeCell ref="A7:D7"/>
    <mergeCell ref="F7:H7"/>
    <mergeCell ref="F16:H16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workbookViewId="0"/>
  </sheetViews>
  <sheetFormatPr defaultRowHeight="14.25"/>
  <cols>
    <col min="1" max="1" width="15" customWidth="1"/>
    <col min="2" max="2" width="20" customWidth="1"/>
    <col min="3" max="4" width="18" customWidth="1"/>
    <col min="5" max="5" width="14" customWidth="1"/>
    <col min="6" max="8" width="15" customWidth="1"/>
    <col min="9" max="13" width="13" customWidth="1"/>
  </cols>
  <sheetData>
    <row r="1" spans="1:13" ht="27.95" customHeight="1">
      <c r="A1" s="17" t="s">
        <v>66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7.9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>
      <c r="A4" s="33" t="s">
        <v>67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3">
      <c r="A5" s="36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8"/>
    </row>
    <row r="7" spans="1:13" ht="15">
      <c r="A7" s="3" t="s">
        <v>68</v>
      </c>
      <c r="B7" s="4" t="s">
        <v>69</v>
      </c>
      <c r="C7" s="4" t="s">
        <v>70</v>
      </c>
      <c r="D7" s="4" t="s">
        <v>71</v>
      </c>
      <c r="E7" s="4" t="s">
        <v>72</v>
      </c>
      <c r="F7" s="4" t="s">
        <v>73</v>
      </c>
      <c r="G7" s="5" t="s">
        <v>74</v>
      </c>
    </row>
    <row r="8" spans="1:13" ht="60" customHeight="1">
      <c r="A8" s="6">
        <v>1</v>
      </c>
      <c r="B8" s="2" t="s">
        <v>75</v>
      </c>
      <c r="C8" s="2" t="s">
        <v>76</v>
      </c>
      <c r="D8" s="2" t="s">
        <v>77</v>
      </c>
      <c r="E8" s="2" t="s">
        <v>78</v>
      </c>
      <c r="F8" s="2" t="s">
        <v>79</v>
      </c>
      <c r="G8" s="7">
        <v>20</v>
      </c>
    </row>
    <row r="9" spans="1:13" ht="60" customHeight="1">
      <c r="A9" s="6">
        <v>2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7">
        <v>25</v>
      </c>
    </row>
    <row r="10" spans="1:13" ht="60" customHeight="1">
      <c r="A10" s="6">
        <v>3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7">
        <v>25</v>
      </c>
    </row>
    <row r="11" spans="1:13" ht="60" customHeight="1">
      <c r="A11" s="6">
        <v>4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7">
        <v>20</v>
      </c>
    </row>
    <row r="12" spans="1:13" ht="60" customHeight="1">
      <c r="A12" s="8">
        <v>5</v>
      </c>
      <c r="B12" s="9" t="s">
        <v>95</v>
      </c>
      <c r="C12" s="9" t="s">
        <v>96</v>
      </c>
      <c r="D12" s="9" t="s">
        <v>97</v>
      </c>
      <c r="E12" s="9" t="s">
        <v>98</v>
      </c>
      <c r="F12" s="9" t="s">
        <v>99</v>
      </c>
      <c r="G12" s="10">
        <v>10</v>
      </c>
    </row>
    <row r="15" spans="1:13" ht="15.75">
      <c r="A15" s="20" t="s">
        <v>100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3" ht="30">
      <c r="A16" s="3" t="s">
        <v>101</v>
      </c>
      <c r="B16" s="4" t="s">
        <v>102</v>
      </c>
      <c r="C16" s="4" t="s">
        <v>103</v>
      </c>
      <c r="D16" s="4" t="s">
        <v>104</v>
      </c>
      <c r="E16" s="4" t="s">
        <v>105</v>
      </c>
      <c r="F16" s="4" t="s">
        <v>106</v>
      </c>
      <c r="G16" s="4" t="s">
        <v>107</v>
      </c>
      <c r="H16" s="4" t="s">
        <v>108</v>
      </c>
      <c r="I16" s="4" t="s">
        <v>109</v>
      </c>
      <c r="J16" s="4" t="s">
        <v>110</v>
      </c>
      <c r="K16" s="4" t="s">
        <v>111</v>
      </c>
      <c r="L16" s="4" t="s">
        <v>112</v>
      </c>
      <c r="M16" s="5" t="s">
        <v>113</v>
      </c>
    </row>
    <row r="17" spans="1:13" ht="15">
      <c r="A17" s="11">
        <v>50</v>
      </c>
      <c r="B17" s="13">
        <v>1.7275890216241345</v>
      </c>
      <c r="C17" s="15">
        <f t="shared" ref="C17:C22" si="0">B17*3.6</f>
        <v>6.2193204778468845</v>
      </c>
      <c r="D17" s="15">
        <f t="shared" ref="D17:D22" si="1">C17*24</f>
        <v>149.26369146832522</v>
      </c>
      <c r="E17" s="15">
        <v>15.5426139982186</v>
      </c>
      <c r="F17" s="15">
        <v>43.370407587832581</v>
      </c>
      <c r="G17" s="15">
        <v>98.807587422314597</v>
      </c>
      <c r="H17" s="15">
        <v>365.77606308406888</v>
      </c>
      <c r="I17" s="2" t="str">
        <f t="shared" ref="I17:I22" si="2">IF(C17&gt;=6.3,"通过","不通过")</f>
        <v>不通过</v>
      </c>
      <c r="J17" s="2" t="str">
        <f t="shared" ref="J17:J22" si="3">IF(F17&lt;=46,"通过","不通过")</f>
        <v>通过</v>
      </c>
      <c r="K17" s="2" t="str">
        <f t="shared" ref="K17:K22" si="4">IF(E17&lt;=18,"通过","不通过")</f>
        <v>通过</v>
      </c>
      <c r="L17" s="2" t="str">
        <f t="shared" ref="L17:L22" si="5">IF(AND(G17&gt;=98.7,H17&lt;=400),"通过","不通过")</f>
        <v>通过</v>
      </c>
      <c r="M17" s="7" t="str">
        <f t="shared" ref="M17:M22" si="6">IF(AND(I17="通过",J17="通过",K17="通过",L17="通过"),"通过","不通过")</f>
        <v>不通过</v>
      </c>
    </row>
    <row r="18" spans="1:13" ht="15">
      <c r="A18" s="11">
        <v>50.4</v>
      </c>
      <c r="B18" s="13">
        <v>1.7487793144828743</v>
      </c>
      <c r="C18" s="15">
        <f t="shared" si="0"/>
        <v>6.2956055321383477</v>
      </c>
      <c r="D18" s="15">
        <f t="shared" si="1"/>
        <v>151.09453277132036</v>
      </c>
      <c r="E18" s="15">
        <v>15.7332880882248</v>
      </c>
      <c r="F18" s="15">
        <v>43.902447255156382</v>
      </c>
      <c r="G18" s="15">
        <v>98.81405409430127</v>
      </c>
      <c r="H18" s="15">
        <v>363.79294044621918</v>
      </c>
      <c r="I18" s="2" t="str">
        <f t="shared" si="2"/>
        <v>不通过</v>
      </c>
      <c r="J18" s="2" t="str">
        <f t="shared" si="3"/>
        <v>通过</v>
      </c>
      <c r="K18" s="2" t="str">
        <f t="shared" si="4"/>
        <v>通过</v>
      </c>
      <c r="L18" s="2" t="str">
        <f t="shared" si="5"/>
        <v>通过</v>
      </c>
      <c r="M18" s="7" t="str">
        <f t="shared" si="6"/>
        <v>不通过</v>
      </c>
    </row>
    <row r="19" spans="1:13" ht="15">
      <c r="A19" s="11">
        <v>50.42</v>
      </c>
      <c r="B19" s="13">
        <v>1.7498339204003663</v>
      </c>
      <c r="C19" s="15">
        <f t="shared" si="0"/>
        <v>6.2994021134413192</v>
      </c>
      <c r="D19" s="15">
        <f t="shared" si="1"/>
        <v>151.18565072259167</v>
      </c>
      <c r="E19" s="15">
        <v>15.742777611324025</v>
      </c>
      <c r="F19" s="15">
        <v>43.928925966682442</v>
      </c>
      <c r="G19" s="15">
        <v>98.814369394509441</v>
      </c>
      <c r="H19" s="15">
        <v>363.69624774719273</v>
      </c>
      <c r="I19" s="2" t="str">
        <f t="shared" si="2"/>
        <v>不通过</v>
      </c>
      <c r="J19" s="2" t="str">
        <f t="shared" si="3"/>
        <v>通过</v>
      </c>
      <c r="K19" s="2" t="str">
        <f t="shared" si="4"/>
        <v>通过</v>
      </c>
      <c r="L19" s="2" t="str">
        <f t="shared" si="5"/>
        <v>通过</v>
      </c>
      <c r="M19" s="7" t="str">
        <f t="shared" si="6"/>
        <v>不通过</v>
      </c>
    </row>
    <row r="20" spans="1:13" ht="15">
      <c r="A20" s="11">
        <v>50.45</v>
      </c>
      <c r="B20" s="13">
        <v>1.751414956807267</v>
      </c>
      <c r="C20" s="15">
        <f t="shared" si="0"/>
        <v>6.3050938445061613</v>
      </c>
      <c r="D20" s="15">
        <f t="shared" si="1"/>
        <v>151.32225226814788</v>
      </c>
      <c r="E20" s="15">
        <v>15.757004043241638</v>
      </c>
      <c r="F20" s="15">
        <v>43.968622123830549</v>
      </c>
      <c r="G20" s="15">
        <v>98.814840937301867</v>
      </c>
      <c r="H20" s="15">
        <v>363.55164031441058</v>
      </c>
      <c r="I20" s="2" t="str">
        <f t="shared" si="2"/>
        <v>通过</v>
      </c>
      <c r="J20" s="2" t="str">
        <f t="shared" si="3"/>
        <v>通过</v>
      </c>
      <c r="K20" s="2" t="str">
        <f t="shared" si="4"/>
        <v>通过</v>
      </c>
      <c r="L20" s="2" t="str">
        <f t="shared" si="5"/>
        <v>通过</v>
      </c>
      <c r="M20" s="7" t="str">
        <f t="shared" si="6"/>
        <v>通过</v>
      </c>
    </row>
    <row r="21" spans="1:13" ht="15">
      <c r="A21" s="11">
        <v>50.5</v>
      </c>
      <c r="B21" s="13">
        <v>1.7540476933553715</v>
      </c>
      <c r="C21" s="15">
        <f t="shared" si="0"/>
        <v>6.3145716960793372</v>
      </c>
      <c r="D21" s="15">
        <f t="shared" si="1"/>
        <v>151.54972070590409</v>
      </c>
      <c r="E21" s="15">
        <v>15.780693844584691</v>
      </c>
      <c r="F21" s="15">
        <v>44.03472402035343</v>
      </c>
      <c r="G21" s="15">
        <v>98.815623104294218</v>
      </c>
      <c r="H21" s="15">
        <v>363.31177408039838</v>
      </c>
      <c r="I21" s="2" t="str">
        <f t="shared" si="2"/>
        <v>通过</v>
      </c>
      <c r="J21" s="2" t="str">
        <f t="shared" si="3"/>
        <v>通过</v>
      </c>
      <c r="K21" s="2" t="str">
        <f t="shared" si="4"/>
        <v>通过</v>
      </c>
      <c r="L21" s="2" t="str">
        <f t="shared" si="5"/>
        <v>通过</v>
      </c>
      <c r="M21" s="7" t="str">
        <f t="shared" si="6"/>
        <v>通过</v>
      </c>
    </row>
    <row r="22" spans="1:13" ht="15">
      <c r="A22" s="12">
        <v>51</v>
      </c>
      <c r="B22" s="14">
        <v>1.7802162692841239</v>
      </c>
      <c r="C22" s="16">
        <f t="shared" si="0"/>
        <v>6.4087785694228465</v>
      </c>
      <c r="D22" s="16">
        <f t="shared" si="1"/>
        <v>153.81068566614832</v>
      </c>
      <c r="E22" s="16">
        <v>16.016162660682255</v>
      </c>
      <c r="F22" s="16">
        <v>44.6917553385804</v>
      </c>
      <c r="G22" s="16">
        <v>98.823193950052939</v>
      </c>
      <c r="H22" s="16">
        <v>360.99002717632754</v>
      </c>
      <c r="I22" s="9" t="str">
        <f t="shared" si="2"/>
        <v>通过</v>
      </c>
      <c r="J22" s="9" t="str">
        <f t="shared" si="3"/>
        <v>通过</v>
      </c>
      <c r="K22" s="9" t="str">
        <f t="shared" si="4"/>
        <v>通过</v>
      </c>
      <c r="L22" s="9" t="str">
        <f t="shared" si="5"/>
        <v>通过</v>
      </c>
      <c r="M22" s="10" t="str">
        <f t="shared" si="6"/>
        <v>通过</v>
      </c>
    </row>
    <row r="25" spans="1:13" ht="15">
      <c r="A25" s="3" t="s">
        <v>47</v>
      </c>
      <c r="B25" s="4" t="s">
        <v>114</v>
      </c>
      <c r="C25" s="4" t="s">
        <v>115</v>
      </c>
      <c r="D25" s="5" t="s">
        <v>116</v>
      </c>
    </row>
    <row r="26" spans="1:13">
      <c r="A26" s="6" t="s">
        <v>117</v>
      </c>
      <c r="B26" s="2">
        <v>50.42</v>
      </c>
      <c r="C26" s="2" t="s">
        <v>118</v>
      </c>
      <c r="D26" s="7" t="s">
        <v>119</v>
      </c>
    </row>
    <row r="27" spans="1:13" ht="28.5">
      <c r="A27" s="6" t="s">
        <v>120</v>
      </c>
      <c r="B27" s="2">
        <v>50.45</v>
      </c>
      <c r="C27" s="2" t="s">
        <v>121</v>
      </c>
      <c r="D27" s="7" t="s">
        <v>122</v>
      </c>
    </row>
    <row r="28" spans="1:13">
      <c r="A28" s="6" t="s">
        <v>123</v>
      </c>
      <c r="B28" s="2">
        <v>50.95</v>
      </c>
      <c r="C28" s="2" t="s">
        <v>124</v>
      </c>
      <c r="D28" s="7" t="s">
        <v>125</v>
      </c>
    </row>
    <row r="29" spans="1:13">
      <c r="A29" s="8" t="s">
        <v>126</v>
      </c>
      <c r="B29" s="9">
        <v>51</v>
      </c>
      <c r="C29" s="9" t="s">
        <v>127</v>
      </c>
      <c r="D29" s="10" t="s">
        <v>128</v>
      </c>
    </row>
  </sheetData>
  <mergeCells count="3">
    <mergeCell ref="A1:M2"/>
    <mergeCell ref="A4:M5"/>
    <mergeCell ref="A15:M15"/>
  </mergeCells>
  <phoneticPr fontId="10" type="noConversion"/>
  <conditionalFormatting sqref="I17:M22">
    <cfRule type="expression" dxfId="1" priority="1">
      <formula>I17="通过"</formula>
    </cfRule>
    <cfRule type="expression" dxfId="0" priority="2">
      <formula>I17="不通过"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workbookViewId="0"/>
  </sheetViews>
  <sheetFormatPr defaultRowHeight="14.25"/>
  <cols>
    <col min="1" max="1" width="16" customWidth="1"/>
    <col min="2" max="2" width="29" customWidth="1"/>
    <col min="3" max="3" width="34" customWidth="1"/>
    <col min="4" max="4" width="32" customWidth="1"/>
    <col min="5" max="5" width="38" customWidth="1"/>
    <col min="6" max="6" width="36" customWidth="1"/>
    <col min="7" max="7" width="9" customWidth="1"/>
  </cols>
  <sheetData>
    <row r="1" spans="1:13" ht="27.95" customHeight="1">
      <c r="A1" s="17" t="s">
        <v>129</v>
      </c>
      <c r="B1" s="17"/>
      <c r="C1" s="17"/>
      <c r="D1" s="17"/>
      <c r="E1" s="17"/>
      <c r="F1" s="17"/>
      <c r="G1" s="17"/>
      <c r="H1" s="1"/>
      <c r="I1" s="1"/>
      <c r="J1" s="1"/>
      <c r="K1" s="1"/>
      <c r="L1" s="1"/>
      <c r="M1" s="1"/>
    </row>
    <row r="2" spans="1:13" ht="27.95" customHeight="1">
      <c r="A2" s="18"/>
      <c r="B2" s="18"/>
      <c r="C2" s="18"/>
      <c r="D2" s="18"/>
      <c r="E2" s="18"/>
      <c r="F2" s="18"/>
      <c r="G2" s="18"/>
    </row>
    <row r="4" spans="1:13">
      <c r="A4" s="28" t="s">
        <v>130</v>
      </c>
      <c r="B4" s="28"/>
      <c r="C4" s="28"/>
      <c r="D4" s="28"/>
      <c r="E4" s="28"/>
      <c r="F4" s="28"/>
      <c r="G4" s="28"/>
    </row>
    <row r="5" spans="1:13">
      <c r="A5" s="28"/>
      <c r="B5" s="28"/>
      <c r="C5" s="28"/>
      <c r="D5" s="28"/>
      <c r="E5" s="28"/>
      <c r="F5" s="28"/>
      <c r="G5" s="28"/>
    </row>
    <row r="7" spans="1:13" ht="15">
      <c r="A7" s="3" t="s">
        <v>69</v>
      </c>
      <c r="B7" s="4" t="s">
        <v>131</v>
      </c>
      <c r="C7" s="4" t="s">
        <v>132</v>
      </c>
      <c r="D7" s="4" t="s">
        <v>133</v>
      </c>
      <c r="E7" s="4" t="s">
        <v>134</v>
      </c>
      <c r="F7" s="4" t="s">
        <v>135</v>
      </c>
      <c r="G7" s="5" t="s">
        <v>74</v>
      </c>
    </row>
    <row r="8" spans="1:13" ht="66" customHeight="1">
      <c r="A8" s="6" t="s">
        <v>136</v>
      </c>
      <c r="B8" s="2" t="s">
        <v>137</v>
      </c>
      <c r="C8" s="2" t="s">
        <v>138</v>
      </c>
      <c r="D8" s="2" t="s">
        <v>139</v>
      </c>
      <c r="E8" s="2" t="s">
        <v>140</v>
      </c>
      <c r="F8" s="2" t="s">
        <v>141</v>
      </c>
      <c r="G8" s="7">
        <v>20</v>
      </c>
    </row>
    <row r="9" spans="1:13" ht="66" customHeight="1">
      <c r="A9" s="6" t="s">
        <v>142</v>
      </c>
      <c r="B9" s="2" t="s">
        <v>143</v>
      </c>
      <c r="C9" s="2" t="s">
        <v>144</v>
      </c>
      <c r="D9" s="2" t="s">
        <v>145</v>
      </c>
      <c r="E9" s="2" t="s">
        <v>146</v>
      </c>
      <c r="F9" s="2" t="s">
        <v>147</v>
      </c>
      <c r="G9" s="7">
        <v>25</v>
      </c>
    </row>
    <row r="10" spans="1:13" ht="66" customHeight="1">
      <c r="A10" s="6" t="s">
        <v>148</v>
      </c>
      <c r="B10" s="2" t="s">
        <v>149</v>
      </c>
      <c r="C10" s="2" t="s">
        <v>150</v>
      </c>
      <c r="D10" s="2" t="s">
        <v>151</v>
      </c>
      <c r="E10" s="2" t="s">
        <v>152</v>
      </c>
      <c r="F10" s="2" t="s">
        <v>153</v>
      </c>
      <c r="G10" s="7">
        <v>25</v>
      </c>
    </row>
    <row r="11" spans="1:13" ht="66" customHeight="1">
      <c r="A11" s="8" t="s">
        <v>154</v>
      </c>
      <c r="B11" s="9" t="s">
        <v>155</v>
      </c>
      <c r="C11" s="9" t="s">
        <v>156</v>
      </c>
      <c r="D11" s="9" t="s">
        <v>157</v>
      </c>
      <c r="E11" s="9" t="s">
        <v>158</v>
      </c>
      <c r="F11" s="9" t="s">
        <v>159</v>
      </c>
      <c r="G11" s="10">
        <v>30</v>
      </c>
    </row>
  </sheetData>
  <mergeCells count="2">
    <mergeCell ref="A1:G2"/>
    <mergeCell ref="A4:G5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题目_Q</vt:lpstr>
      <vt:lpstr>分步答案_A</vt:lpstr>
      <vt:lpstr>评价标准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k8852</cp:lastModifiedBy>
  <dcterms:modified xsi:type="dcterms:W3CDTF">2026-08-08T09:15:40Z</dcterms:modified>
</cp:coreProperties>
</file>