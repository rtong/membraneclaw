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by12\Downloads\tongrui 合作\evaluation datasets\"/>
    </mc:Choice>
  </mc:AlternateContent>
  <xr:revisionPtr revIDLastSave="0" documentId="13_ncr:1_{8877BBA4-2590-496C-8557-B6DE1C66DD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题目_Q" sheetId="1" r:id="rId1"/>
    <sheet name="分步答案_A" sheetId="2" r:id="rId2"/>
    <sheet name="评价标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2" l="1"/>
  <c r="K18" i="2"/>
  <c r="E18" i="2"/>
  <c r="J18" i="2" s="1"/>
  <c r="M18" i="2" s="1"/>
  <c r="L17" i="2"/>
  <c r="K17" i="2"/>
  <c r="J17" i="2"/>
  <c r="M17" i="2" s="1"/>
  <c r="E17" i="2"/>
  <c r="L16" i="2"/>
  <c r="K16" i="2"/>
  <c r="E16" i="2"/>
  <c r="J16" i="2" s="1"/>
  <c r="M16" i="2" s="1"/>
</calcChain>
</file>

<file path=xl/sharedStrings.xml><?xml version="1.0" encoding="utf-8"?>
<sst xmlns="http://schemas.openxmlformats.org/spreadsheetml/2006/main" count="176" uniqueCount="155">
  <si>
    <t>D1-1b：SWRO膜性能参数选择（A/B Trade-off）</t>
  </si>
  <si>
    <t>某SWRO项目的膜面积和设计压力已经确定。采购阶段有三种候选RO膜，水渗透系数A与盐渗透系数B不同。需要在相同进水与运行条件下比较三种膜，选择唯一能够同时满足产水量、回收率、通量和产水水质要求的膜。</t>
  </si>
  <si>
    <t>固定系统条件</t>
  </si>
  <si>
    <t>设计约束</t>
  </si>
  <si>
    <t>类别</t>
  </si>
  <si>
    <t>参数</t>
  </si>
  <si>
    <t>数值</t>
  </si>
  <si>
    <t>单位 / 说明</t>
  </si>
  <si>
    <t>指标</t>
  </si>
  <si>
    <t>要求</t>
  </si>
  <si>
    <t>说明</t>
  </si>
  <si>
    <t>设计</t>
  </si>
  <si>
    <t>进水压力</t>
  </si>
  <si>
    <t>bar</t>
  </si>
  <si>
    <t>产水流量</t>
  </si>
  <si>
    <t>≥ 6.30 m³/h</t>
  </si>
  <si>
    <t>由permeate flow_kg_s×3.6近似换算</t>
  </si>
  <si>
    <t>膜面积</t>
  </si>
  <si>
    <t>m²</t>
  </si>
  <si>
    <t>回收率</t>
  </si>
  <si>
    <t>≤ 46.0%</t>
  </si>
  <si>
    <t>运行/设计上限</t>
  </si>
  <si>
    <t>进水</t>
  </si>
  <si>
    <t>进水质量流量</t>
  </si>
  <si>
    <t>kg/s</t>
  </si>
  <si>
    <t>平均水通量</t>
  </si>
  <si>
    <t>≤ 18.0 LMH</t>
  </si>
  <si>
    <t>本benchmark约束</t>
  </si>
  <si>
    <t>NaCl质量分数</t>
  </si>
  <si>
    <t>约30.53 g/L NaCl</t>
  </si>
  <si>
    <t>盐截留率</t>
  </si>
  <si>
    <t>≥ 98.7%</t>
  </si>
  <si>
    <t>产水水质要求</t>
  </si>
  <si>
    <t>温度</t>
  </si>
  <si>
    <t>°C</t>
  </si>
  <si>
    <t>产水NaCl</t>
  </si>
  <si>
    <t>≤ 400 mg/L</t>
  </si>
  <si>
    <t>膜</t>
  </si>
  <si>
    <t>产水侧压力</t>
  </si>
  <si>
    <t>膜通道压降</t>
  </si>
  <si>
    <t>传质</t>
  </si>
  <si>
    <t>通道高度</t>
  </si>
  <si>
    <t>m</t>
  </si>
  <si>
    <t>候选膜参数</t>
  </si>
  <si>
    <t>隔网孔隙率</t>
  </si>
  <si>
    <t>-</t>
  </si>
  <si>
    <t>候选膜</t>
  </si>
  <si>
    <t>A_comp (m/s/Pa)</t>
  </si>
  <si>
    <t>B_comp (m/s)</t>
  </si>
  <si>
    <t>等效膜通道长度</t>
  </si>
  <si>
    <t>M1 高通量型</t>
  </si>
  <si>
    <t>模型</t>
  </si>
  <si>
    <t>浓差极化</t>
  </si>
  <si>
    <t>M2 平衡型</t>
  </si>
  <si>
    <t>传质系数</t>
  </si>
  <si>
    <t>M3 高截盐型</t>
  </si>
  <si>
    <t>需要完成的任务</t>
  </si>
  <si>
    <t>1. 判断这是膜性能参数选择问题，并说明A与B分别主要影响什么性能。</t>
  </si>
  <si>
    <t>2. 任选一个候选膜进行一次simulate_ro，正确读取产水量、Flux、Recovery、Rejection与permeate NaCl。</t>
  </si>
  <si>
    <t>关键原则：A高通常有利于提高水通量/产量；B高通常意味着更多盐透过。膜选择必须同时考虑产量和水质，不能仅按单一膜参数排序。</t>
  </si>
  <si>
    <t>3. 在计算全部候选膜前，基于A/B关系推理三种膜可能的优势与风险。</t>
  </si>
  <si>
    <t>4. 对M1、M2、M3分别调用simulate_ro；所有工况除A/B外完全相同。</t>
  </si>
  <si>
    <t>5. 先按硬约束淘汰不合格膜，再选择最终推荐膜，并解释为何不是简单选择A最高或B最低的膜。</t>
  </si>
  <si>
    <t>D1-1b：分步答案A — 膜性能参数选择</t>
  </si>
  <si>
    <t>以下三组结果均来自直接调用simulate_ro；除A_comp和B_comp外，pressure、area、feed、temperature和传质设置保持完全一致。</t>
  </si>
  <si>
    <t>步骤</t>
  </si>
  <si>
    <t>能力层</t>
  </si>
  <si>
    <t>动作</t>
  </si>
  <si>
    <t>预期推理</t>
  </si>
  <si>
    <t>关键结果</t>
  </si>
  <si>
    <t>决策</t>
  </si>
  <si>
    <t>分值</t>
  </si>
  <si>
    <t>E1 判断问题</t>
  </si>
  <si>
    <t>识别A/B膜性能trade-off</t>
  </si>
  <si>
    <t>A↑倾向提高产水；B↑倾向降低截盐</t>
  </si>
  <si>
    <t>需要同时检查产量与水质</t>
  </si>
  <si>
    <t>不能只选A最高/B最低</t>
  </si>
  <si>
    <t>E2 单次工具</t>
  </si>
  <si>
    <t>先计算一个候选膜</t>
  </si>
  <si>
    <t>以M1为例</t>
  </si>
  <si>
    <t>Qp高，但Recovery/Rejection/NaCl均不合格</t>
  </si>
  <si>
    <t>M1淘汰</t>
  </si>
  <si>
    <t>E3 计划方案</t>
  </si>
  <si>
    <t>预测并规划三膜对比</t>
  </si>
  <si>
    <t>M1高通量风险水质；M3高截盐风险产量；M2可能平衡</t>
  </si>
  <si>
    <t>对三膜同基准模拟</t>
  </si>
  <si>
    <t>形成公平对比</t>
  </si>
  <si>
    <t>E4 多次比较</t>
  </si>
  <si>
    <t>模拟M1/M2/M3并应用全部硬约束</t>
  </si>
  <si>
    <t>M1 fail；M2 pass；M3 fail</t>
  </si>
  <si>
    <t>唯一可行膜=M2</t>
  </si>
  <si>
    <t>推荐M2平衡型</t>
  </si>
  <si>
    <t>三种候选膜的simulate_ro结果</t>
  </si>
  <si>
    <t>A_comp</t>
  </si>
  <si>
    <t>B_comp</t>
  </si>
  <si>
    <t>Permeate flow kg/s</t>
  </si>
  <si>
    <t>产水 m³/h</t>
  </si>
  <si>
    <t>Flux LMH</t>
  </si>
  <si>
    <t>Recovery %</t>
  </si>
  <si>
    <t>Rejection %</t>
  </si>
  <si>
    <t>Permeate NaCl mg/L</t>
  </si>
  <si>
    <t>产水</t>
  </si>
  <si>
    <t>Recovery</t>
  </si>
  <si>
    <t>Flux</t>
  </si>
  <si>
    <t>总体水质/总判定</t>
  </si>
  <si>
    <t>M1</t>
  </si>
  <si>
    <t>M2</t>
  </si>
  <si>
    <t>M3</t>
  </si>
  <si>
    <t>最终比较</t>
  </si>
  <si>
    <t>主要优点</t>
  </si>
  <si>
    <t>主要问题</t>
  </si>
  <si>
    <t>是否可行</t>
  </si>
  <si>
    <t>结论</t>
  </si>
  <si>
    <t>最高产水量</t>
  </si>
  <si>
    <t>Recovery 49.39%；Rejection 98.37%；NaCl 500 mg/L</t>
  </si>
  <si>
    <t>否</t>
  </si>
  <si>
    <t>高A不能补偿高B带来的水质风险</t>
  </si>
  <si>
    <t>产量和水质平衡</t>
  </si>
  <si>
    <t>无硬约束违规</t>
  </si>
  <si>
    <t>是</t>
  </si>
  <si>
    <t>唯一满足全部要求</t>
  </si>
  <si>
    <t>最佳截盐/最低NaCl</t>
  </si>
  <si>
    <t>Qp≈6.134 m³/h，产水不足</t>
  </si>
  <si>
    <t>低B很好，但A偏低导致产量不足</t>
  </si>
  <si>
    <t>D1-1b：评价标准（100分）</t>
  </si>
  <si>
    <t>统一评价框架：E1判断问题（20分）→ E2一次工具调用与结果解释（25分）→ E3计划多种解决方案/搜索策略（25分）→ E4多次工具调用、对比与最终决策（30分）。</t>
  </si>
  <si>
    <t>评价内容</t>
  </si>
  <si>
    <t>关键正确行为</t>
  </si>
  <si>
    <t>关键数值/证据</t>
  </si>
  <si>
    <t>满分标准</t>
  </si>
  <si>
    <t>常见失分</t>
  </si>
  <si>
    <t>E1</t>
  </si>
  <si>
    <t>判断问题</t>
  </si>
  <si>
    <t>识别为膜性能/膜型选择，并正确解释A/B物理意义</t>
  </si>
  <si>
    <t>A控制水渗透倾向；B控制盐透过倾向</t>
  </si>
  <si>
    <t>问题类型与trade-off判断准确</t>
  </si>
  <si>
    <t>只按A或B单指标排序</t>
  </si>
  <si>
    <t>E2</t>
  </si>
  <si>
    <t>一次工具调用</t>
  </si>
  <si>
    <t>正确设置一个候选膜A/B并读取完整结果</t>
  </si>
  <si>
    <t>例如M1：Qp≈7.084；Recovery≈49.39%；Rejection≈98.37%；NaCl≈500</t>
  </si>
  <si>
    <t>正确判断M1不合格</t>
  </si>
  <si>
    <t>只看Qp高就判M1最好</t>
  </si>
  <si>
    <t>E3</t>
  </si>
  <si>
    <t>计划多种方案</t>
  </si>
  <si>
    <t>在全部模拟前提出M1/M2/M3的合理物理预期，并保持其它输入一致</t>
  </si>
  <si>
    <t>高A高B/平衡/低A低B三种典型trade-off</t>
  </si>
  <si>
    <t>计划公平、物理机制正确</t>
  </si>
  <si>
    <t>改变压力/面积导致比较失真</t>
  </si>
  <si>
    <t>E4</t>
  </si>
  <si>
    <t>多次调用与比较</t>
  </si>
  <si>
    <t>逐一模拟并按全部硬约束筛选</t>
  </si>
  <si>
    <t>唯一推荐M2，并解释淘汰原因</t>
  </si>
  <si>
    <t>忽略Recovery或水质约束；只做排名不做可行性判断</t>
  </si>
  <si>
    <t>need to be calculated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</si>
</sst>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1">
    <font>
      <sz val="11"/>
      <name val="Carlito"/>
    </font>
    <font>
      <sz val="11"/>
      <name val="Aptos"/>
      <family val="2"/>
    </font>
    <font>
      <b/>
      <sz val="18"/>
      <color rgb="FFFFFFFF"/>
      <name val="Aptos"/>
      <family val="2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2"/>
      <color rgb="FF17365D"/>
      <name val="Carlito"/>
    </font>
    <font>
      <b/>
      <sz val="11"/>
      <color rgb="FFFFFFFF"/>
      <name val="Carlito"/>
    </font>
    <font>
      <sz val="11"/>
      <color rgb="FF7F6000"/>
      <name val="Carlito"/>
    </font>
    <font>
      <b/>
      <sz val="11"/>
      <color rgb="FF375623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39">
    <xf numFmtId="0" fontId="0" fillId="0" borderId="0" xfId="0"/>
    <xf numFmtId="0" fontId="1" fillId="0" borderId="0" xfId="1" applyFont="1"/>
    <xf numFmtId="0" fontId="0" fillId="0" borderId="0" xfId="1" applyFont="1" applyAlignment="1">
      <alignment vertical="top" wrapText="1"/>
    </xf>
    <xf numFmtId="0" fontId="6" fillId="5" borderId="1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11" fontId="0" fillId="0" borderId="0" xfId="1" applyNumberFormat="1" applyFont="1" applyAlignment="1">
      <alignment vertical="top" wrapText="1"/>
    </xf>
    <xf numFmtId="11" fontId="0" fillId="0" borderId="5" xfId="1" applyNumberFormat="1" applyFont="1" applyBorder="1" applyAlignment="1">
      <alignment vertical="top" wrapText="1"/>
    </xf>
    <xf numFmtId="11" fontId="0" fillId="0" borderId="7" xfId="1" applyNumberFormat="1" applyFont="1" applyBorder="1" applyAlignment="1">
      <alignment vertical="top" wrapText="1"/>
    </xf>
    <xf numFmtId="11" fontId="0" fillId="0" borderId="8" xfId="1" applyNumberFormat="1" applyFont="1" applyBorder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176" fontId="0" fillId="0" borderId="7" xfId="1" applyNumberFormat="1" applyFont="1" applyBorder="1" applyAlignment="1">
      <alignment vertical="top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vertical="center" wrapText="1"/>
    </xf>
    <xf numFmtId="0" fontId="5" fillId="4" borderId="0" xfId="1" applyFont="1" applyFill="1" applyAlignment="1">
      <alignment horizontal="left" vertical="center"/>
    </xf>
    <xf numFmtId="0" fontId="0" fillId="0" borderId="9" xfId="1" applyFont="1" applyBorder="1" applyAlignment="1">
      <alignment vertical="top" wrapText="1"/>
    </xf>
    <xf numFmtId="0" fontId="0" fillId="0" borderId="10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7" fillId="6" borderId="1" xfId="1" applyFont="1" applyFill="1" applyBorder="1" applyAlignment="1">
      <alignment vertical="top" wrapText="1"/>
    </xf>
    <xf numFmtId="0" fontId="7" fillId="6" borderId="2" xfId="1" applyFont="1" applyFill="1" applyBorder="1" applyAlignment="1">
      <alignment vertical="top" wrapText="1"/>
    </xf>
    <xf numFmtId="0" fontId="7" fillId="6" borderId="3" xfId="1" applyFont="1" applyFill="1" applyBorder="1" applyAlignment="1">
      <alignment vertical="top" wrapText="1"/>
    </xf>
    <xf numFmtId="0" fontId="7" fillId="6" borderId="4" xfId="1" applyFont="1" applyFill="1" applyBorder="1" applyAlignment="1">
      <alignment vertical="top" wrapText="1"/>
    </xf>
    <xf numFmtId="0" fontId="7" fillId="6" borderId="0" xfId="1" applyFont="1" applyFill="1" applyAlignment="1">
      <alignment vertical="top" wrapText="1"/>
    </xf>
    <xf numFmtId="0" fontId="7" fillId="6" borderId="5" xfId="1" applyFont="1" applyFill="1" applyBorder="1" applyAlignment="1">
      <alignment vertical="top" wrapText="1"/>
    </xf>
    <xf numFmtId="0" fontId="7" fillId="6" borderId="6" xfId="1" applyFont="1" applyFill="1" applyBorder="1" applyAlignment="1">
      <alignment vertical="top" wrapText="1"/>
    </xf>
    <xf numFmtId="0" fontId="7" fillId="6" borderId="7" xfId="1" applyFont="1" applyFill="1" applyBorder="1" applyAlignment="1">
      <alignment vertical="top" wrapText="1"/>
    </xf>
    <xf numFmtId="0" fontId="7" fillId="6" borderId="8" xfId="1" applyFont="1" applyFill="1" applyBorder="1" applyAlignment="1">
      <alignment vertical="top" wrapText="1"/>
    </xf>
    <xf numFmtId="0" fontId="8" fillId="7" borderId="1" xfId="1" applyFont="1" applyFill="1" applyBorder="1" applyAlignment="1">
      <alignment wrapText="1"/>
    </xf>
    <xf numFmtId="0" fontId="8" fillId="7" borderId="2" xfId="1" applyFont="1" applyFill="1" applyBorder="1" applyAlignment="1">
      <alignment wrapText="1"/>
    </xf>
    <xf numFmtId="0" fontId="8" fillId="7" borderId="3" xfId="1" applyFont="1" applyFill="1" applyBorder="1" applyAlignment="1">
      <alignment wrapText="1"/>
    </xf>
    <xf numFmtId="0" fontId="8" fillId="7" borderId="6" xfId="1" applyFont="1" applyFill="1" applyBorder="1" applyAlignment="1">
      <alignment wrapText="1"/>
    </xf>
    <xf numFmtId="0" fontId="8" fillId="7" borderId="7" xfId="1" applyFont="1" applyFill="1" applyBorder="1" applyAlignment="1">
      <alignment wrapText="1"/>
    </xf>
    <xf numFmtId="0" fontId="8" fillId="7" borderId="8" xfId="1" applyFont="1" applyFill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候选膜产水量对比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A_comp</c:v>
          </c:tx>
          <c:invertIfNegative val="1"/>
          <c:cat>
            <c:strRef>
              <c:f>分步答案_A!$A$16:$A$18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分步答案_A!$B$16:$B$18</c:f>
              <c:numCache>
                <c:formatCode>0.00E+00</c:formatCode>
                <c:ptCount val="3"/>
                <c:pt idx="0">
                  <c:v>4.9999999999999997E-12</c:v>
                </c:pt>
                <c:pt idx="1">
                  <c:v>4.1999999999999999E-12</c:v>
                </c:pt>
                <c:pt idx="2">
                  <c:v>3.5E-12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0-4E14-9E5A-97336FCE1082}"/>
            </c:ext>
          </c:extLst>
        </c:ser>
        <c:ser>
          <c:idx val="1"/>
          <c:order val="1"/>
          <c:tx>
            <c:v>B_comp</c:v>
          </c:tx>
          <c:invertIfNegative val="1"/>
          <c:cat>
            <c:strRef>
              <c:f>分步答案_A!$A$16:$A$18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分步答案_A!$C$16:$C$18</c:f>
              <c:numCache>
                <c:formatCode>0.00E+00</c:formatCode>
                <c:ptCount val="3"/>
                <c:pt idx="0">
                  <c:v>4.9999999999999998E-8</c:v>
                </c:pt>
                <c:pt idx="1">
                  <c:v>3.4E-8</c:v>
                </c:pt>
                <c:pt idx="2">
                  <c:v>2.4999999999999999E-8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0-4E14-9E5A-97336FCE1082}"/>
            </c:ext>
          </c:extLst>
        </c:ser>
        <c:ser>
          <c:idx val="2"/>
          <c:order val="2"/>
          <c:tx>
            <c:v>Permeate flow kg/s</c:v>
          </c:tx>
          <c:invertIfNegative val="1"/>
          <c:cat>
            <c:strRef>
              <c:f>分步答案_A!$A$16:$A$18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分步答案_A!$D$16:$D$18</c:f>
              <c:numCache>
                <c:formatCode>0.000</c:formatCode>
                <c:ptCount val="3"/>
                <c:pt idx="0">
                  <c:v>1.9676687252854945</c:v>
                </c:pt>
                <c:pt idx="1">
                  <c:v>1.8317024077875053</c:v>
                </c:pt>
                <c:pt idx="2">
                  <c:v>1.703993420788301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10-4E14-9E5A-97336FCE1082}"/>
            </c:ext>
          </c:extLst>
        </c:ser>
        <c:ser>
          <c:idx val="3"/>
          <c:order val="3"/>
          <c:tx>
            <c:v>产水 m³/h</c:v>
          </c:tx>
          <c:invertIfNegative val="1"/>
          <c:cat>
            <c:strRef>
              <c:f>分步答案_A!$A$16:$A$18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分步答案_A!$E$16:$E$18</c:f>
              <c:numCache>
                <c:formatCode>0.000</c:formatCode>
                <c:ptCount val="3"/>
                <c:pt idx="0">
                  <c:v>7.0836074110277805</c:v>
                </c:pt>
                <c:pt idx="1">
                  <c:v>6.5941286680350188</c:v>
                </c:pt>
                <c:pt idx="2">
                  <c:v>6.1343763148378834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10-4E14-9E5A-97336FCE1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E+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20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opLeftCell="A8" workbookViewId="0">
      <selection activeCell="F27" sqref="F27:H27"/>
    </sheetView>
  </sheetViews>
  <sheetFormatPr defaultRowHeight="14.25"/>
  <cols>
    <col min="1" max="1" width="14" customWidth="1"/>
    <col min="2" max="2" width="24" customWidth="1"/>
    <col min="3" max="3" width="16" customWidth="1"/>
    <col min="4" max="4" width="25" customWidth="1"/>
    <col min="5" max="5" width="3" customWidth="1"/>
    <col min="6" max="6" width="24" customWidth="1"/>
    <col min="7" max="7" width="22" customWidth="1"/>
    <col min="8" max="8" width="28" customWidth="1"/>
  </cols>
  <sheetData>
    <row r="1" spans="1:13" ht="27.95" customHeight="1">
      <c r="A1" s="17" t="s">
        <v>0</v>
      </c>
      <c r="B1" s="17"/>
      <c r="C1" s="17"/>
      <c r="D1" s="17"/>
      <c r="E1" s="17"/>
      <c r="F1" s="17"/>
      <c r="G1" s="17"/>
      <c r="H1" s="17"/>
      <c r="I1" s="1"/>
      <c r="J1" s="1"/>
      <c r="K1" s="1"/>
      <c r="L1" s="1"/>
      <c r="M1" s="1"/>
    </row>
    <row r="2" spans="1:13" ht="27.95" customHeight="1">
      <c r="A2" s="18"/>
      <c r="B2" s="18"/>
      <c r="C2" s="18"/>
      <c r="D2" s="18"/>
      <c r="E2" s="18"/>
      <c r="F2" s="18"/>
      <c r="G2" s="18"/>
      <c r="H2" s="18"/>
    </row>
    <row r="4" spans="1:13">
      <c r="A4" s="19" t="s">
        <v>1</v>
      </c>
      <c r="B4" s="19"/>
      <c r="C4" s="19"/>
      <c r="D4" s="19"/>
      <c r="E4" s="19"/>
      <c r="F4" s="19"/>
      <c r="G4" s="19"/>
      <c r="H4" s="19"/>
    </row>
    <row r="5" spans="1:13">
      <c r="A5" s="19"/>
      <c r="B5" s="19"/>
      <c r="C5" s="19"/>
      <c r="D5" s="19"/>
      <c r="E5" s="19"/>
      <c r="F5" s="19"/>
      <c r="G5" s="19"/>
      <c r="H5" s="19"/>
    </row>
    <row r="7" spans="1:13" ht="15.75">
      <c r="A7" s="20" t="s">
        <v>2</v>
      </c>
      <c r="B7" s="20"/>
      <c r="C7" s="20"/>
      <c r="D7" s="20"/>
      <c r="F7" s="20" t="s">
        <v>3</v>
      </c>
      <c r="G7" s="20"/>
      <c r="H7" s="20"/>
    </row>
    <row r="8" spans="1:13" ht="15">
      <c r="A8" s="3" t="s">
        <v>4</v>
      </c>
      <c r="B8" s="4" t="s">
        <v>5</v>
      </c>
      <c r="C8" s="4" t="s">
        <v>6</v>
      </c>
      <c r="D8" s="5" t="s">
        <v>7</v>
      </c>
      <c r="F8" s="3" t="s">
        <v>8</v>
      </c>
      <c r="G8" s="4" t="s">
        <v>9</v>
      </c>
      <c r="H8" s="5" t="s">
        <v>10</v>
      </c>
    </row>
    <row r="9" spans="1:13" ht="28.5">
      <c r="A9" s="6" t="s">
        <v>11</v>
      </c>
      <c r="B9" s="2" t="s">
        <v>12</v>
      </c>
      <c r="C9" s="2">
        <v>52</v>
      </c>
      <c r="D9" s="7" t="s">
        <v>13</v>
      </c>
      <c r="F9" s="6" t="s">
        <v>14</v>
      </c>
      <c r="G9" s="2" t="s">
        <v>15</v>
      </c>
      <c r="H9" s="7" t="s">
        <v>16</v>
      </c>
    </row>
    <row r="10" spans="1:13">
      <c r="A10" s="6" t="s">
        <v>11</v>
      </c>
      <c r="B10" s="2" t="s">
        <v>17</v>
      </c>
      <c r="C10" s="2">
        <v>400</v>
      </c>
      <c r="D10" s="7" t="s">
        <v>18</v>
      </c>
      <c r="F10" s="6" t="s">
        <v>19</v>
      </c>
      <c r="G10" s="2" t="s">
        <v>20</v>
      </c>
      <c r="H10" s="7" t="s">
        <v>21</v>
      </c>
    </row>
    <row r="11" spans="1:13">
      <c r="A11" s="6" t="s">
        <v>22</v>
      </c>
      <c r="B11" s="2" t="s">
        <v>23</v>
      </c>
      <c r="C11" s="2">
        <v>4.0730000000000004</v>
      </c>
      <c r="D11" s="7" t="s">
        <v>24</v>
      </c>
      <c r="F11" s="6" t="s">
        <v>25</v>
      </c>
      <c r="G11" s="2" t="s">
        <v>26</v>
      </c>
      <c r="H11" s="7" t="s">
        <v>27</v>
      </c>
    </row>
    <row r="12" spans="1:13">
      <c r="A12" s="6" t="s">
        <v>22</v>
      </c>
      <c r="B12" s="2" t="s">
        <v>28</v>
      </c>
      <c r="C12" s="2">
        <v>0.03</v>
      </c>
      <c r="D12" s="7" t="s">
        <v>29</v>
      </c>
      <c r="F12" s="6" t="s">
        <v>30</v>
      </c>
      <c r="G12" s="2" t="s">
        <v>31</v>
      </c>
      <c r="H12" s="7" t="s">
        <v>32</v>
      </c>
    </row>
    <row r="13" spans="1:13">
      <c r="A13" s="6" t="s">
        <v>22</v>
      </c>
      <c r="B13" s="2" t="s">
        <v>33</v>
      </c>
      <c r="C13" s="2">
        <v>32</v>
      </c>
      <c r="D13" s="7" t="s">
        <v>34</v>
      </c>
      <c r="F13" s="8" t="s">
        <v>35</v>
      </c>
      <c r="G13" s="9" t="s">
        <v>36</v>
      </c>
      <c r="H13" s="10" t="s">
        <v>32</v>
      </c>
    </row>
    <row r="14" spans="1:13">
      <c r="A14" s="6" t="s">
        <v>37</v>
      </c>
      <c r="B14" s="2" t="s">
        <v>38</v>
      </c>
      <c r="C14" s="2">
        <v>1.0129999999999999</v>
      </c>
      <c r="D14" s="7" t="s">
        <v>13</v>
      </c>
    </row>
    <row r="15" spans="1:13">
      <c r="A15" s="6" t="s">
        <v>37</v>
      </c>
      <c r="B15" s="2" t="s">
        <v>39</v>
      </c>
      <c r="C15" s="2">
        <v>0.65300000000000002</v>
      </c>
      <c r="D15" s="7" t="s">
        <v>13</v>
      </c>
    </row>
    <row r="16" spans="1:13" ht="15.75">
      <c r="A16" s="6" t="s">
        <v>40</v>
      </c>
      <c r="B16" s="2" t="s">
        <v>41</v>
      </c>
      <c r="C16" s="2">
        <v>2E-3</v>
      </c>
      <c r="D16" s="7" t="s">
        <v>42</v>
      </c>
      <c r="F16" s="20" t="s">
        <v>43</v>
      </c>
      <c r="G16" s="20"/>
      <c r="H16" s="20"/>
    </row>
    <row r="17" spans="1:8" ht="15">
      <c r="A17" s="6" t="s">
        <v>40</v>
      </c>
      <c r="B17" s="2" t="s">
        <v>44</v>
      </c>
      <c r="C17" s="2">
        <v>0.75</v>
      </c>
      <c r="D17" s="7" t="s">
        <v>45</v>
      </c>
      <c r="F17" s="3" t="s">
        <v>46</v>
      </c>
      <c r="G17" s="4" t="s">
        <v>47</v>
      </c>
      <c r="H17" s="5" t="s">
        <v>48</v>
      </c>
    </row>
    <row r="18" spans="1:8">
      <c r="A18" s="6" t="s">
        <v>40</v>
      </c>
      <c r="B18" s="2" t="s">
        <v>49</v>
      </c>
      <c r="C18" s="2">
        <v>20</v>
      </c>
      <c r="D18" s="7" t="s">
        <v>42</v>
      </c>
      <c r="F18" s="6" t="s">
        <v>50</v>
      </c>
      <c r="G18" s="11">
        <v>4.9999999999999997E-12</v>
      </c>
      <c r="H18" s="12">
        <v>4.9999999999999998E-8</v>
      </c>
    </row>
    <row r="19" spans="1:8" ht="28.5">
      <c r="A19" s="6" t="s">
        <v>51</v>
      </c>
      <c r="B19" s="2" t="s">
        <v>52</v>
      </c>
      <c r="C19" s="2" t="s">
        <v>154</v>
      </c>
      <c r="D19" s="7"/>
      <c r="F19" s="6" t="s">
        <v>53</v>
      </c>
      <c r="G19" s="11">
        <v>4.1999999999999999E-12</v>
      </c>
      <c r="H19" s="12">
        <v>3.4E-8</v>
      </c>
    </row>
    <row r="20" spans="1:8" ht="28.5">
      <c r="A20" s="8" t="s">
        <v>51</v>
      </c>
      <c r="B20" s="9" t="s">
        <v>54</v>
      </c>
      <c r="C20" s="2" t="s">
        <v>154</v>
      </c>
      <c r="D20" s="10"/>
      <c r="F20" s="8" t="s">
        <v>55</v>
      </c>
      <c r="G20" s="13">
        <v>3.5E-12</v>
      </c>
      <c r="H20" s="14">
        <v>2.4999999999999999E-8</v>
      </c>
    </row>
    <row r="22" spans="1:8" ht="15.75">
      <c r="F22" s="20" t="s">
        <v>56</v>
      </c>
      <c r="G22" s="20"/>
      <c r="H22" s="20"/>
    </row>
    <row r="23" spans="1:8" ht="45.95" customHeight="1">
      <c r="F23" s="21" t="s">
        <v>57</v>
      </c>
      <c r="G23" s="22"/>
      <c r="H23" s="23"/>
    </row>
    <row r="24" spans="1:8" ht="45.95" customHeight="1">
      <c r="F24" s="21" t="s">
        <v>58</v>
      </c>
      <c r="G24" s="22"/>
      <c r="H24" s="23"/>
    </row>
    <row r="25" spans="1:8" ht="45.95" customHeight="1">
      <c r="A25" s="24" t="s">
        <v>59</v>
      </c>
      <c r="B25" s="25"/>
      <c r="C25" s="25"/>
      <c r="D25" s="26"/>
      <c r="F25" s="21" t="s">
        <v>60</v>
      </c>
      <c r="G25" s="22"/>
      <c r="H25" s="23"/>
    </row>
    <row r="26" spans="1:8" ht="45.95" customHeight="1">
      <c r="A26" s="27"/>
      <c r="B26" s="28"/>
      <c r="C26" s="28"/>
      <c r="D26" s="29"/>
      <c r="F26" s="21" t="s">
        <v>61</v>
      </c>
      <c r="G26" s="22"/>
      <c r="H26" s="23"/>
    </row>
    <row r="27" spans="1:8" ht="45.95" customHeight="1">
      <c r="A27" s="27"/>
      <c r="B27" s="28"/>
      <c r="C27" s="28"/>
      <c r="D27" s="29"/>
      <c r="F27" s="21" t="s">
        <v>62</v>
      </c>
      <c r="G27" s="22"/>
      <c r="H27" s="23"/>
    </row>
    <row r="28" spans="1:8">
      <c r="A28" s="30"/>
      <c r="B28" s="31"/>
      <c r="C28" s="31"/>
      <c r="D28" s="32"/>
    </row>
  </sheetData>
  <mergeCells count="12">
    <mergeCell ref="F27:H27"/>
    <mergeCell ref="A25:D28"/>
    <mergeCell ref="F22:H22"/>
    <mergeCell ref="F23:H23"/>
    <mergeCell ref="F24:H24"/>
    <mergeCell ref="F25:H25"/>
    <mergeCell ref="F26:H26"/>
    <mergeCell ref="A1:H2"/>
    <mergeCell ref="A4:H5"/>
    <mergeCell ref="A7:D7"/>
    <mergeCell ref="F7:H7"/>
    <mergeCell ref="F16:H16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tabSelected="1" workbookViewId="0">
      <selection sqref="A1:M2"/>
    </sheetView>
  </sheetViews>
  <sheetFormatPr defaultRowHeight="14.25"/>
  <cols>
    <col min="1" max="1" width="14" customWidth="1"/>
    <col min="2" max="3" width="17" customWidth="1"/>
    <col min="4" max="4" width="20" customWidth="1"/>
    <col min="5" max="5" width="17" customWidth="1"/>
    <col min="6" max="9" width="16" customWidth="1"/>
    <col min="10" max="13" width="13" customWidth="1"/>
  </cols>
  <sheetData>
    <row r="1" spans="1:13" ht="27.95" customHeight="1">
      <c r="A1" s="17" t="s">
        <v>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7.9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>
      <c r="A4" s="33" t="s">
        <v>64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</row>
    <row r="7" spans="1:13" ht="15">
      <c r="A7" s="3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  <c r="G7" s="5" t="s">
        <v>71</v>
      </c>
    </row>
    <row r="8" spans="1:13" ht="63.95" customHeight="1">
      <c r="A8" s="6">
        <v>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7">
        <v>20</v>
      </c>
    </row>
    <row r="9" spans="1:13" ht="63.95" customHeight="1">
      <c r="A9" s="6">
        <v>2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7">
        <v>25</v>
      </c>
    </row>
    <row r="10" spans="1:13" ht="63.95" customHeight="1">
      <c r="A10" s="6">
        <v>3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7">
        <v>25</v>
      </c>
    </row>
    <row r="11" spans="1:13" ht="63.95" customHeight="1">
      <c r="A11" s="8">
        <v>4</v>
      </c>
      <c r="B11" s="9" t="s">
        <v>87</v>
      </c>
      <c r="C11" s="9" t="s">
        <v>88</v>
      </c>
      <c r="D11" s="9" t="s">
        <v>89</v>
      </c>
      <c r="E11" s="9" t="s">
        <v>90</v>
      </c>
      <c r="F11" s="9" t="s">
        <v>91</v>
      </c>
      <c r="G11" s="10">
        <v>30</v>
      </c>
    </row>
    <row r="14" spans="1:13" ht="15.75">
      <c r="A14" s="20" t="s">
        <v>92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ht="30">
      <c r="A15" s="3" t="s">
        <v>37</v>
      </c>
      <c r="B15" s="4" t="s">
        <v>93</v>
      </c>
      <c r="C15" s="4" t="s">
        <v>94</v>
      </c>
      <c r="D15" s="4" t="s">
        <v>95</v>
      </c>
      <c r="E15" s="4" t="s">
        <v>96</v>
      </c>
      <c r="F15" s="4" t="s">
        <v>97</v>
      </c>
      <c r="G15" s="4" t="s">
        <v>98</v>
      </c>
      <c r="H15" s="4" t="s">
        <v>99</v>
      </c>
      <c r="I15" s="4" t="s">
        <v>100</v>
      </c>
      <c r="J15" s="4" t="s">
        <v>101</v>
      </c>
      <c r="K15" s="4" t="s">
        <v>102</v>
      </c>
      <c r="L15" s="4" t="s">
        <v>103</v>
      </c>
      <c r="M15" s="5" t="s">
        <v>104</v>
      </c>
    </row>
    <row r="16" spans="1:13" ht="15">
      <c r="A16" s="6" t="s">
        <v>105</v>
      </c>
      <c r="B16" s="11">
        <v>4.9999999999999997E-12</v>
      </c>
      <c r="C16" s="11">
        <v>4.9999999999999998E-8</v>
      </c>
      <c r="D16" s="15">
        <v>1.9676687252854945</v>
      </c>
      <c r="E16" s="15">
        <f>D16*3.6</f>
        <v>7.0836074110277805</v>
      </c>
      <c r="F16" s="15">
        <v>17.700163126495372</v>
      </c>
      <c r="G16" s="15">
        <v>49.392471521122502</v>
      </c>
      <c r="H16" s="15">
        <v>98.369693337194448</v>
      </c>
      <c r="I16" s="15">
        <v>500.05035910330702</v>
      </c>
      <c r="J16" s="2" t="str">
        <f>IF(E16&gt;=6.3,"通过","不通过")</f>
        <v>通过</v>
      </c>
      <c r="K16" s="2" t="str">
        <f>IF(G16&lt;=46,"通过","不通过")</f>
        <v>不通过</v>
      </c>
      <c r="L16" s="2" t="str">
        <f>IF(F16&lt;=18,"通过","不通过")</f>
        <v>通过</v>
      </c>
      <c r="M16" s="7" t="str">
        <f>IF(AND(J16="通过",K16="通过",L16="通过",H16&gt;=98.7,I16&lt;=400),"通过","不通过")</f>
        <v>不通过</v>
      </c>
    </row>
    <row r="17" spans="1:13" ht="15">
      <c r="A17" s="6" t="s">
        <v>106</v>
      </c>
      <c r="B17" s="11">
        <v>4.1999999999999999E-12</v>
      </c>
      <c r="C17" s="11">
        <v>3.4E-8</v>
      </c>
      <c r="D17" s="15">
        <v>1.8317024077875053</v>
      </c>
      <c r="E17" s="15">
        <f>D17*3.6</f>
        <v>6.5941286680350188</v>
      </c>
      <c r="F17" s="15">
        <v>16.479440695464636</v>
      </c>
      <c r="G17" s="15">
        <v>45.984446690603399</v>
      </c>
      <c r="H17" s="15">
        <v>98.837052348647219</v>
      </c>
      <c r="I17" s="15">
        <v>356.7400588598959</v>
      </c>
      <c r="J17" s="2" t="str">
        <f>IF(E17&gt;=6.3,"通过","不通过")</f>
        <v>通过</v>
      </c>
      <c r="K17" s="2" t="str">
        <f>IF(G17&lt;=46,"通过","不通过")</f>
        <v>通过</v>
      </c>
      <c r="L17" s="2" t="str">
        <f>IF(F17&lt;=18,"通过","不通过")</f>
        <v>通过</v>
      </c>
      <c r="M17" s="7" t="str">
        <f>IF(AND(J17="通过",K17="通过",L17="通过",H17&gt;=98.7,I17&lt;=400),"通过","不通过")</f>
        <v>通过</v>
      </c>
    </row>
    <row r="18" spans="1:13" ht="15">
      <c r="A18" s="8" t="s">
        <v>107</v>
      </c>
      <c r="B18" s="13">
        <v>3.5E-12</v>
      </c>
      <c r="C18" s="13">
        <v>2.4999999999999999E-8</v>
      </c>
      <c r="D18" s="16">
        <v>1.703993420788301</v>
      </c>
      <c r="E18" s="16">
        <f>D18*3.6</f>
        <v>6.1343763148378834</v>
      </c>
      <c r="F18" s="16">
        <v>15.331745962940104</v>
      </c>
      <c r="G18" s="16">
        <v>42.781047449896946</v>
      </c>
      <c r="H18" s="16">
        <v>99.10837102694731</v>
      </c>
      <c r="I18" s="16">
        <v>273.5289743772978</v>
      </c>
      <c r="J18" s="9" t="str">
        <f>IF(E18&gt;=6.3,"通过","不通过")</f>
        <v>不通过</v>
      </c>
      <c r="K18" s="9" t="str">
        <f>IF(G18&lt;=46,"通过","不通过")</f>
        <v>通过</v>
      </c>
      <c r="L18" s="9" t="str">
        <f>IF(F18&lt;=18,"通过","不通过")</f>
        <v>通过</v>
      </c>
      <c r="M18" s="10" t="str">
        <f>IF(AND(J18="通过",K18="通过",L18="通过",H18&gt;=98.7,I18&lt;=400),"通过","不通过")</f>
        <v>不通过</v>
      </c>
    </row>
    <row r="21" spans="1:13" ht="15.75">
      <c r="A21" s="20" t="s">
        <v>108</v>
      </c>
      <c r="B21" s="20"/>
      <c r="C21" s="20"/>
      <c r="D21" s="20"/>
      <c r="E21" s="20"/>
    </row>
    <row r="22" spans="1:13" ht="15">
      <c r="A22" s="3" t="s">
        <v>46</v>
      </c>
      <c r="B22" s="4" t="s">
        <v>109</v>
      </c>
      <c r="C22" s="4" t="s">
        <v>110</v>
      </c>
      <c r="D22" s="4" t="s">
        <v>111</v>
      </c>
      <c r="E22" s="5" t="s">
        <v>112</v>
      </c>
    </row>
    <row r="23" spans="1:13" ht="42.75">
      <c r="A23" s="6" t="s">
        <v>105</v>
      </c>
      <c r="B23" s="2" t="s">
        <v>113</v>
      </c>
      <c r="C23" s="2" t="s">
        <v>114</v>
      </c>
      <c r="D23" s="2" t="s">
        <v>115</v>
      </c>
      <c r="E23" s="7" t="s">
        <v>116</v>
      </c>
    </row>
    <row r="24" spans="1:13">
      <c r="A24" s="6" t="s">
        <v>106</v>
      </c>
      <c r="B24" s="2" t="s">
        <v>117</v>
      </c>
      <c r="C24" s="2" t="s">
        <v>118</v>
      </c>
      <c r="D24" s="2" t="s">
        <v>119</v>
      </c>
      <c r="E24" s="7" t="s">
        <v>120</v>
      </c>
    </row>
    <row r="25" spans="1:13" ht="28.5">
      <c r="A25" s="8" t="s">
        <v>107</v>
      </c>
      <c r="B25" s="9" t="s">
        <v>121</v>
      </c>
      <c r="C25" s="9" t="s">
        <v>122</v>
      </c>
      <c r="D25" s="9" t="s">
        <v>115</v>
      </c>
      <c r="E25" s="10" t="s">
        <v>123</v>
      </c>
    </row>
  </sheetData>
  <mergeCells count="4">
    <mergeCell ref="A1:M2"/>
    <mergeCell ref="A4:M5"/>
    <mergeCell ref="A14:M14"/>
    <mergeCell ref="A21:E21"/>
  </mergeCells>
  <phoneticPr fontId="10" type="noConversion"/>
  <conditionalFormatting sqref="J16:M18">
    <cfRule type="expression" dxfId="1" priority="1">
      <formula>J16="通过"</formula>
    </cfRule>
    <cfRule type="expression" dxfId="0" priority="2">
      <formula>J16="不通过"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/>
  </sheetViews>
  <sheetFormatPr defaultRowHeight="14.25"/>
  <cols>
    <col min="1" max="1" width="16" customWidth="1"/>
    <col min="2" max="2" width="29" customWidth="1"/>
    <col min="3" max="3" width="34" customWidth="1"/>
    <col min="4" max="4" width="32" customWidth="1"/>
    <col min="5" max="5" width="38" customWidth="1"/>
    <col min="6" max="6" width="36" customWidth="1"/>
    <col min="7" max="7" width="9" customWidth="1"/>
  </cols>
  <sheetData>
    <row r="1" spans="1:13" ht="27.95" customHeight="1">
      <c r="A1" s="17" t="s">
        <v>124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</row>
    <row r="2" spans="1:13" ht="27.95" customHeight="1">
      <c r="A2" s="18"/>
      <c r="B2" s="18"/>
      <c r="C2" s="18"/>
      <c r="D2" s="18"/>
      <c r="E2" s="18"/>
      <c r="F2" s="18"/>
      <c r="G2" s="18"/>
    </row>
    <row r="4" spans="1:13">
      <c r="A4" s="28" t="s">
        <v>125</v>
      </c>
      <c r="B4" s="28"/>
      <c r="C4" s="28"/>
      <c r="D4" s="28"/>
      <c r="E4" s="28"/>
      <c r="F4" s="28"/>
      <c r="G4" s="28"/>
    </row>
    <row r="5" spans="1:13">
      <c r="A5" s="28"/>
      <c r="B5" s="28"/>
      <c r="C5" s="28"/>
      <c r="D5" s="28"/>
      <c r="E5" s="28"/>
      <c r="F5" s="28"/>
      <c r="G5" s="28"/>
    </row>
    <row r="7" spans="1:13" ht="15">
      <c r="A7" s="3" t="s">
        <v>66</v>
      </c>
      <c r="B7" s="4" t="s">
        <v>126</v>
      </c>
      <c r="C7" s="4" t="s">
        <v>127</v>
      </c>
      <c r="D7" s="4" t="s">
        <v>128</v>
      </c>
      <c r="E7" s="4" t="s">
        <v>129</v>
      </c>
      <c r="F7" s="4" t="s">
        <v>130</v>
      </c>
      <c r="G7" s="5" t="s">
        <v>71</v>
      </c>
    </row>
    <row r="8" spans="1:13" ht="66" customHeight="1">
      <c r="A8" s="6" t="s">
        <v>131</v>
      </c>
      <c r="B8" s="2" t="s">
        <v>132</v>
      </c>
      <c r="C8" s="2" t="s">
        <v>133</v>
      </c>
      <c r="D8" s="2" t="s">
        <v>134</v>
      </c>
      <c r="E8" s="2" t="s">
        <v>135</v>
      </c>
      <c r="F8" s="2" t="s">
        <v>136</v>
      </c>
      <c r="G8" s="7">
        <v>20</v>
      </c>
    </row>
    <row r="9" spans="1:13" ht="66" customHeight="1">
      <c r="A9" s="6" t="s">
        <v>137</v>
      </c>
      <c r="B9" s="2" t="s">
        <v>138</v>
      </c>
      <c r="C9" s="2" t="s">
        <v>139</v>
      </c>
      <c r="D9" s="2" t="s">
        <v>140</v>
      </c>
      <c r="E9" s="2" t="s">
        <v>141</v>
      </c>
      <c r="F9" s="2" t="s">
        <v>142</v>
      </c>
      <c r="G9" s="7">
        <v>25</v>
      </c>
    </row>
    <row r="10" spans="1:13" ht="66" customHeight="1">
      <c r="A10" s="6" t="s">
        <v>143</v>
      </c>
      <c r="B10" s="2" t="s">
        <v>144</v>
      </c>
      <c r="C10" s="2" t="s">
        <v>145</v>
      </c>
      <c r="D10" s="2" t="s">
        <v>146</v>
      </c>
      <c r="E10" s="2" t="s">
        <v>147</v>
      </c>
      <c r="F10" s="2" t="s">
        <v>148</v>
      </c>
      <c r="G10" s="7">
        <v>25</v>
      </c>
    </row>
    <row r="11" spans="1:13" ht="66" customHeight="1">
      <c r="A11" s="8" t="s">
        <v>149</v>
      </c>
      <c r="B11" s="9" t="s">
        <v>150</v>
      </c>
      <c r="C11" s="9" t="s">
        <v>151</v>
      </c>
      <c r="D11" s="9" t="s">
        <v>89</v>
      </c>
      <c r="E11" s="9" t="s">
        <v>152</v>
      </c>
      <c r="F11" s="9" t="s">
        <v>153</v>
      </c>
      <c r="G11" s="10">
        <v>30</v>
      </c>
    </row>
  </sheetData>
  <mergeCells count="2">
    <mergeCell ref="A1:G2"/>
    <mergeCell ref="A4:G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题目_Q</vt:lpstr>
      <vt:lpstr>分步答案_A</vt:lpstr>
      <vt:lpstr>评价标准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k8852</cp:lastModifiedBy>
  <dcterms:modified xsi:type="dcterms:W3CDTF">2026-08-08T09:14:11Z</dcterms:modified>
</cp:coreProperties>
</file>